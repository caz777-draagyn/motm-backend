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ivate\Misc\MotM\CursorGitClone\motm-backend\"/>
    </mc:Choice>
  </mc:AlternateContent>
  <xr:revisionPtr revIDLastSave="0" documentId="13_ncr:2001_{9FB6B016-4B16-4366-B99B-E93FCC373FD4}" xr6:coauthVersionLast="47" xr6:coauthVersionMax="47" xr10:uidLastSave="{00000000-0000-0000-0000-000000000000}"/>
  <bookViews>
    <workbookView xWindow="4605" yWindow="1245" windowWidth="37680" windowHeight="19710" activeTab="4" xr2:uid="{2C76501C-7020-4542-BB04-6F8E3CA77015}"/>
  </bookViews>
  <sheets>
    <sheet name="naming pools" sheetId="4" r:id="rId1"/>
    <sheet name="Sheet14" sheetId="14" r:id="rId2"/>
    <sheet name="Sheet2" sheetId="20" r:id="rId3"/>
    <sheet name="Sheet1" sheetId="19" r:id="rId4"/>
    <sheet name="TopMarkets" sheetId="12" r:id="rId5"/>
    <sheet name="FullNamingPoolList" sheetId="16" r:id="rId6"/>
    <sheet name="Missing Naming pools" sheetId="11" r:id="rId7"/>
    <sheet name="NameCensus" sheetId="10" r:id="rId8"/>
    <sheet name="heritage_europe" sheetId="2" r:id="rId9"/>
    <sheet name="Sheet18" sheetId="18" r:id="rId10"/>
    <sheet name="heritage_africa_arab" sheetId="5" r:id="rId11"/>
    <sheet name="heritage_asia" sheetId="6" r:id="rId12"/>
    <sheet name="heritage_Latin_Caribbean" sheetId="7" r:id="rId13"/>
    <sheet name="heritage_oceania" sheetId="8" r:id="rId14"/>
    <sheet name="heritage_america" sheetId="9" r:id="rId15"/>
  </sheets>
  <definedNames>
    <definedName name="_xlnm._FilterDatabase" localSheetId="10" hidden="1">heritage_africa_arab!$A$1:$F$324</definedName>
    <definedName name="_xlnm._FilterDatabase" localSheetId="8" hidden="1">heritage_europe!$A$2:$L$360</definedName>
    <definedName name="_xlnm._FilterDatabase" localSheetId="6" hidden="1">'Missing Naming pools'!$A$1:$D$1</definedName>
    <definedName name="_xlnm._FilterDatabase" localSheetId="7" hidden="1">NameCensus!$A$1:$E$1</definedName>
    <definedName name="_xlnm._FilterDatabase" localSheetId="0" hidden="1">'naming pools'!$A$1:$J$185</definedName>
    <definedName name="_xlnm._FilterDatabase" localSheetId="1" hidden="1">Sheet14!$A$4:$D$53</definedName>
    <definedName name="_xlnm._FilterDatabase" localSheetId="9" hidden="1">Sheet18!$A$4:$E$228</definedName>
    <definedName name="_xlnm._FilterDatabase" localSheetId="2" hidden="1">Sheet2!$A$3:$B$1406</definedName>
    <definedName name="_xlnm._FilterDatabase" localSheetId="4" hidden="1">TopMarkets!$A$1:$E$1186</definedName>
  </definedNames>
  <calcPr calcId="191029"/>
  <pivotCaches>
    <pivotCache cacheId="1" r:id="rId16"/>
    <pivotCache cacheId="2" r:id="rId17"/>
    <pivotCache cacheId="26" r:id="rId1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G3" i="4" s="1"/>
  <c r="A4" i="4"/>
  <c r="G4" i="4" s="1"/>
  <c r="A5" i="4"/>
  <c r="A6" i="4"/>
  <c r="A7" i="4"/>
  <c r="A8" i="4"/>
  <c r="A9" i="4"/>
  <c r="A10" i="4"/>
  <c r="A11" i="4"/>
  <c r="A12" i="4"/>
  <c r="A13" i="4"/>
  <c r="A14" i="4"/>
  <c r="G14" i="4" s="1"/>
  <c r="A15" i="4"/>
  <c r="A16" i="4"/>
  <c r="A17" i="4"/>
  <c r="G17" i="4" s="1"/>
  <c r="A18" i="4"/>
  <c r="G18" i="4" s="1"/>
  <c r="A19" i="4"/>
  <c r="H19" i="4" s="1"/>
  <c r="A20" i="4"/>
  <c r="G20" i="4" s="1"/>
  <c r="A21" i="4"/>
  <c r="G21" i="4" s="1"/>
  <c r="A22" i="4"/>
  <c r="G22" i="4" s="1"/>
  <c r="A23" i="4"/>
  <c r="G23" i="4" s="1"/>
  <c r="A24" i="4"/>
  <c r="G24" i="4" s="1"/>
  <c r="A25" i="4"/>
  <c r="I25" i="4" s="1"/>
  <c r="A26" i="4"/>
  <c r="A27" i="4"/>
  <c r="I27" i="4" s="1"/>
  <c r="A28" i="4"/>
  <c r="H28" i="4" s="1"/>
  <c r="A29" i="4"/>
  <c r="G29" i="4" s="1"/>
  <c r="A30" i="4"/>
  <c r="G30" i="4" s="1"/>
  <c r="A31" i="4"/>
  <c r="G31" i="4" s="1"/>
  <c r="A32" i="4"/>
  <c r="G32" i="4" s="1"/>
  <c r="A33" i="4"/>
  <c r="G33" i="4" s="1"/>
  <c r="A34" i="4"/>
  <c r="I34" i="4" s="1"/>
  <c r="A35" i="4"/>
  <c r="G35" i="4" s="1"/>
  <c r="A36" i="4"/>
  <c r="I36" i="4" s="1"/>
  <c r="A37" i="4"/>
  <c r="A38" i="4"/>
  <c r="G38" i="4" s="1"/>
  <c r="A39" i="4"/>
  <c r="G39" i="4" s="1"/>
  <c r="A40" i="4"/>
  <c r="I40" i="4" s="1"/>
  <c r="A41" i="4"/>
  <c r="G41" i="4" s="1"/>
  <c r="A42" i="4"/>
  <c r="G42" i="4" s="1"/>
  <c r="A43" i="4"/>
  <c r="G43" i="4" s="1"/>
  <c r="A44" i="4"/>
  <c r="G44" i="4" s="1"/>
  <c r="A45" i="4"/>
  <c r="H45" i="4" s="1"/>
  <c r="A46" i="4"/>
  <c r="G46" i="4" s="1"/>
  <c r="A47" i="4"/>
  <c r="A48" i="4"/>
  <c r="A49" i="4"/>
  <c r="G49" i="4" s="1"/>
  <c r="A50" i="4"/>
  <c r="G50" i="4" s="1"/>
  <c r="A51" i="4"/>
  <c r="G51" i="4" s="1"/>
  <c r="A52" i="4"/>
  <c r="G52" i="4" s="1"/>
  <c r="A53" i="4"/>
  <c r="H53" i="4" s="1"/>
  <c r="A54" i="4"/>
  <c r="G54" i="4" s="1"/>
  <c r="A55" i="4"/>
  <c r="G55" i="4" s="1"/>
  <c r="A56" i="4"/>
  <c r="G56" i="4" s="1"/>
  <c r="A57" i="4"/>
  <c r="G57" i="4" s="1"/>
  <c r="A58" i="4"/>
  <c r="A59" i="4"/>
  <c r="I59" i="4" s="1"/>
  <c r="A60" i="4"/>
  <c r="G60" i="4" s="1"/>
  <c r="A61" i="4"/>
  <c r="G61" i="4" s="1"/>
  <c r="A62" i="4"/>
  <c r="G62" i="4" s="1"/>
  <c r="A63" i="4"/>
  <c r="G63" i="4" s="1"/>
  <c r="A64" i="4"/>
  <c r="G64" i="4" s="1"/>
  <c r="A65" i="4"/>
  <c r="G65" i="4" s="1"/>
  <c r="A66" i="4"/>
  <c r="H66" i="4" s="1"/>
  <c r="A67" i="4"/>
  <c r="G67" i="4" s="1"/>
  <c r="A68" i="4"/>
  <c r="I68" i="4" s="1"/>
  <c r="A69" i="4"/>
  <c r="A70" i="4"/>
  <c r="G70" i="4" s="1"/>
  <c r="A71" i="4"/>
  <c r="G71" i="4" s="1"/>
  <c r="A72" i="4"/>
  <c r="G72" i="4" s="1"/>
  <c r="A73" i="4"/>
  <c r="G73" i="4" s="1"/>
  <c r="A74" i="4"/>
  <c r="G74" i="4" s="1"/>
  <c r="A75" i="4"/>
  <c r="G75" i="4" s="1"/>
  <c r="A76" i="4"/>
  <c r="G76" i="4" s="1"/>
  <c r="A77" i="4"/>
  <c r="H77" i="4" s="1"/>
  <c r="A78" i="4"/>
  <c r="H78" i="4" s="1"/>
  <c r="A79" i="4"/>
  <c r="A80" i="4"/>
  <c r="A81" i="4"/>
  <c r="G81" i="4" s="1"/>
  <c r="A82" i="4"/>
  <c r="G82" i="4" s="1"/>
  <c r="A83" i="4"/>
  <c r="I83" i="4" s="1"/>
  <c r="A84" i="4"/>
  <c r="G84" i="4" s="1"/>
  <c r="A85" i="4"/>
  <c r="G85" i="4" s="1"/>
  <c r="A86" i="4"/>
  <c r="H86" i="4" s="1"/>
  <c r="A87" i="4"/>
  <c r="G87" i="4" s="1"/>
  <c r="A88" i="4"/>
  <c r="G88" i="4" s="1"/>
  <c r="A89" i="4"/>
  <c r="G89" i="4" s="1"/>
  <c r="A90" i="4"/>
  <c r="A91" i="4"/>
  <c r="I91" i="4" s="1"/>
  <c r="A92" i="4"/>
  <c r="H92" i="4" s="1"/>
  <c r="A93" i="4"/>
  <c r="G93" i="4" s="1"/>
  <c r="A94" i="4"/>
  <c r="G94" i="4" s="1"/>
  <c r="A95" i="4"/>
  <c r="G95" i="4" s="1"/>
  <c r="A96" i="4"/>
  <c r="H96" i="4" s="1"/>
  <c r="A97" i="4"/>
  <c r="H97" i="4" s="1"/>
  <c r="A98" i="4"/>
  <c r="G98" i="4" s="1"/>
  <c r="A99" i="4"/>
  <c r="G99" i="4" s="1"/>
  <c r="A100" i="4"/>
  <c r="I100" i="4" s="1"/>
  <c r="A101" i="4"/>
  <c r="A102" i="4"/>
  <c r="G102" i="4" s="1"/>
  <c r="A103" i="4"/>
  <c r="H103" i="4" s="1"/>
  <c r="A104" i="4"/>
  <c r="I104" i="4" s="1"/>
  <c r="A105" i="4"/>
  <c r="G105" i="4" s="1"/>
  <c r="A106" i="4"/>
  <c r="G106" i="4" s="1"/>
  <c r="A107" i="4"/>
  <c r="G107" i="4" s="1"/>
  <c r="A108" i="4"/>
  <c r="G108" i="4" s="1"/>
  <c r="A109" i="4"/>
  <c r="G109" i="4" s="1"/>
  <c r="A110" i="4"/>
  <c r="I110" i="4" s="1"/>
  <c r="A111" i="4"/>
  <c r="G111" i="4" s="1"/>
  <c r="A112" i="4"/>
  <c r="A113" i="4"/>
  <c r="H113" i="4" s="1"/>
  <c r="A114" i="4"/>
  <c r="I114" i="4" s="1"/>
  <c r="A115" i="4"/>
  <c r="G115" i="4" s="1"/>
  <c r="A116" i="4"/>
  <c r="G116" i="4" s="1"/>
  <c r="A117" i="4"/>
  <c r="G117" i="4" s="1"/>
  <c r="A118" i="4"/>
  <c r="G118" i="4" s="1"/>
  <c r="A119" i="4"/>
  <c r="G119" i="4" s="1"/>
  <c r="A120" i="4"/>
  <c r="I120" i="4" s="1"/>
  <c r="A121" i="4"/>
  <c r="G121" i="4" s="1"/>
  <c r="A122" i="4"/>
  <c r="A123" i="4"/>
  <c r="I123" i="4" s="1"/>
  <c r="A124" i="4"/>
  <c r="I124" i="4" s="1"/>
  <c r="A125" i="4"/>
  <c r="G125" i="4" s="1"/>
  <c r="A126" i="4"/>
  <c r="G126" i="4" s="1"/>
  <c r="A127" i="4"/>
  <c r="I127" i="4" s="1"/>
  <c r="A128" i="4"/>
  <c r="G128" i="4" s="1"/>
  <c r="A129" i="4"/>
  <c r="G129" i="4" s="1"/>
  <c r="A130" i="4"/>
  <c r="G130" i="4" s="1"/>
  <c r="A131" i="4"/>
  <c r="G131" i="4" s="1"/>
  <c r="A132" i="4"/>
  <c r="I132" i="4" s="1"/>
  <c r="A133" i="4"/>
  <c r="A134" i="4"/>
  <c r="G134" i="4" s="1"/>
  <c r="A135" i="4"/>
  <c r="G135" i="4" s="1"/>
  <c r="A136" i="4"/>
  <c r="G136" i="4" s="1"/>
  <c r="A137" i="4"/>
  <c r="G137" i="4" s="1"/>
  <c r="A138" i="4"/>
  <c r="I138" i="4" s="1"/>
  <c r="A139" i="4"/>
  <c r="G139" i="4" s="1"/>
  <c r="A140" i="4"/>
  <c r="G140" i="4" s="1"/>
  <c r="A141" i="4"/>
  <c r="I141" i="4" s="1"/>
  <c r="A142" i="4"/>
  <c r="G142" i="4" s="1"/>
  <c r="A143" i="4"/>
  <c r="A144" i="4"/>
  <c r="A145" i="4"/>
  <c r="G145" i="4" s="1"/>
  <c r="A146" i="4"/>
  <c r="G146" i="4" s="1"/>
  <c r="A147" i="4"/>
  <c r="I147" i="4" s="1"/>
  <c r="A148" i="4"/>
  <c r="I148" i="4" s="1"/>
  <c r="A149" i="4"/>
  <c r="I149" i="4" s="1"/>
  <c r="A150" i="4"/>
  <c r="G150" i="4" s="1"/>
  <c r="A151" i="4"/>
  <c r="G151" i="4" s="1"/>
  <c r="A152" i="4"/>
  <c r="G152" i="4" s="1"/>
  <c r="A153" i="4"/>
  <c r="G153" i="4" s="1"/>
  <c r="A154" i="4"/>
  <c r="A155" i="4"/>
  <c r="A156" i="4"/>
  <c r="G156" i="4" s="1"/>
  <c r="A157" i="4"/>
  <c r="H157" i="4" s="1"/>
  <c r="A158" i="4"/>
  <c r="G158" i="4" s="1"/>
  <c r="A159" i="4"/>
  <c r="I159" i="4" s="1"/>
  <c r="A160" i="4"/>
  <c r="G160" i="4" s="1"/>
  <c r="A161" i="4"/>
  <c r="G161" i="4" s="1"/>
  <c r="A162" i="4"/>
  <c r="I162" i="4" s="1"/>
  <c r="A163" i="4"/>
  <c r="G163" i="4" s="1"/>
  <c r="A164" i="4"/>
  <c r="I164" i="4" s="1"/>
  <c r="A165" i="4"/>
  <c r="A166" i="4"/>
  <c r="G166" i="4" s="1"/>
  <c r="A167" i="4"/>
  <c r="I167" i="4" s="1"/>
  <c r="A168" i="4"/>
  <c r="G168" i="4" s="1"/>
  <c r="A169" i="4"/>
  <c r="G169" i="4" s="1"/>
  <c r="A170" i="4"/>
  <c r="H170" i="4" s="1"/>
  <c r="A171" i="4"/>
  <c r="G171" i="4" s="1"/>
  <c r="A172" i="4"/>
  <c r="G172" i="4" s="1"/>
  <c r="A173" i="4"/>
  <c r="I173" i="4" s="1"/>
  <c r="A174" i="4"/>
  <c r="G174" i="4" s="1"/>
  <c r="A175" i="4"/>
  <c r="G175" i="4" s="1"/>
  <c r="A176" i="4"/>
  <c r="A177" i="4"/>
  <c r="G177" i="4" s="1"/>
  <c r="A178" i="4"/>
  <c r="H178" i="4" s="1"/>
  <c r="A179" i="4"/>
  <c r="G179" i="4" s="1"/>
  <c r="A180" i="4"/>
  <c r="H180" i="4" s="1"/>
  <c r="A181" i="4"/>
  <c r="G181" i="4" s="1"/>
  <c r="A182" i="4"/>
  <c r="I182" i="4" s="1"/>
  <c r="A183" i="4"/>
  <c r="G183" i="4" s="1"/>
  <c r="A184" i="4"/>
  <c r="H184" i="4" s="1"/>
  <c r="A185" i="4"/>
  <c r="G185" i="4" s="1"/>
  <c r="A2" i="4"/>
  <c r="G184" i="4" l="1"/>
  <c r="I183" i="4"/>
  <c r="H148" i="4"/>
  <c r="G148" i="4"/>
  <c r="H147" i="4"/>
  <c r="G147" i="4"/>
  <c r="I146" i="4"/>
  <c r="H146" i="4"/>
  <c r="H128" i="4"/>
  <c r="H114" i="4"/>
  <c r="H88" i="4"/>
  <c r="I87" i="4"/>
  <c r="H87" i="4"/>
  <c r="I82" i="4"/>
  <c r="H82" i="4"/>
  <c r="G77" i="4"/>
  <c r="H183" i="4"/>
  <c r="H127" i="4"/>
  <c r="G66" i="4"/>
  <c r="G127" i="4"/>
  <c r="I65" i="4"/>
  <c r="H182" i="4"/>
  <c r="I126" i="4"/>
  <c r="H65" i="4"/>
  <c r="G182" i="4"/>
  <c r="H126" i="4"/>
  <c r="G178" i="4"/>
  <c r="I64" i="4"/>
  <c r="H163" i="4"/>
  <c r="H120" i="4"/>
  <c r="H64" i="4"/>
  <c r="H162" i="4"/>
  <c r="G120" i="4"/>
  <c r="G162" i="4"/>
  <c r="I119" i="4"/>
  <c r="I63" i="4"/>
  <c r="I161" i="4"/>
  <c r="I116" i="4"/>
  <c r="I62" i="4"/>
  <c r="H161" i="4"/>
  <c r="H116" i="4"/>
  <c r="H62" i="4"/>
  <c r="G53" i="4"/>
  <c r="I160" i="4"/>
  <c r="I115" i="4"/>
  <c r="I50" i="4"/>
  <c r="H160" i="4"/>
  <c r="H115" i="4"/>
  <c r="H50" i="4"/>
  <c r="I158" i="4"/>
  <c r="G40" i="4"/>
  <c r="H158" i="4"/>
  <c r="G114" i="4"/>
  <c r="H34" i="4"/>
  <c r="G97" i="4"/>
  <c r="G34" i="4"/>
  <c r="I151" i="4"/>
  <c r="G96" i="4"/>
  <c r="I33" i="4"/>
  <c r="H151" i="4"/>
  <c r="I95" i="4"/>
  <c r="H33" i="4"/>
  <c r="I150" i="4"/>
  <c r="H95" i="4"/>
  <c r="H150" i="4"/>
  <c r="I32" i="4"/>
  <c r="I89" i="4"/>
  <c r="H32" i="4"/>
  <c r="H149" i="4"/>
  <c r="H89" i="4"/>
  <c r="H25" i="4"/>
  <c r="G149" i="4"/>
  <c r="G25" i="4"/>
  <c r="I88" i="4"/>
  <c r="I22" i="4"/>
  <c r="I178" i="4"/>
  <c r="I152" i="4"/>
  <c r="I130" i="4"/>
  <c r="G103" i="4"/>
  <c r="H83" i="4"/>
  <c r="I51" i="4"/>
  <c r="G180" i="4"/>
  <c r="G132" i="4"/>
  <c r="H152" i="4"/>
  <c r="H130" i="4"/>
  <c r="I102" i="4"/>
  <c r="G83" i="4"/>
  <c r="H51" i="4"/>
  <c r="H134" i="4"/>
  <c r="H102" i="4"/>
  <c r="H140" i="4"/>
  <c r="I129" i="4"/>
  <c r="H100" i="4"/>
  <c r="H177" i="4"/>
  <c r="I140" i="4"/>
  <c r="I177" i="4"/>
  <c r="H129" i="4"/>
  <c r="G100" i="4"/>
  <c r="I99" i="4"/>
  <c r="I77" i="4"/>
  <c r="G141" i="4"/>
  <c r="H167" i="4"/>
  <c r="I128" i="4"/>
  <c r="H99" i="4"/>
  <c r="G167" i="4"/>
  <c r="I39" i="4"/>
  <c r="I166" i="4"/>
  <c r="I98" i="4"/>
  <c r="I76" i="4"/>
  <c r="H39" i="4"/>
  <c r="H166" i="4"/>
  <c r="H98" i="4"/>
  <c r="H68" i="4"/>
  <c r="H164" i="4"/>
  <c r="G68" i="4"/>
  <c r="H36" i="4"/>
  <c r="G164" i="4"/>
  <c r="I97" i="4"/>
  <c r="I67" i="4"/>
  <c r="G36" i="4"/>
  <c r="I163" i="4"/>
  <c r="H67" i="4"/>
  <c r="I35" i="4"/>
  <c r="H35" i="4"/>
  <c r="I96" i="4"/>
  <c r="I66" i="4"/>
  <c r="I125" i="4"/>
  <c r="H159" i="4"/>
  <c r="H63" i="4"/>
  <c r="G159" i="4"/>
  <c r="I139" i="4"/>
  <c r="I179" i="4"/>
  <c r="I153" i="4"/>
  <c r="I131" i="4"/>
  <c r="G104" i="4"/>
  <c r="I86" i="4"/>
  <c r="I52" i="4"/>
  <c r="G19" i="4"/>
  <c r="H179" i="4"/>
  <c r="H153" i="4"/>
  <c r="H131" i="4"/>
  <c r="I103" i="4"/>
  <c r="G86" i="4"/>
  <c r="H52" i="4"/>
  <c r="I18" i="4"/>
  <c r="H132" i="4"/>
  <c r="I113" i="4"/>
  <c r="H18" i="4"/>
  <c r="G13" i="4"/>
  <c r="H13" i="4"/>
  <c r="H141" i="4"/>
  <c r="H104" i="4"/>
  <c r="G92" i="4"/>
  <c r="G78" i="4"/>
  <c r="H40" i="4"/>
  <c r="G28" i="4"/>
  <c r="G144" i="4"/>
  <c r="H144" i="4"/>
  <c r="I144" i="4"/>
  <c r="H47" i="4"/>
  <c r="I47" i="4"/>
  <c r="H76" i="4"/>
  <c r="I38" i="4"/>
  <c r="I24" i="4"/>
  <c r="H38" i="4"/>
  <c r="H24" i="4"/>
  <c r="I75" i="4"/>
  <c r="I23" i="4"/>
  <c r="H75" i="4"/>
  <c r="H23" i="4"/>
  <c r="I74" i="4"/>
  <c r="I49" i="4"/>
  <c r="I137" i="4"/>
  <c r="H125" i="4"/>
  <c r="G113" i="4"/>
  <c r="H74" i="4"/>
  <c r="H49" i="4"/>
  <c r="H22" i="4"/>
  <c r="G16" i="4"/>
  <c r="H16" i="4"/>
  <c r="I16" i="4"/>
  <c r="G6" i="4"/>
  <c r="H6" i="4"/>
  <c r="I6" i="4"/>
  <c r="I174" i="4"/>
  <c r="G165" i="4"/>
  <c r="H165" i="4"/>
  <c r="I165" i="4"/>
  <c r="G133" i="4"/>
  <c r="H133" i="4"/>
  <c r="I133" i="4"/>
  <c r="G101" i="4"/>
  <c r="H101" i="4"/>
  <c r="I101" i="4"/>
  <c r="G69" i="4"/>
  <c r="H69" i="4"/>
  <c r="I69" i="4"/>
  <c r="G37" i="4"/>
  <c r="H37" i="4"/>
  <c r="I37" i="4"/>
  <c r="G5" i="4"/>
  <c r="H5" i="4"/>
  <c r="I5" i="4"/>
  <c r="H174" i="4"/>
  <c r="H137" i="4"/>
  <c r="I61" i="4"/>
  <c r="I73" i="4"/>
  <c r="H61" i="4"/>
  <c r="G47" i="4"/>
  <c r="I21" i="4"/>
  <c r="H111" i="4"/>
  <c r="I111" i="4"/>
  <c r="G7" i="4"/>
  <c r="H7" i="4"/>
  <c r="I7" i="4"/>
  <c r="I136" i="4"/>
  <c r="H124" i="4"/>
  <c r="H110" i="4"/>
  <c r="I85" i="4"/>
  <c r="H73" i="4"/>
  <c r="I46" i="4"/>
  <c r="H21" i="4"/>
  <c r="G138" i="4"/>
  <c r="H136" i="4"/>
  <c r="G124" i="4"/>
  <c r="G110" i="4"/>
  <c r="H85" i="4"/>
  <c r="I60" i="4"/>
  <c r="H46" i="4"/>
  <c r="H138" i="4"/>
  <c r="I185" i="4"/>
  <c r="H173" i="4"/>
  <c r="H185" i="4"/>
  <c r="G173" i="4"/>
  <c r="I109" i="4"/>
  <c r="I72" i="4"/>
  <c r="H60" i="4"/>
  <c r="I20" i="4"/>
  <c r="G48" i="4"/>
  <c r="H48" i="4"/>
  <c r="I48" i="4"/>
  <c r="G10" i="4"/>
  <c r="H10" i="4"/>
  <c r="I10" i="4"/>
  <c r="I172" i="4"/>
  <c r="I135" i="4"/>
  <c r="I121" i="4"/>
  <c r="H109" i="4"/>
  <c r="I84" i="4"/>
  <c r="H72" i="4"/>
  <c r="I45" i="4"/>
  <c r="H20" i="4"/>
  <c r="I184" i="4"/>
  <c r="H172" i="4"/>
  <c r="H135" i="4"/>
  <c r="H121" i="4"/>
  <c r="H84" i="4"/>
  <c r="G45" i="4"/>
  <c r="G112" i="4"/>
  <c r="H112" i="4"/>
  <c r="I112" i="4"/>
  <c r="G12" i="4"/>
  <c r="H12" i="4"/>
  <c r="I12" i="4"/>
  <c r="I108" i="4"/>
  <c r="I71" i="4"/>
  <c r="I57" i="4"/>
  <c r="I44" i="4"/>
  <c r="I19" i="4"/>
  <c r="H79" i="4"/>
  <c r="I79" i="4"/>
  <c r="G11" i="4"/>
  <c r="H11" i="4"/>
  <c r="I11" i="4"/>
  <c r="G8" i="4"/>
  <c r="H8" i="4"/>
  <c r="I8" i="4"/>
  <c r="I171" i="4"/>
  <c r="I134" i="4"/>
  <c r="H108" i="4"/>
  <c r="H71" i="4"/>
  <c r="H57" i="4"/>
  <c r="H44" i="4"/>
  <c r="I31" i="4"/>
  <c r="H175" i="4"/>
  <c r="I175" i="4"/>
  <c r="I107" i="4"/>
  <c r="I70" i="4"/>
  <c r="I56" i="4"/>
  <c r="I43" i="4"/>
  <c r="H31" i="4"/>
  <c r="G176" i="4"/>
  <c r="H176" i="4"/>
  <c r="I176" i="4"/>
  <c r="H107" i="4"/>
  <c r="H70" i="4"/>
  <c r="H56" i="4"/>
  <c r="H43" i="4"/>
  <c r="G59" i="4"/>
  <c r="H59" i="4"/>
  <c r="I145" i="4"/>
  <c r="H119" i="4"/>
  <c r="I94" i="4"/>
  <c r="I55" i="4"/>
  <c r="I30" i="4"/>
  <c r="I106" i="4"/>
  <c r="H94" i="4"/>
  <c r="H55" i="4"/>
  <c r="I42" i="4"/>
  <c r="H30" i="4"/>
  <c r="I17" i="4"/>
  <c r="H143" i="4"/>
  <c r="I143" i="4"/>
  <c r="I118" i="4"/>
  <c r="H106" i="4"/>
  <c r="I81" i="4"/>
  <c r="H42" i="4"/>
  <c r="H17" i="4"/>
  <c r="H15" i="4"/>
  <c r="I15" i="4"/>
  <c r="H171" i="4"/>
  <c r="G155" i="4"/>
  <c r="H155" i="4"/>
  <c r="I181" i="4"/>
  <c r="H169" i="4"/>
  <c r="G157" i="4"/>
  <c r="G143" i="4"/>
  <c r="H118" i="4"/>
  <c r="I93" i="4"/>
  <c r="H81" i="4"/>
  <c r="I54" i="4"/>
  <c r="I29" i="4"/>
  <c r="G15" i="4"/>
  <c r="G170" i="4"/>
  <c r="I169" i="4"/>
  <c r="H181" i="4"/>
  <c r="I156" i="4"/>
  <c r="I142" i="4"/>
  <c r="I105" i="4"/>
  <c r="H93" i="4"/>
  <c r="H54" i="4"/>
  <c r="I41" i="4"/>
  <c r="H29" i="4"/>
  <c r="I14" i="4"/>
  <c r="G58" i="4"/>
  <c r="H58" i="4"/>
  <c r="I58" i="4"/>
  <c r="I168" i="4"/>
  <c r="H156" i="4"/>
  <c r="H142" i="4"/>
  <c r="I117" i="4"/>
  <c r="H105" i="4"/>
  <c r="G79" i="4"/>
  <c r="H41" i="4"/>
  <c r="H14" i="4"/>
  <c r="G91" i="4"/>
  <c r="H91" i="4"/>
  <c r="I2" i="4"/>
  <c r="H2" i="4"/>
  <c r="G2" i="4"/>
  <c r="G154" i="4"/>
  <c r="H154" i="4"/>
  <c r="I154" i="4"/>
  <c r="G122" i="4"/>
  <c r="H122" i="4"/>
  <c r="I122" i="4"/>
  <c r="G90" i="4"/>
  <c r="H90" i="4"/>
  <c r="I90" i="4"/>
  <c r="G26" i="4"/>
  <c r="H26" i="4"/>
  <c r="I26" i="4"/>
  <c r="I170" i="4"/>
  <c r="H145" i="4"/>
  <c r="I180" i="4"/>
  <c r="H168" i="4"/>
  <c r="H117" i="4"/>
  <c r="I92" i="4"/>
  <c r="I78" i="4"/>
  <c r="I53" i="4"/>
  <c r="I28" i="4"/>
  <c r="G80" i="4"/>
  <c r="H80" i="4"/>
  <c r="I80" i="4"/>
  <c r="H139" i="4"/>
  <c r="G9" i="4"/>
  <c r="H9" i="4"/>
  <c r="I9" i="4"/>
  <c r="G123" i="4"/>
  <c r="H123" i="4"/>
  <c r="G27" i="4"/>
  <c r="H27" i="4"/>
  <c r="I157" i="4"/>
  <c r="I155" i="4"/>
  <c r="I13" i="4"/>
  <c r="I4" i="4"/>
  <c r="H4" i="4"/>
  <c r="I3" i="4"/>
  <c r="H3" i="4"/>
</calcChain>
</file>

<file path=xl/sharedStrings.xml><?xml version="1.0" encoding="utf-8"?>
<sst xmlns="http://schemas.openxmlformats.org/spreadsheetml/2006/main" count="19430" uniqueCount="2789">
  <si>
    <t xml:space="preserve">Norway </t>
  </si>
  <si>
    <t xml:space="preserve">Sweden </t>
  </si>
  <si>
    <t xml:space="preserve"> Strong football relevance</t>
  </si>
  <si>
    <t xml:space="preserve"> Turkey </t>
  </si>
  <si>
    <t xml:space="preserve">Denmark </t>
  </si>
  <si>
    <t xml:space="preserve">Finland </t>
  </si>
  <si>
    <t xml:space="preserve">England </t>
  </si>
  <si>
    <t xml:space="preserve">Scotland </t>
  </si>
  <si>
    <t xml:space="preserve">Wales </t>
  </si>
  <si>
    <t xml:space="preserve">Northern Ireland </t>
  </si>
  <si>
    <t xml:space="preserve">Ireland </t>
  </si>
  <si>
    <t xml:space="preserve">France </t>
  </si>
  <si>
    <t xml:space="preserve">Belgium </t>
  </si>
  <si>
    <t xml:space="preserve">Netherlands </t>
  </si>
  <si>
    <t xml:space="preserve">Luxembourg </t>
  </si>
  <si>
    <t xml:space="preserve">Germany </t>
  </si>
  <si>
    <t xml:space="preserve">Austria </t>
  </si>
  <si>
    <t xml:space="preserve">Switzerland </t>
  </si>
  <si>
    <t>Levant</t>
  </si>
  <si>
    <t>Turkey</t>
  </si>
  <si>
    <t>Turkey 1</t>
  </si>
  <si>
    <t>Persia</t>
  </si>
  <si>
    <t>ArabPeninsula</t>
  </si>
  <si>
    <t>Anatolian</t>
  </si>
  <si>
    <t xml:space="preserve">Spain </t>
  </si>
  <si>
    <t xml:space="preserve">Portugal </t>
  </si>
  <si>
    <t xml:space="preserve">Italy </t>
  </si>
  <si>
    <t xml:space="preserve">Andorra </t>
  </si>
  <si>
    <t xml:space="preserve">San Marino </t>
  </si>
  <si>
    <t xml:space="preserve">Malta </t>
  </si>
  <si>
    <t xml:space="preserve">Poland </t>
  </si>
  <si>
    <t xml:space="preserve">Slovakia </t>
  </si>
  <si>
    <t xml:space="preserve">Hungary </t>
  </si>
  <si>
    <t xml:space="preserve">Romania </t>
  </si>
  <si>
    <t xml:space="preserve">Moldova </t>
  </si>
  <si>
    <t xml:space="preserve">Slovenia </t>
  </si>
  <si>
    <t xml:space="preserve">Croatia </t>
  </si>
  <si>
    <t xml:space="preserve">Bosnia and Herzegovina </t>
  </si>
  <si>
    <t xml:space="preserve">Serbia </t>
  </si>
  <si>
    <t xml:space="preserve">Montenegro </t>
  </si>
  <si>
    <t xml:space="preserve">Kosovo </t>
  </si>
  <si>
    <t xml:space="preserve">Albania </t>
  </si>
  <si>
    <t xml:space="preserve">North Macedonia </t>
  </si>
  <si>
    <t xml:space="preserve">Bulgaria </t>
  </si>
  <si>
    <t xml:space="preserve">Greece </t>
  </si>
  <si>
    <t xml:space="preserve">Cyprus </t>
  </si>
  <si>
    <t xml:space="preserve">Estonia </t>
  </si>
  <si>
    <t xml:space="preserve">Latvia </t>
  </si>
  <si>
    <t xml:space="preserve">Lithuania </t>
  </si>
  <si>
    <t xml:space="preserve">Belarus </t>
  </si>
  <si>
    <t xml:space="preserve">Ukraine </t>
  </si>
  <si>
    <t xml:space="preserve">Turkey </t>
  </si>
  <si>
    <t xml:space="preserve">Georgia </t>
  </si>
  <si>
    <t xml:space="preserve">Armenia </t>
  </si>
  <si>
    <t xml:space="preserve">Azerbaijan </t>
  </si>
  <si>
    <t xml:space="preserve">Russia </t>
  </si>
  <si>
    <t xml:space="preserve"> Egypt </t>
  </si>
  <si>
    <t xml:space="preserve"> Iceland </t>
  </si>
  <si>
    <t xml:space="preserve"> Norway </t>
  </si>
  <si>
    <t xml:space="preserve"> Sweden </t>
  </si>
  <si>
    <t xml:space="preserve"> Denmark </t>
  </si>
  <si>
    <t xml:space="preserve"> Finland; Finland Swedish </t>
  </si>
  <si>
    <t xml:space="preserve"> England </t>
  </si>
  <si>
    <t xml:space="preserve"> Scotland </t>
  </si>
  <si>
    <t xml:space="preserve"> Wales </t>
  </si>
  <si>
    <t xml:space="preserve"> Northern Ireland </t>
  </si>
  <si>
    <t xml:space="preserve"> Ireland </t>
  </si>
  <si>
    <t xml:space="preserve"> France </t>
  </si>
  <si>
    <t xml:space="preserve"> Belgium Dutch; Belgium French </t>
  </si>
  <si>
    <t xml:space="preserve"> Netherlands </t>
  </si>
  <si>
    <t xml:space="preserve"> Luxembourg Local </t>
  </si>
  <si>
    <t xml:space="preserve"> Germany </t>
  </si>
  <si>
    <t xml:space="preserve"> Austria </t>
  </si>
  <si>
    <t xml:space="preserve"> Swiss German; Swiss French; Swiss Italian </t>
  </si>
  <si>
    <t xml:space="preserve"> Spain </t>
  </si>
  <si>
    <t xml:space="preserve"> Andorra Local </t>
  </si>
  <si>
    <t xml:space="preserve"> Portugal </t>
  </si>
  <si>
    <t xml:space="preserve"> Italy </t>
  </si>
  <si>
    <t xml:space="preserve"> San Marino Local </t>
  </si>
  <si>
    <t xml:space="preserve"> Malta </t>
  </si>
  <si>
    <t xml:space="preserve"> Poland </t>
  </si>
  <si>
    <t xml:space="preserve">Czech Republic </t>
  </si>
  <si>
    <t xml:space="preserve"> Czech Republic </t>
  </si>
  <si>
    <t xml:space="preserve"> Slovakia </t>
  </si>
  <si>
    <t xml:space="preserve"> Hungary </t>
  </si>
  <si>
    <t xml:space="preserve"> Romania </t>
  </si>
  <si>
    <t xml:space="preserve"> Moldova </t>
  </si>
  <si>
    <t xml:space="preserve"> Slovenia </t>
  </si>
  <si>
    <t xml:space="preserve"> Croatia </t>
  </si>
  <si>
    <t xml:space="preserve"> Bosnia and Herzegovina </t>
  </si>
  <si>
    <t xml:space="preserve"> Serbia </t>
  </si>
  <si>
    <t xml:space="preserve"> Montenegro </t>
  </si>
  <si>
    <t xml:space="preserve"> Kosovo </t>
  </si>
  <si>
    <t xml:space="preserve"> Albania </t>
  </si>
  <si>
    <t xml:space="preserve"> North Macedonia </t>
  </si>
  <si>
    <t xml:space="preserve"> Bulgaria </t>
  </si>
  <si>
    <t xml:space="preserve"> Greece </t>
  </si>
  <si>
    <t xml:space="preserve"> Greek Cypriot; Turkish Cypriot </t>
  </si>
  <si>
    <t xml:space="preserve"> Estonia </t>
  </si>
  <si>
    <t xml:space="preserve"> Latvia </t>
  </si>
  <si>
    <t xml:space="preserve"> Lithuania </t>
  </si>
  <si>
    <t xml:space="preserve"> Belarus </t>
  </si>
  <si>
    <t xml:space="preserve"> Ukraine </t>
  </si>
  <si>
    <t xml:space="preserve"> Russia; Tatar/Bashkir </t>
  </si>
  <si>
    <t xml:space="preserve"> Georgia </t>
  </si>
  <si>
    <t xml:space="preserve"> Armenia </t>
  </si>
  <si>
    <t xml:space="preserve"> Azerbaijan </t>
  </si>
  <si>
    <t>Europe</t>
  </si>
  <si>
    <t xml:space="preserve">Morocco </t>
  </si>
  <si>
    <t xml:space="preserve"> Morocco </t>
  </si>
  <si>
    <t xml:space="preserve">Algeria </t>
  </si>
  <si>
    <t xml:space="preserve"> Algeria </t>
  </si>
  <si>
    <t xml:space="preserve">Tunisia </t>
  </si>
  <si>
    <t xml:space="preserve"> Tunisia </t>
  </si>
  <si>
    <t xml:space="preserve">Libya </t>
  </si>
  <si>
    <t xml:space="preserve"> Libya </t>
  </si>
  <si>
    <t xml:space="preserve">Egypt </t>
  </si>
  <si>
    <t xml:space="preserve">Syria </t>
  </si>
  <si>
    <t xml:space="preserve"> Syria </t>
  </si>
  <si>
    <t xml:space="preserve">Lebanon </t>
  </si>
  <si>
    <t xml:space="preserve"> Lebanon </t>
  </si>
  <si>
    <t xml:space="preserve">Palestine </t>
  </si>
  <si>
    <t xml:space="preserve"> Palestine </t>
  </si>
  <si>
    <t xml:space="preserve">Jordan </t>
  </si>
  <si>
    <t xml:space="preserve"> Jordan </t>
  </si>
  <si>
    <t xml:space="preserve">Iraq </t>
  </si>
  <si>
    <t xml:space="preserve"> Iraq </t>
  </si>
  <si>
    <t xml:space="preserve">Iran </t>
  </si>
  <si>
    <t xml:space="preserve"> Iran </t>
  </si>
  <si>
    <t xml:space="preserve">Saudi Arabia </t>
  </si>
  <si>
    <t xml:space="preserve"> Saudi Arabia </t>
  </si>
  <si>
    <t xml:space="preserve">Yemen </t>
  </si>
  <si>
    <t xml:space="preserve"> Yemen </t>
  </si>
  <si>
    <t xml:space="preserve">Oman </t>
  </si>
  <si>
    <t xml:space="preserve"> Oman </t>
  </si>
  <si>
    <t xml:space="preserve">United Arab Emirates </t>
  </si>
  <si>
    <t xml:space="preserve"> UAE </t>
  </si>
  <si>
    <t xml:space="preserve">Qatar </t>
  </si>
  <si>
    <t xml:space="preserve"> Qatar </t>
  </si>
  <si>
    <t xml:space="preserve">Kuwait </t>
  </si>
  <si>
    <t xml:space="preserve"> Kuwait </t>
  </si>
  <si>
    <t xml:space="preserve">Bahrain </t>
  </si>
  <si>
    <t xml:space="preserve"> Bahrain </t>
  </si>
  <si>
    <t xml:space="preserve">Israel </t>
  </si>
  <si>
    <t xml:space="preserve"> Israel Hebrew; Israel Arab </t>
  </si>
  <si>
    <t xml:space="preserve">India </t>
  </si>
  <si>
    <t xml:space="preserve"> India Punjabi; India Gangetic; India Bengali; India South </t>
  </si>
  <si>
    <t xml:space="preserve">Pakistan </t>
  </si>
  <si>
    <t xml:space="preserve"> Pakistan Punjabi; Pakistan Sindhi; Pakistan Pashtun </t>
  </si>
  <si>
    <t xml:space="preserve">Bangladesh </t>
  </si>
  <si>
    <t xml:space="preserve"> Bangladesh </t>
  </si>
  <si>
    <t xml:space="preserve">Sri Lanka </t>
  </si>
  <si>
    <t xml:space="preserve"> Sri Lanka Sinhala; Sri Lanka Tamil </t>
  </si>
  <si>
    <t xml:space="preserve">Nepal </t>
  </si>
  <si>
    <t xml:space="preserve"> Nepal </t>
  </si>
  <si>
    <t xml:space="preserve">Bhutan </t>
  </si>
  <si>
    <t xml:space="preserve"> Bhutan </t>
  </si>
  <si>
    <t xml:space="preserve">Maldives </t>
  </si>
  <si>
    <t xml:space="preserve"> Maldives </t>
  </si>
  <si>
    <t xml:space="preserve">Afghanistan </t>
  </si>
  <si>
    <t xml:space="preserve"> Afghanistan Dari; Afghanistan Pashtun </t>
  </si>
  <si>
    <t xml:space="preserve">China </t>
  </si>
  <si>
    <t xml:space="preserve"> China North; China South </t>
  </si>
  <si>
    <t xml:space="preserve">Japan </t>
  </si>
  <si>
    <t xml:space="preserve"> Japan </t>
  </si>
  <si>
    <t xml:space="preserve">Korea </t>
  </si>
  <si>
    <t xml:space="preserve"> Korea </t>
  </si>
  <si>
    <t xml:space="preserve">Mongolia </t>
  </si>
  <si>
    <t xml:space="preserve"> Mongolia </t>
  </si>
  <si>
    <t xml:space="preserve">Kazakhstan </t>
  </si>
  <si>
    <t xml:space="preserve"> Kazakhstan </t>
  </si>
  <si>
    <t xml:space="preserve">Uzbekistan </t>
  </si>
  <si>
    <t xml:space="preserve"> Uzbekistan </t>
  </si>
  <si>
    <t xml:space="preserve">Tajikistan </t>
  </si>
  <si>
    <t xml:space="preserve"> Tajikistan </t>
  </si>
  <si>
    <t xml:space="preserve">Kyrgyzstan </t>
  </si>
  <si>
    <t xml:space="preserve"> Kyrgyzstan </t>
  </si>
  <si>
    <t xml:space="preserve">Turkmenistan </t>
  </si>
  <si>
    <t xml:space="preserve"> Turkmenistan </t>
  </si>
  <si>
    <t xml:space="preserve">Vietnam </t>
  </si>
  <si>
    <t xml:space="preserve"> Vietnam </t>
  </si>
  <si>
    <t xml:space="preserve">Thailand </t>
  </si>
  <si>
    <t xml:space="preserve"> Thailand </t>
  </si>
  <si>
    <t xml:space="preserve">Myanmar </t>
  </si>
  <si>
    <t xml:space="preserve"> Myanmar </t>
  </si>
  <si>
    <t xml:space="preserve">Cambodia </t>
  </si>
  <si>
    <t xml:space="preserve"> Cambodia </t>
  </si>
  <si>
    <t xml:space="preserve">Laos </t>
  </si>
  <si>
    <t xml:space="preserve"> Laos </t>
  </si>
  <si>
    <t xml:space="preserve">Malaysia </t>
  </si>
  <si>
    <t xml:space="preserve"> Malaysia Malay; Malaysia Chinese; Malaysia Indian </t>
  </si>
  <si>
    <t xml:space="preserve">Indonesia </t>
  </si>
  <si>
    <t xml:space="preserve"> Indonesia Javanese; Indonesia Sumatran; Indonesia Other </t>
  </si>
  <si>
    <t xml:space="preserve">Philippines </t>
  </si>
  <si>
    <t xml:space="preserve"> Philippines Tagalog; Philippines Visayan </t>
  </si>
  <si>
    <t xml:space="preserve">Singapore </t>
  </si>
  <si>
    <t xml:space="preserve"> Singapore Chinese; Singapore Malay; Singapore Indian </t>
  </si>
  <si>
    <t xml:space="preserve">Taiwan </t>
  </si>
  <si>
    <t xml:space="preserve"> Taiwan </t>
  </si>
  <si>
    <t xml:space="preserve">Hong Kong </t>
  </si>
  <si>
    <t xml:space="preserve"> Hong Kong </t>
  </si>
  <si>
    <t xml:space="preserve">Nigeria </t>
  </si>
  <si>
    <t xml:space="preserve"> Nigeria Yoruba; Nigeria Igbo; Nigeria Hausa </t>
  </si>
  <si>
    <t xml:space="preserve">Ghana </t>
  </si>
  <si>
    <t xml:space="preserve"> Ghana </t>
  </si>
  <si>
    <t xml:space="preserve">Senegal </t>
  </si>
  <si>
    <t xml:space="preserve"> Senegal </t>
  </si>
  <si>
    <t xml:space="preserve">Mali </t>
  </si>
  <si>
    <t xml:space="preserve"> Mali </t>
  </si>
  <si>
    <t xml:space="preserve">Guinea </t>
  </si>
  <si>
    <t xml:space="preserve"> Guinea </t>
  </si>
  <si>
    <t xml:space="preserve">Guinea-Bissau </t>
  </si>
  <si>
    <t xml:space="preserve"> Guinea-Bissau </t>
  </si>
  <si>
    <t xml:space="preserve">Ivory Coast </t>
  </si>
  <si>
    <t xml:space="preserve"> Ivory Coast </t>
  </si>
  <si>
    <t xml:space="preserve">Burkina Faso </t>
  </si>
  <si>
    <t xml:space="preserve"> Burkina Faso </t>
  </si>
  <si>
    <t xml:space="preserve">Mauritania </t>
  </si>
  <si>
    <t xml:space="preserve"> Mauritania </t>
  </si>
  <si>
    <t xml:space="preserve">Gambia </t>
  </si>
  <si>
    <t xml:space="preserve"> Gambia </t>
  </si>
  <si>
    <t xml:space="preserve">Sierra Leone </t>
  </si>
  <si>
    <t xml:space="preserve"> Sierra Leone </t>
  </si>
  <si>
    <t xml:space="preserve">Liberia </t>
  </si>
  <si>
    <t xml:space="preserve"> Liberia </t>
  </si>
  <si>
    <t xml:space="preserve">Togo </t>
  </si>
  <si>
    <t xml:space="preserve"> Togo </t>
  </si>
  <si>
    <t xml:space="preserve">Benin </t>
  </si>
  <si>
    <t xml:space="preserve"> Benin </t>
  </si>
  <si>
    <t xml:space="preserve">Cameroon </t>
  </si>
  <si>
    <t xml:space="preserve"> Cameroon North; Cameroon South </t>
  </si>
  <si>
    <t xml:space="preserve">DR Congo </t>
  </si>
  <si>
    <t xml:space="preserve"> DR Congo </t>
  </si>
  <si>
    <t xml:space="preserve">Congo </t>
  </si>
  <si>
    <t xml:space="preserve"> Congo </t>
  </si>
  <si>
    <t xml:space="preserve">Central African Republic </t>
  </si>
  <si>
    <t xml:space="preserve"> Central African Republic </t>
  </si>
  <si>
    <t xml:space="preserve">Gabon </t>
  </si>
  <si>
    <t xml:space="preserve"> Gabon </t>
  </si>
  <si>
    <t xml:space="preserve">Equatorial Guinea </t>
  </si>
  <si>
    <t xml:space="preserve"> Equatorial Guinea </t>
  </si>
  <si>
    <t xml:space="preserve">Angola </t>
  </si>
  <si>
    <t xml:space="preserve"> Angola </t>
  </si>
  <si>
    <t xml:space="preserve">Mozambique </t>
  </si>
  <si>
    <t xml:space="preserve"> Mozambique </t>
  </si>
  <si>
    <t xml:space="preserve">Cape Verde </t>
  </si>
  <si>
    <t xml:space="preserve"> Cape Verde </t>
  </si>
  <si>
    <t xml:space="preserve">São Tomé and Príncipe </t>
  </si>
  <si>
    <t xml:space="preserve"> São Tomé and Príncipe </t>
  </si>
  <si>
    <t xml:space="preserve">South Africa </t>
  </si>
  <si>
    <t xml:space="preserve"> South Africa Nguni; South Africa Sotho-Tswana; South Africa Afrikaans-Coloured </t>
  </si>
  <si>
    <t xml:space="preserve">Namibia </t>
  </si>
  <si>
    <t xml:space="preserve"> Namibia </t>
  </si>
  <si>
    <t xml:space="preserve">Botswana </t>
  </si>
  <si>
    <t xml:space="preserve"> Botswana </t>
  </si>
  <si>
    <t xml:space="preserve">Zimbabwe </t>
  </si>
  <si>
    <t xml:space="preserve"> Zimbabwe </t>
  </si>
  <si>
    <t xml:space="preserve">Zambia </t>
  </si>
  <si>
    <t xml:space="preserve"> Zambia </t>
  </si>
  <si>
    <t xml:space="preserve">Malawi </t>
  </si>
  <si>
    <t xml:space="preserve"> Malawi </t>
  </si>
  <si>
    <t xml:space="preserve">Kenya </t>
  </si>
  <si>
    <t xml:space="preserve"> Kenya </t>
  </si>
  <si>
    <t xml:space="preserve">Tanzania </t>
  </si>
  <si>
    <t xml:space="preserve"> Tanzania </t>
  </si>
  <si>
    <t xml:space="preserve">Uganda </t>
  </si>
  <si>
    <t xml:space="preserve"> Uganda </t>
  </si>
  <si>
    <t xml:space="preserve">Rwanda </t>
  </si>
  <si>
    <t xml:space="preserve"> Rwanda </t>
  </si>
  <si>
    <t xml:space="preserve">Burundi </t>
  </si>
  <si>
    <t xml:space="preserve"> Burundi </t>
  </si>
  <si>
    <t xml:space="preserve">Ethiopia </t>
  </si>
  <si>
    <t xml:space="preserve"> Ethiopia Amhara-Tigray; Ethiopia Oromo </t>
  </si>
  <si>
    <t xml:space="preserve">Eritrea </t>
  </si>
  <si>
    <t xml:space="preserve"> Eritrea </t>
  </si>
  <si>
    <t xml:space="preserve">Somalia </t>
  </si>
  <si>
    <t xml:space="preserve"> Somalia </t>
  </si>
  <si>
    <t xml:space="preserve">Djibouti </t>
  </si>
  <si>
    <t xml:space="preserve"> Djibouti </t>
  </si>
  <si>
    <t xml:space="preserve">Sudan </t>
  </si>
  <si>
    <t xml:space="preserve"> Sudan </t>
  </si>
  <si>
    <t xml:space="preserve">South Sudan </t>
  </si>
  <si>
    <t xml:space="preserve"> South Sudan </t>
  </si>
  <si>
    <t xml:space="preserve">Niger </t>
  </si>
  <si>
    <t xml:space="preserve"> Niger </t>
  </si>
  <si>
    <t xml:space="preserve">Chad </t>
  </si>
  <si>
    <t xml:space="preserve"> Chad </t>
  </si>
  <si>
    <t xml:space="preserve">Mexico </t>
  </si>
  <si>
    <t xml:space="preserve"> Mexico </t>
  </si>
  <si>
    <t xml:space="preserve">Guatemala </t>
  </si>
  <si>
    <t xml:space="preserve"> Guatemala </t>
  </si>
  <si>
    <t xml:space="preserve">Honduras </t>
  </si>
  <si>
    <t xml:space="preserve"> Honduras </t>
  </si>
  <si>
    <t xml:space="preserve">El Salvador </t>
  </si>
  <si>
    <t xml:space="preserve"> El Salvador </t>
  </si>
  <si>
    <t xml:space="preserve">Nicaragua </t>
  </si>
  <si>
    <t xml:space="preserve"> Nicaragua </t>
  </si>
  <si>
    <t xml:space="preserve">Costa Rica </t>
  </si>
  <si>
    <t xml:space="preserve"> Costa Rica </t>
  </si>
  <si>
    <t xml:space="preserve">Panama </t>
  </si>
  <si>
    <t xml:space="preserve"> Panama </t>
  </si>
  <si>
    <t xml:space="preserve">Cuba </t>
  </si>
  <si>
    <t xml:space="preserve"> Cuba </t>
  </si>
  <si>
    <t xml:space="preserve">Dominican Republic </t>
  </si>
  <si>
    <t xml:space="preserve"> Dominican Republic </t>
  </si>
  <si>
    <t xml:space="preserve">Puerto Rico </t>
  </si>
  <si>
    <t xml:space="preserve"> Puerto Rico </t>
  </si>
  <si>
    <t xml:space="preserve">Jamaica </t>
  </si>
  <si>
    <t xml:space="preserve"> Jamaica </t>
  </si>
  <si>
    <t xml:space="preserve">Trinidad and Tobago </t>
  </si>
  <si>
    <t xml:space="preserve"> Trinidad and Tobago </t>
  </si>
  <si>
    <t xml:space="preserve">Barbados </t>
  </si>
  <si>
    <t xml:space="preserve"> Barbados </t>
  </si>
  <si>
    <t xml:space="preserve">Saint Lucia </t>
  </si>
  <si>
    <t xml:space="preserve"> Saint Lucia </t>
  </si>
  <si>
    <t xml:space="preserve">Grenada </t>
  </si>
  <si>
    <t xml:space="preserve"> Grenada </t>
  </si>
  <si>
    <t xml:space="preserve">Haiti </t>
  </si>
  <si>
    <t xml:space="preserve"> Haiti </t>
  </si>
  <si>
    <t xml:space="preserve">Guadeloupe </t>
  </si>
  <si>
    <t xml:space="preserve"> Guadeloupe </t>
  </si>
  <si>
    <t xml:space="preserve">Martinique </t>
  </si>
  <si>
    <t xml:space="preserve"> Martinique </t>
  </si>
  <si>
    <t xml:space="preserve">French Guiana </t>
  </si>
  <si>
    <t xml:space="preserve"> French Guiana </t>
  </si>
  <si>
    <t xml:space="preserve">Colombia </t>
  </si>
  <si>
    <t xml:space="preserve"> Colombia </t>
  </si>
  <si>
    <t xml:space="preserve">Venezuela </t>
  </si>
  <si>
    <t xml:space="preserve"> Venezuela </t>
  </si>
  <si>
    <t xml:space="preserve">Ecuador </t>
  </si>
  <si>
    <t xml:space="preserve"> Ecuador </t>
  </si>
  <si>
    <t xml:space="preserve">Peru </t>
  </si>
  <si>
    <t xml:space="preserve"> Peru </t>
  </si>
  <si>
    <t xml:space="preserve">Bolivia </t>
  </si>
  <si>
    <t xml:space="preserve"> Bolivia </t>
  </si>
  <si>
    <t xml:space="preserve">Chile </t>
  </si>
  <si>
    <t xml:space="preserve"> Chile </t>
  </si>
  <si>
    <t xml:space="preserve">Argentina </t>
  </si>
  <si>
    <t xml:space="preserve"> Argentina </t>
  </si>
  <si>
    <t xml:space="preserve">Uruguay </t>
  </si>
  <si>
    <t xml:space="preserve"> Uruguay </t>
  </si>
  <si>
    <t xml:space="preserve">Paraguay </t>
  </si>
  <si>
    <t xml:space="preserve"> Paraguay </t>
  </si>
  <si>
    <t xml:space="preserve">Brazil </t>
  </si>
  <si>
    <t xml:space="preserve"> Brazil General; Brazil South; Brazil Northeast </t>
  </si>
  <si>
    <t xml:space="preserve">Suriname </t>
  </si>
  <si>
    <t xml:space="preserve"> Suriname Creole; Suriname Hindustani </t>
  </si>
  <si>
    <t xml:space="preserve">Curaçao </t>
  </si>
  <si>
    <t xml:space="preserve"> Curaçao </t>
  </si>
  <si>
    <t xml:space="preserve">Aruba </t>
  </si>
  <si>
    <t xml:space="preserve"> Aruba </t>
  </si>
  <si>
    <t xml:space="preserve">Guyana </t>
  </si>
  <si>
    <t xml:space="preserve"> Guyana Afro; Guyana Indo </t>
  </si>
  <si>
    <t xml:space="preserve">Australia </t>
  </si>
  <si>
    <t xml:space="preserve"> Australia </t>
  </si>
  <si>
    <t xml:space="preserve">New Zealand </t>
  </si>
  <si>
    <t xml:space="preserve">Samoa </t>
  </si>
  <si>
    <t xml:space="preserve"> Samoa </t>
  </si>
  <si>
    <t xml:space="preserve">Tonga </t>
  </si>
  <si>
    <t xml:space="preserve"> Tonga </t>
  </si>
  <si>
    <t xml:space="preserve">Fiji </t>
  </si>
  <si>
    <t xml:space="preserve"> Fiji Indigenous; Fiji Indian </t>
  </si>
  <si>
    <t xml:space="preserve">Papua New Guinea </t>
  </si>
  <si>
    <t xml:space="preserve"> Papua New Guinea </t>
  </si>
  <si>
    <t xml:space="preserve">Solomon Islands </t>
  </si>
  <si>
    <t xml:space="preserve"> Solomon Islands </t>
  </si>
  <si>
    <t xml:space="preserve">Vanuatu </t>
  </si>
  <si>
    <t xml:space="preserve"> Vanuatu </t>
  </si>
  <si>
    <t xml:space="preserve">New Caledonia </t>
  </si>
  <si>
    <t xml:space="preserve"> New Caledonia </t>
  </si>
  <si>
    <t xml:space="preserve"> T4 </t>
  </si>
  <si>
    <t xml:space="preserve"> G3 </t>
  </si>
  <si>
    <t xml:space="preserve"> Small market, decent football culture, one pool enough</t>
  </si>
  <si>
    <t xml:space="preserve"> G2 </t>
  </si>
  <si>
    <t xml:space="preserve"> Strong monetization potential, one pool enough</t>
  </si>
  <si>
    <t xml:space="preserve"> Strong football interest + monetization potential</t>
  </si>
  <si>
    <t xml:space="preserve"> T3 </t>
  </si>
  <si>
    <t xml:space="preserve"> Good market, moderate split worth keeping</t>
  </si>
  <si>
    <t xml:space="preserve"> G1 </t>
  </si>
  <si>
    <t xml:space="preserve"> Flagship football market</t>
  </si>
  <si>
    <t xml:space="preserve"> Strong football culture, one pool enough</t>
  </si>
  <si>
    <t xml:space="preserve"> Useful regional distinction</t>
  </si>
  <si>
    <t xml:space="preserve"> Strong monetization and football relevance</t>
  </si>
  <si>
    <t xml:space="preserve"> Split worth it and football relevance is high</t>
  </si>
  <si>
    <t xml:space="preserve"> Flagship football culture + strong market</t>
  </si>
  <si>
    <t xml:space="preserve"> Small but high monetization potential</t>
  </si>
  <si>
    <t xml:space="preserve"> Good market, one pool enough</t>
  </si>
  <si>
    <t xml:space="preserve"> High-value market and split is worth it</t>
  </si>
  <si>
    <t xml:space="preserve"> G4 </t>
  </si>
  <si>
    <t xml:space="preserve"> Low priority micro-market</t>
  </si>
  <si>
    <t xml:space="preserve"> Strong football interest, good global relevance</t>
  </si>
  <si>
    <t xml:space="preserve"> Micro-market, can stay simple</t>
  </si>
  <si>
    <t xml:space="preserve"> Small market but distinct enough to keep</t>
  </si>
  <si>
    <t xml:space="preserve"> Large football-relevant market</t>
  </si>
  <si>
    <t xml:space="preserve"> Good football market, one pool enough</t>
  </si>
  <si>
    <t xml:space="preserve"> Medium priority</t>
  </si>
  <si>
    <t xml:space="preserve"> Good football relevance, one pool enough</t>
  </si>
  <si>
    <t xml:space="preserve"> Large enough and football-relevant</t>
  </si>
  <si>
    <t xml:space="preserve"> Keep separate if modeled, but lower priority</t>
  </si>
  <si>
    <t xml:space="preserve"> Small market but high football salience</t>
  </si>
  <si>
    <t xml:space="preserve"> Medium priority, one V1 pool</t>
  </si>
  <si>
    <t xml:space="preserve"> Strong football salience</t>
  </si>
  <si>
    <t xml:space="preserve"> Lower priority, keep simple</t>
  </si>
  <si>
    <t xml:space="preserve"> Lower priority, separate if modeled</t>
  </si>
  <si>
    <t xml:space="preserve"> Good football market</t>
  </si>
  <si>
    <t xml:space="preserve"> Worth split if modeled</t>
  </si>
  <si>
    <t xml:space="preserve"> Lower-medium priority</t>
  </si>
  <si>
    <t xml:space="preserve"> Low priority for now</t>
  </si>
  <si>
    <t xml:space="preserve"> T2 </t>
  </si>
  <si>
    <t xml:space="preserve"> Very strong football and market relevance</t>
  </si>
  <si>
    <t xml:space="preserve">United States </t>
  </si>
  <si>
    <t xml:space="preserve"> United States General; United States Hispanic </t>
  </si>
  <si>
    <t xml:space="preserve"> Huge market, revenue potential extremely high, V1 split useful</t>
  </si>
  <si>
    <t xml:space="preserve">Canada </t>
  </si>
  <si>
    <t xml:space="preserve"> Canada English; Canada French </t>
  </si>
  <si>
    <t xml:space="preserve"> Strong market and monetization, split worth it</t>
  </si>
  <si>
    <t xml:space="preserve"> Medium priority, one V1 pool fine</t>
  </si>
  <si>
    <t xml:space="preserve"> Lower priority</t>
  </si>
  <si>
    <t xml:space="preserve"> Separate only if modeled distinctly</t>
  </si>
  <si>
    <t xml:space="preserve"> Medium priority, one pool enough</t>
  </si>
  <si>
    <t xml:space="preserve"> Small market but strong football/identity value</t>
  </si>
  <si>
    <t xml:space="preserve"> Lower priority if separately modeled</t>
  </si>
  <si>
    <t xml:space="preserve"> Strong football market</t>
  </si>
  <si>
    <t xml:space="preserve"> Small but very high football salience</t>
  </si>
  <si>
    <t xml:space="preserve"> Flagship football market, controlled V1 split</t>
  </si>
  <si>
    <t xml:space="preserve"> Medium priority, split worth it</t>
  </si>
  <si>
    <t xml:space="preserve"> Small but football-visible</t>
  </si>
  <si>
    <t xml:space="preserve"> Flagship MENA football market</t>
  </si>
  <si>
    <t xml:space="preserve"> Lower priority for current practical reasons</t>
  </si>
  <si>
    <t xml:space="preserve"> Medium priority if modeled</t>
  </si>
  <si>
    <t xml:space="preserve"> Large market and football relevance</t>
  </si>
  <si>
    <t xml:space="preserve"> Very high revenue potential + football investment</t>
  </si>
  <si>
    <t xml:space="preserve"> Very high monetization potential</t>
  </si>
  <si>
    <t xml:space="preserve"> Small population but very high football/revenue relevance</t>
  </si>
  <si>
    <t xml:space="preserve"> Medium priority if in scope</t>
  </si>
  <si>
    <t xml:space="preserve"> T1 </t>
  </si>
  <si>
    <t xml:space="preserve"> Huge market, huge future upside, V1 intentionally coarse</t>
  </si>
  <si>
    <t xml:space="preserve"> Large market, split worth it</t>
  </si>
  <si>
    <t xml:space="preserve"> Large market, one pool enough in V1</t>
  </si>
  <si>
    <t xml:space="preserve"> Medium priority, split worth keeping</t>
  </si>
  <si>
    <t xml:space="preserve"> Structurally important but lower near-term game priority</t>
  </si>
  <si>
    <t xml:space="preserve"> Massive market, V1 intentionally coarse</t>
  </si>
  <si>
    <t xml:space="preserve"> Flagship market, one pool enough</t>
  </si>
  <si>
    <t xml:space="preserve"> Strong growth market</t>
  </si>
  <si>
    <t xml:space="preserve"> Strong football/gaming market</t>
  </si>
  <si>
    <t xml:space="preserve"> Important market, V1 split already needed</t>
  </si>
  <si>
    <t xml:space="preserve"> Good market, useful split</t>
  </si>
  <si>
    <t xml:space="preserve"> Strong monetization + football niche value</t>
  </si>
  <si>
    <t xml:space="preserve"> Strong monetization if separately modeled</t>
  </si>
  <si>
    <t xml:space="preserve"> Huge population and football relevance, V1 split justified</t>
  </si>
  <si>
    <t xml:space="preserve"> Strong football relevance, split worth it</t>
  </si>
  <si>
    <t xml:space="preserve"> Big market, V1 intentionally coarse</t>
  </si>
  <si>
    <t xml:space="preserve"> Lower priority-medium</t>
  </si>
  <si>
    <t xml:space="preserve"> Strong regional market</t>
  </si>
  <si>
    <t xml:space="preserve"> Strong market, one pool enough</t>
  </si>
  <si>
    <t xml:space="preserve"> New Zealand; New Zealand Māori </t>
  </si>
  <si>
    <t xml:space="preserve"> Good market, split worth it</t>
  </si>
  <si>
    <t xml:space="preserve"> Lower priority if modeled</t>
  </si>
  <si>
    <t>Importance</t>
  </si>
  <si>
    <t>Complexity</t>
  </si>
  <si>
    <t>Name Census</t>
  </si>
  <si>
    <t>surnames</t>
  </si>
  <si>
    <t>firstnames</t>
  </si>
  <si>
    <t>AL</t>
  </si>
  <si>
    <t>Albania</t>
  </si>
  <si>
    <t>AT</t>
  </si>
  <si>
    <t>Austria</t>
  </si>
  <si>
    <t>BA</t>
  </si>
  <si>
    <t>Bosnia and Herzegovina</t>
  </si>
  <si>
    <t>BE</t>
  </si>
  <si>
    <t>Belgium</t>
  </si>
  <si>
    <t>BG</t>
  </si>
  <si>
    <t>Bulgaria</t>
  </si>
  <si>
    <t>BY</t>
  </si>
  <si>
    <t>Belarus</t>
  </si>
  <si>
    <t>CH</t>
  </si>
  <si>
    <t>Switzerland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</si>
  <si>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</si>
  <si>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</si>
  <si>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</si>
  <si>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</si>
  <si>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</si>
  <si>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</si>
  <si>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</si>
  <si>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</si>
  <si>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</si>
  <si>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</si>
  <si>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</si>
  <si>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</si>
  <si>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</si>
  <si>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</si>
  <si>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</si>
  <si>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</si>
  <si>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</si>
  <si>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</si>
  <si>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GR</t>
  </si>
  <si>
    <t>Greece</t>
  </si>
  <si>
    <t>HR</t>
  </si>
  <si>
    <t>Croatia</t>
  </si>
  <si>
    <t>HU</t>
  </si>
  <si>
    <t>Hungary</t>
  </si>
  <si>
    <t>IE</t>
  </si>
  <si>
    <t>Ireland</t>
  </si>
  <si>
    <t>IS</t>
  </si>
  <si>
    <t>Iceland</t>
  </si>
  <si>
    <t>IT</t>
  </si>
  <si>
    <t>Italy</t>
  </si>
  <si>
    <t>JE</t>
  </si>
  <si>
    <t>Jersey</t>
  </si>
  <si>
    <t>LT</t>
  </si>
  <si>
    <t>Lithuania</t>
  </si>
  <si>
    <t>LU</t>
  </si>
  <si>
    <t>Luxembourg</t>
  </si>
  <si>
    <t>LV</t>
  </si>
  <si>
    <t>Latvia</t>
  </si>
  <si>
    <t>MD</t>
  </si>
  <si>
    <t>Moldova</t>
  </si>
  <si>
    <t>MK</t>
  </si>
  <si>
    <t>Macedonia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</si>
  <si>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</si>
  <si>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</si>
  <si>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</si>
  <si>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</si>
  <si>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</si>
  <si>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</si>
  <si>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</si>
  <si>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</si>
  <si>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</si>
  <si>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</si>
  <si>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</si>
  <si>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</si>
  <si>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RS</t>
  </si>
  <si>
    <t>Serbia</t>
  </si>
  <si>
    <t>RU</t>
  </si>
  <si>
    <t>Russia</t>
  </si>
  <si>
    <t>SE</t>
  </si>
  <si>
    <t>Sweden</t>
  </si>
  <si>
    <t>SI</t>
  </si>
  <si>
    <t>Slovenia</t>
  </si>
  <si>
    <t>SK</t>
  </si>
  <si>
    <t>Slovakia</t>
  </si>
  <si>
    <t>UA</t>
  </si>
  <si>
    <t>Ukraine</t>
  </si>
  <si>
    <t>AU</t>
  </si>
  <si>
    <t>Australia</t>
  </si>
  <si>
    <t>NZ</t>
  </si>
  <si>
    <t>New Zealand</t>
  </si>
  <si>
    <t>PG</t>
  </si>
  <si>
    <t>Papua New Guinea</t>
  </si>
  <si>
    <t>Bermuda</t>
  </si>
  <si>
    <t>BM</t>
  </si>
  <si>
    <t>Bahamas</t>
  </si>
  <si>
    <t>BS</t>
  </si>
  <si>
    <t>Belize</t>
  </si>
  <si>
    <t>BZ</t>
  </si>
  <si>
    <t>Canada</t>
  </si>
  <si>
    <t>CA</t>
  </si>
  <si>
    <t>Costa Rica</t>
  </si>
  <si>
    <t>CR</t>
  </si>
  <si>
    <t>Cuba</t>
  </si>
  <si>
    <t>CU</t>
  </si>
  <si>
    <t>Dominican Republic</t>
  </si>
  <si>
    <t>DO</t>
  </si>
  <si>
    <t>Guatemala</t>
  </si>
  <si>
    <t>GT</t>
  </si>
  <si>
    <t>Honduras</t>
  </si>
  <si>
    <t>HN</t>
  </si>
  <si>
    <t>Haiti</t>
  </si>
  <si>
    <t>HT</t>
  </si>
  <si>
    <t>Jamaica</t>
  </si>
  <si>
    <t>JM</t>
  </si>
  <si>
    <t>Mexico</t>
  </si>
  <si>
    <t>MX</t>
  </si>
  <si>
    <t>Nicaragua</t>
  </si>
  <si>
    <t>NI</t>
  </si>
  <si>
    <t>Panama</t>
  </si>
  <si>
    <t>PA</t>
  </si>
  <si>
    <t>El Salvador</t>
  </si>
  <si>
    <t>SV</t>
  </si>
  <si>
    <t>Trinidad and Tobago</t>
  </si>
  <si>
    <t>TT</t>
  </si>
  <si>
    <t>United States</t>
  </si>
  <si>
    <t>US</t>
  </si>
  <si>
    <t>Saint Vincent</t>
  </si>
  <si>
    <t>VC</t>
  </si>
  <si>
    <t>Argentina</t>
  </si>
  <si>
    <t>AR</t>
  </si>
  <si>
    <t>Bolivia</t>
  </si>
  <si>
    <t>BO</t>
  </si>
  <si>
    <t>Brazil</t>
  </si>
  <si>
    <t>BR</t>
  </si>
  <si>
    <t>Chile</t>
  </si>
  <si>
    <t>CL</t>
  </si>
  <si>
    <t>Colombia</t>
  </si>
  <si>
    <t>CO</t>
  </si>
  <si>
    <t>Ecuador</t>
  </si>
  <si>
    <t>EC</t>
  </si>
  <si>
    <t>Peru</t>
  </si>
  <si>
    <t>PE</t>
  </si>
  <si>
    <t>Paraguay</t>
  </si>
  <si>
    <t>PY</t>
  </si>
  <si>
    <t>Uruguay</t>
  </si>
  <si>
    <t>UY</t>
  </si>
  <si>
    <t>Venezuela</t>
  </si>
  <si>
    <t>VE</t>
  </si>
  <si>
    <t>United Arab Emirates</t>
  </si>
  <si>
    <t>AE</t>
  </si>
  <si>
    <t>Afghanistan</t>
  </si>
  <si>
    <t>AF</t>
  </si>
  <si>
    <t>Armenia</t>
  </si>
  <si>
    <t>AM</t>
  </si>
  <si>
    <t>Azerbaijan</t>
  </si>
  <si>
    <t>AZ</t>
  </si>
  <si>
    <t>Bangladesh</t>
  </si>
  <si>
    <t>BD</t>
  </si>
  <si>
    <t>Bahrain</t>
  </si>
  <si>
    <t>BH</t>
  </si>
  <si>
    <t>China</t>
  </si>
  <si>
    <t>CN</t>
  </si>
  <si>
    <t>Georgia</t>
  </si>
  <si>
    <t>GE</t>
  </si>
  <si>
    <t>Hong Kong</t>
  </si>
  <si>
    <t>HK</t>
  </si>
  <si>
    <t>Indonesia</t>
  </si>
  <si>
    <t>ID</t>
  </si>
  <si>
    <t>Israel</t>
  </si>
  <si>
    <t>IL</t>
  </si>
  <si>
    <t>India</t>
  </si>
  <si>
    <t>IN</t>
  </si>
  <si>
    <t>Iraq</t>
  </si>
  <si>
    <t>IQ</t>
  </si>
  <si>
    <t>Iran</t>
  </si>
  <si>
    <t>IR</t>
  </si>
  <si>
    <t>Jordan</t>
  </si>
  <si>
    <t>JO</t>
  </si>
  <si>
    <t>Japan</t>
  </si>
  <si>
    <t>JP</t>
  </si>
  <si>
    <t>South Korea</t>
  </si>
  <si>
    <t>KR</t>
  </si>
  <si>
    <t>Kuwait</t>
  </si>
  <si>
    <t>KW</t>
  </si>
  <si>
    <t>Kazakhstan</t>
  </si>
  <si>
    <t>KZ</t>
  </si>
  <si>
    <t>Lebanon</t>
  </si>
  <si>
    <t>LB</t>
  </si>
  <si>
    <t>Sri Lanka</t>
  </si>
  <si>
    <t>LK</t>
  </si>
  <si>
    <t>Myanmar [Burma]</t>
  </si>
  <si>
    <t>MM</t>
  </si>
  <si>
    <t>Malaysia</t>
  </si>
  <si>
    <t>MY</t>
  </si>
  <si>
    <t>Nepal</t>
  </si>
  <si>
    <t>NP</t>
  </si>
  <si>
    <t>Oman</t>
  </si>
  <si>
    <t>OM</t>
  </si>
  <si>
    <t>Philippines</t>
  </si>
  <si>
    <t>PH</t>
  </si>
  <si>
    <t>Pakistan</t>
  </si>
  <si>
    <t>PK</t>
  </si>
  <si>
    <t>Palestine</t>
  </si>
  <si>
    <t>PS</t>
  </si>
  <si>
    <t>Qatar</t>
  </si>
  <si>
    <t>QA</t>
  </si>
  <si>
    <t>Saudi Arabia</t>
  </si>
  <si>
    <t>SA</t>
  </si>
  <si>
    <t>Singapore</t>
  </si>
  <si>
    <t>SG</t>
  </si>
  <si>
    <t>Syria</t>
  </si>
  <si>
    <t>SY</t>
  </si>
  <si>
    <t>Thailand</t>
  </si>
  <si>
    <t>TH</t>
  </si>
  <si>
    <t>TR</t>
  </si>
  <si>
    <t>Taiwan</t>
  </si>
  <si>
    <t>TW</t>
  </si>
  <si>
    <t>Uzbekistan</t>
  </si>
  <si>
    <t>UZ</t>
  </si>
  <si>
    <t>Vietnam</t>
  </si>
  <si>
    <t>VN</t>
  </si>
  <si>
    <t>Kosovo</t>
  </si>
  <si>
    <t>YE</t>
  </si>
  <si>
    <t>Angola</t>
  </si>
  <si>
    <t>AO</t>
  </si>
  <si>
    <t>Burkina Faso</t>
  </si>
  <si>
    <t>BF</t>
  </si>
  <si>
    <t>Benin</t>
  </si>
  <si>
    <t>BJ</t>
  </si>
  <si>
    <t>Congo</t>
  </si>
  <si>
    <t>CD</t>
  </si>
  <si>
    <t>Republic of the Congo</t>
  </si>
  <si>
    <t>CG</t>
  </si>
  <si>
    <t>Ivory Coast</t>
  </si>
  <si>
    <t>CI</t>
  </si>
  <si>
    <t>Cameroon</t>
  </si>
  <si>
    <t>CM</t>
  </si>
  <si>
    <t>Cape Verde</t>
  </si>
  <si>
    <t>CV</t>
  </si>
  <si>
    <t>Algeria</t>
  </si>
  <si>
    <t>DZ</t>
  </si>
  <si>
    <t>Egypt</t>
  </si>
  <si>
    <t>EG</t>
  </si>
  <si>
    <t>Ethiopia</t>
  </si>
  <si>
    <t>ET</t>
  </si>
  <si>
    <t>Ghana</t>
  </si>
  <si>
    <t>GH</t>
  </si>
  <si>
    <t>Guinea</t>
  </si>
  <si>
    <t>GN</t>
  </si>
  <si>
    <t>Kenya</t>
  </si>
  <si>
    <t>KE</t>
  </si>
  <si>
    <t>Liberia</t>
  </si>
  <si>
    <t>LR</t>
  </si>
  <si>
    <t>Libya</t>
  </si>
  <si>
    <t>LY</t>
  </si>
  <si>
    <t>Morocco</t>
  </si>
  <si>
    <t>MA</t>
  </si>
  <si>
    <t>Mali</t>
  </si>
  <si>
    <t>ML</t>
  </si>
  <si>
    <t>Mozambique</t>
  </si>
  <si>
    <t>MZ</t>
  </si>
  <si>
    <t>Nigeria</t>
  </si>
  <si>
    <t>NG</t>
  </si>
  <si>
    <t>Rwanda</t>
  </si>
  <si>
    <t>RW</t>
  </si>
  <si>
    <t>Sudan</t>
  </si>
  <si>
    <t>SD</t>
  </si>
  <si>
    <t>Senegal</t>
  </si>
  <si>
    <t>SN</t>
  </si>
  <si>
    <t>Somalia</t>
  </si>
  <si>
    <t>SO</t>
  </si>
  <si>
    <t>Tunisia</t>
  </si>
  <si>
    <t>TN</t>
  </si>
  <si>
    <t>Tanzania</t>
  </si>
  <si>
    <t>TZ</t>
  </si>
  <si>
    <t>Uganda</t>
  </si>
  <si>
    <t>UG</t>
  </si>
  <si>
    <t>Mayotte</t>
  </si>
  <si>
    <t>ZA</t>
  </si>
  <si>
    <t>Zambia</t>
  </si>
  <si>
    <t>ZM</t>
  </si>
  <si>
    <t>Zimbabwe</t>
  </si>
  <si>
    <t>ZW</t>
  </si>
  <si>
    <t>Country</t>
  </si>
  <si>
    <t>countrycode</t>
  </si>
  <si>
    <t>Surnames</t>
  </si>
  <si>
    <t>FirstNames</t>
  </si>
  <si>
    <t>ONLY as UK</t>
  </si>
  <si>
    <t>Available as Macedonia?</t>
  </si>
  <si>
    <t>Listed as South Korea</t>
  </si>
  <si>
    <t>listed as Myanmar [Burma]</t>
  </si>
  <si>
    <t>Listed as Republic of Congo</t>
  </si>
  <si>
    <t>spain+france</t>
  </si>
  <si>
    <t>Catalan space; Spanish/Catalan-first usually works better than French-only</t>
  </si>
  <si>
    <t>Serbia+ Croatia +Bonsia</t>
  </si>
  <si>
    <t>Serbia-first usually enough; blend helps</t>
  </si>
  <si>
    <t>Best fallback pool(s)</t>
  </si>
  <si>
    <t>Coverage quality</t>
  </si>
  <si>
    <t>Note</t>
  </si>
  <si>
    <t>Andorra</t>
  </si>
  <si>
    <t>Spain + France</t>
  </si>
  <si>
    <t>Good</t>
  </si>
  <si>
    <t>San Marino</t>
  </si>
  <si>
    <t>Excellent</t>
  </si>
  <si>
    <t>Italy is the obvious stand-in</t>
  </si>
  <si>
    <t>Montenegro</t>
  </si>
  <si>
    <t>Serbia + Croatia + Bosnia</t>
  </si>
  <si>
    <t>Puerto Rico</t>
  </si>
  <si>
    <t>Dominican Republic + Cuba + Spain</t>
  </si>
  <si>
    <t>Spanish naming core; Caribbean overlay helps</t>
  </si>
  <si>
    <t>Barbados</t>
  </si>
  <si>
    <t>AfroCaribbean / Jamaica / Trinidad-type Caribbean pool</t>
  </si>
  <si>
    <t>Anglophone Caribbean pattern</t>
  </si>
  <si>
    <t>Saint Lucia</t>
  </si>
  <si>
    <t>AfroCaribbean + French Caribbean</t>
  </si>
  <si>
    <t>Medium</t>
  </si>
  <si>
    <t>Better as English/French Caribbean blend</t>
  </si>
  <si>
    <t>Grenada</t>
  </si>
  <si>
    <t>AfroCaribbean / Trinidad-type</t>
  </si>
  <si>
    <t>Anglophone Caribbean</t>
  </si>
  <si>
    <t>Guadeloupe</t>
  </si>
  <si>
    <t>France + French Caribbean</t>
  </si>
  <si>
    <t>France alone too metropolitan; blend helps</t>
  </si>
  <si>
    <t>Martinique</t>
  </si>
  <si>
    <t>Same logic as Guadeloupe</t>
  </si>
  <si>
    <t>French Guiana</t>
  </si>
  <si>
    <t>France + Suriname + Guyana + Caribbean blend</t>
  </si>
  <si>
    <t>France alone is too narrow</t>
  </si>
  <si>
    <t>Suriname</t>
  </si>
  <si>
    <t>Netherlands + Guyana + Caribbean + South Asian enrich</t>
  </si>
  <si>
    <t>Needs mixed-source treatment</t>
  </si>
  <si>
    <t>Guyana</t>
  </si>
  <si>
    <t>Caribbean + Trinidad/Guyana-type + South Asian enrich</t>
  </si>
  <si>
    <t>Afro + Indo naming mix matters</t>
  </si>
  <si>
    <t>Curaçao</t>
  </si>
  <si>
    <t>Netherlands + Caribbean</t>
  </si>
  <si>
    <t>Dutch-Caribbean blend works</t>
  </si>
  <si>
    <t>Aruba</t>
  </si>
  <si>
    <t>Netherlands + Caribbean + Venezuela/LatAm blend</t>
  </si>
  <si>
    <t>Dutch alone too narrow</t>
  </si>
  <si>
    <t>Yemen</t>
  </si>
  <si>
    <t>Saudi / ArabPeninsula</t>
  </si>
  <si>
    <t>Good fallback, but Yemeni specifics would improve it</t>
  </si>
  <si>
    <t>Bhutan</t>
  </si>
  <si>
    <t>Nepal + Tibet/Himalayan-style custom enrich</t>
  </si>
  <si>
    <t>Weak</t>
  </si>
  <si>
    <t>South Asian fallback alone is not ideal</t>
  </si>
  <si>
    <t>Maldives</t>
  </si>
  <si>
    <t>Sri Lanka + IndiaSouth + Arabic enrich</t>
  </si>
  <si>
    <t>Needs island/Muslim overlay</t>
  </si>
  <si>
    <t>Mongolia</t>
  </si>
  <si>
    <t>Mongolia really wants its own pool; Kazakhstan/Kyrgyz only partial</t>
  </si>
  <si>
    <t>Distinct naming system</t>
  </si>
  <si>
    <t>Tajikistan</t>
  </si>
  <si>
    <t>Iran/Persia + Uzbekistan</t>
  </si>
  <si>
    <t>Persia-first with Central Asian overlay</t>
  </si>
  <si>
    <t>Kyrgyzstan</t>
  </si>
  <si>
    <t>Kazakhstan + Uzbekistan</t>
  </si>
  <si>
    <t>Central Asian Turkic fallback works</t>
  </si>
  <si>
    <t>Turkmenistan</t>
  </si>
  <si>
    <t>Uzbekistan + Kazakhstan + Turkey (light)</t>
  </si>
  <si>
    <t>Usable, but should be Turkic-Central Asian, not Turkish-heavy</t>
  </si>
  <si>
    <t>Cambodia</t>
  </si>
  <si>
    <t>Thailand + Vietnam (light) + Khmer enrich</t>
  </si>
  <si>
    <t>Thailand-alone is too wrong</t>
  </si>
  <si>
    <t>Laos</t>
  </si>
  <si>
    <t>Probably the easiest SEA fallback here</t>
  </si>
  <si>
    <t>Guinea-Bissau</t>
  </si>
  <si>
    <t>Guinea + Senegal + Portuguese enrich</t>
  </si>
  <si>
    <t>Lusophone layer helps</t>
  </si>
  <si>
    <t>Mauritania</t>
  </si>
  <si>
    <t>Morocco + Mali + Senegal</t>
  </si>
  <si>
    <t>Arab-Berber + Sahel mix</t>
  </si>
  <si>
    <t>Gambia</t>
  </si>
  <si>
    <t>Very close naming space for game purposes</t>
  </si>
  <si>
    <t>Sierra Leone</t>
  </si>
  <si>
    <t>Liberia + Guinea + Ghana/Nigeria enrich</t>
  </si>
  <si>
    <t>Needs mixed West African treatment</t>
  </si>
  <si>
    <t>Togo</t>
  </si>
  <si>
    <t>Ghana + Benin</t>
  </si>
  <si>
    <t>Very coverable by neighbors</t>
  </si>
  <si>
    <t>Central African Republic</t>
  </si>
  <si>
    <t>Cameroon + Congo + Chad</t>
  </si>
  <si>
    <t>Needs Central African blend</t>
  </si>
  <si>
    <t>Gabon</t>
  </si>
  <si>
    <t>Congo + Cameroon</t>
  </si>
  <si>
    <t>Pretty workable</t>
  </si>
  <si>
    <t>Equatorial Guinea</t>
  </si>
  <si>
    <t>Spain + Cameroon + Gabon</t>
  </si>
  <si>
    <t>Spain alone is insufficient</t>
  </si>
  <si>
    <t>São Tomé and Príncipe</t>
  </si>
  <si>
    <t>Portugal + Angola + Lusophone Africa</t>
  </si>
  <si>
    <t>Portuguese core with African overlay</t>
  </si>
  <si>
    <t>Namibia</t>
  </si>
  <si>
    <t>South Africa + Botswana + German/Afrikaans light enrich</t>
  </si>
  <si>
    <t>Regionally coverable</t>
  </si>
  <si>
    <t>Botswana</t>
  </si>
  <si>
    <t>South Africa</t>
  </si>
  <si>
    <t>Southern African fallback works well</t>
  </si>
  <si>
    <t>Malawi</t>
  </si>
  <si>
    <t>Zambia + Zimbabwe + Mozambique</t>
  </si>
  <si>
    <t>Regional blend better than one source only</t>
  </si>
  <si>
    <t>Burundi</t>
  </si>
  <si>
    <t>Rwanda + Tanzania</t>
  </si>
  <si>
    <t>Rwanda-first usually works</t>
  </si>
  <si>
    <t>Eritrea</t>
  </si>
  <si>
    <t>Ethiopia + Sudan</t>
  </si>
  <si>
    <t>Ethiopia-first, but custom patching recommended</t>
  </si>
  <si>
    <t>Djibouti</t>
  </si>
  <si>
    <t>Somalia + Ethiopia + Arab enrich</t>
  </si>
  <si>
    <t>Needs Horn/Arab blend</t>
  </si>
  <si>
    <t>South Sudan</t>
  </si>
  <si>
    <t>Sudan + Uganda + Kenya</t>
  </si>
  <si>
    <t>Better as mixed Nilotic/East African treatment</t>
  </si>
  <si>
    <t>Niger</t>
  </si>
  <si>
    <t>Nigeria North + Mali + Chad</t>
  </si>
  <si>
    <t>Sahel blend needed</t>
  </si>
  <si>
    <t>Chad</t>
  </si>
  <si>
    <t>Niger + Sudan + CAR + Cameroon</t>
  </si>
  <si>
    <t>Mixed Sahel/Central fallback</t>
  </si>
  <si>
    <t>Samoa</t>
  </si>
  <si>
    <t>Samoa really wants its own pool; Tonga/Fiji only partial</t>
  </si>
  <si>
    <t>Distinct Polynesian naming space</t>
  </si>
  <si>
    <t>Tonga</t>
  </si>
  <si>
    <t>Close Polynesian fallback</t>
  </si>
  <si>
    <t>Fiji</t>
  </si>
  <si>
    <t>Fiji really needs split handling: Indigenous Fijian + Indo-Fijian</t>
  </si>
  <si>
    <t>One borrowed pool will miss half the picture</t>
  </si>
  <si>
    <t>Solomon Islands</t>
  </si>
  <si>
    <t>Papua New Guinea + Pacific custom enrich</t>
  </si>
  <si>
    <t>Melanesian/Pacific fallback only partial</t>
  </si>
  <si>
    <t>Vanuatu</t>
  </si>
  <si>
    <t>Papua New Guinea + Solomon Islands</t>
  </si>
  <si>
    <t>Regional Melanesian fallback</t>
  </si>
  <si>
    <t>New Caledonia</t>
  </si>
  <si>
    <t>France + Vanuatu + Pacific blend</t>
  </si>
  <si>
    <t>France alone too metropolitan</t>
  </si>
  <si>
    <t>VisualBucket</t>
  </si>
  <si>
    <t>percent</t>
  </si>
  <si>
    <t>naming pool</t>
  </si>
  <si>
    <t>naming split</t>
  </si>
  <si>
    <t>notes</t>
  </si>
  <si>
    <t>Scandinavia</t>
  </si>
  <si>
    <t>Iceland 1.00</t>
  </si>
  <si>
    <t>LOCAL_LOCAL 0.95, DOUBLE_SURNAME_LOCAL_LOCAL 0.03, COMPOUND_GIVEN_LOCAL_LOCAL 0.02</t>
  </si>
  <si>
    <t>Main local light-feature anchor</t>
  </si>
  <si>
    <t>EuroNorth</t>
  </si>
  <si>
    <t>Secondary local north-atlantic read</t>
  </si>
  <si>
    <t>RedHair</t>
  </si>
  <si>
    <t>Small local ginger accent</t>
  </si>
  <si>
    <t>Norway 0.88, Denmark 0.07, Sweden 0.05</t>
  </si>
  <si>
    <t>Finno</t>
  </si>
  <si>
    <t>LOCAL_HERITAGE 0.50, HERITAGE_HERITAGE 0.40, LOCAL_LOCAL 0.08, HERITAGE_LOCAL 0.02</t>
  </si>
  <si>
    <t>Turkey 0.85, Norway 0.15</t>
  </si>
  <si>
    <t>LOCAL_HERITAGE 0.42, HERITAGE_HERITAGE 0.53, LOCAL_LOCAL 0.04, HERITAGE_LOCAL 0.01</t>
  </si>
  <si>
    <t>Separate Turkish row</t>
  </si>
  <si>
    <t>Iraq/Syria routed visually via Levant, naming stays country-based</t>
  </si>
  <si>
    <t>Iran 0.90, Norway 0.10</t>
  </si>
  <si>
    <t>Separate from Levant/Anatolian</t>
  </si>
  <si>
    <t>AfricaHorn</t>
  </si>
  <si>
    <t>LOCAL_HERITAGE 0.40, HERITAGE_HERITAGE 0.55, LOCAL_LOCAL 0.04, HERITAGE_LOCAL 0.01</t>
  </si>
  <si>
    <t>Horn-heavy row; better than generic East Africa</t>
  </si>
  <si>
    <t>Secondary local north-European read</t>
  </si>
  <si>
    <t>Finland 0.82, Sweden 0.18</t>
  </si>
  <si>
    <t>LOCAL_HERITAGE 0.48, HERITAGE_HERITAGE 0.45, LOCAL_LOCAL 0.05, HERITAGE_LOCAL 0.02</t>
  </si>
  <si>
    <t>Important Finland-linked bridge bucket</t>
  </si>
  <si>
    <t>EuroBalkans</t>
  </si>
  <si>
    <t>Bosnia and Herzegovina 0.28, Serbia 0.22, Croatia 0.18, Kosovo 0.17, North Macedonia 0.15</t>
  </si>
  <si>
    <t>LOCAL_HERITAGE 0.38, HERITAGE_HERITAGE 0.57, LOCAL_LOCAL 0.04, HERITAGE_LOCAL 0.01</t>
  </si>
  <si>
    <t>Important football diaspora bucket</t>
  </si>
  <si>
    <t>Iraq 0.45, Syria 0.30, Lebanon 0.15, Palestine 0.10</t>
  </si>
  <si>
    <t>Distinct from Anatolian</t>
  </si>
  <si>
    <t>Turkey 0.85, Sweden 0.15</t>
  </si>
  <si>
    <t>LOCAL_HERITAGE 0.35, HERITAGE_HERITAGE 0.60, LOCAL_LOCAL 0.04, HERITAGE_LOCAL 0.01</t>
  </si>
  <si>
    <t>Horn-heavy and football-relevant</t>
  </si>
  <si>
    <t>Sweden 1.00</t>
  </si>
  <si>
    <t>Small accent only</t>
  </si>
  <si>
    <t>Denmark 0.87, Norway 0.08, Germany 0.05</t>
  </si>
  <si>
    <t>Secondary local north-sea read</t>
  </si>
  <si>
    <t>Turkey 0.85, Denmark 0.15</t>
  </si>
  <si>
    <t>Stronger than most minor diaspora rows</t>
  </si>
  <si>
    <t>Lebanon 0.30, Iraq 0.30, Syria 0.25, Palestine 0.15</t>
  </si>
  <si>
    <t>Separate from Anatolian</t>
  </si>
  <si>
    <t>Small but useful</t>
  </si>
  <si>
    <t>AfricaWest</t>
  </si>
  <si>
    <t>Football-relevant</t>
  </si>
  <si>
    <t>Bosnia and Herzegovina 0.30, Serbia 0.20, Croatia 0.20, Kosovo 0.20, Albania 0.10</t>
  </si>
  <si>
    <t>Useful football bucket</t>
  </si>
  <si>
    <t>Denmark 1.00</t>
  </si>
  <si>
    <t>Main local anchor</t>
  </si>
  <si>
    <t>Secondary north-European read</t>
  </si>
  <si>
    <t>LOCAL_HERITAGE 0.52, HERITAGE_HERITAGE 0.38, LOCAL_LOCAL 0.08, HERITAGE_LOCAL 0.02</t>
  </si>
  <si>
    <t>Blondness/light-feature boost tied to Finland-Swedish logic</t>
  </si>
  <si>
    <t>EuroEast</t>
  </si>
  <si>
    <t>Finland 0.60, Russia 0.40</t>
  </si>
  <si>
    <t>Small eastern adjacency</t>
  </si>
  <si>
    <t>England</t>
  </si>
  <si>
    <t>BritishIsles</t>
  </si>
  <si>
    <t>England 0.82, Wales 0.06, Scotland 0.06, Ireland 0.06</t>
  </si>
  <si>
    <t>Main local pool</t>
  </si>
  <si>
    <t>England 0.75, Netherlands 0.15, Denmark 0.10</t>
  </si>
  <si>
    <t>Lighter-feature north-sea local variation</t>
  </si>
  <si>
    <t>Major football pipeline</t>
  </si>
  <si>
    <t>AfroCaribbean</t>
  </si>
  <si>
    <t>AfricaNorth Maghreb</t>
  </si>
  <si>
    <t>Morocco 0.45, Algeria 0.35, Tunisia 0.20</t>
  </si>
  <si>
    <t>Smaller than France/Belgium but real</t>
  </si>
  <si>
    <t>Turkey 0.70, Turkish Cypriot 0.30</t>
  </si>
  <si>
    <t>Distinct from Levant</t>
  </si>
  <si>
    <t>IndiaPunjab</t>
  </si>
  <si>
    <t>Pakistan Punjabi 0.55, India Punjabi 0.45</t>
  </si>
  <si>
    <t>LOCAL_HERITAGE 0.45, HERITAGE_HERITAGE 0.50, LOCAL_LOCAL 0.04, HERITAGE_LOCAL 0.01</t>
  </si>
  <si>
    <t>Football-relevant South Asian row; Punjabi-side first</t>
  </si>
  <si>
    <t>IndiaGangetic</t>
  </si>
  <si>
    <t>Poland 0.35, Romania 0.25, Lithuania 0.20, Ukraine 0.20</t>
  </si>
  <si>
    <t>Small but worthwhile</t>
  </si>
  <si>
    <t>England 1.00</t>
  </si>
  <si>
    <t>Valid here as a modest accent</t>
  </si>
  <si>
    <t>Scotland</t>
  </si>
  <si>
    <t>Scotland 0.76, England 0.10, Ireland 0.10, Wales 0.04</t>
  </si>
  <si>
    <t>Scotland 0.72, Norway 0.15, Denmark 0.13</t>
  </si>
  <si>
    <t>Strong north-sea variation</t>
  </si>
  <si>
    <t>Nigeria 0.45, Ghana 0.30, Sierra Leone 0.15, Gambia 0.10</t>
  </si>
  <si>
    <t>Jamaica 0.60, Trinidad and Tobago 0.25, Barbados 0.15</t>
  </si>
  <si>
    <t>Secondary but real</t>
  </si>
  <si>
    <t>Better than one broad South Asian row</t>
  </si>
  <si>
    <t>Iraq 0.40, Lebanon 0.25, Syria 0.20, Palestine 0.15</t>
  </si>
  <si>
    <t>Poland 0.35, Lithuania 0.25, Romania 0.20, Ukraine 0.20</t>
  </si>
  <si>
    <t>Scotland 1.00</t>
  </si>
  <si>
    <t>One of the strongest redhair rows</t>
  </si>
  <si>
    <t>Wales</t>
  </si>
  <si>
    <t>Wales 0.64, England 0.22, Ireland 0.09, Scotland 0.05</t>
  </si>
  <si>
    <t>Wales 0.55, England 0.25, Ireland 0.20</t>
  </si>
  <si>
    <t>Secondary local spread</t>
  </si>
  <si>
    <t>Nigeria 0.45, Ghana 0.25, Sierra Leone 0.15, Gambia 0.15</t>
  </si>
  <si>
    <t>Pakistan Punjabi 0.50, India Punjabi 0.50</t>
  </si>
  <si>
    <t>Better than broad South Asia</t>
  </si>
  <si>
    <t>Iraq 0.35, Syria 0.25, Lebanon 0.20, Palestine 0.20</t>
  </si>
  <si>
    <t>Wales 1.00</t>
  </si>
  <si>
    <t>Valid moderate accent</t>
  </si>
  <si>
    <t>Northern Ireland</t>
  </si>
  <si>
    <t>Northern Ireland 0.48, Ireland 0.28, Scotland 0.14, England 0.10</t>
  </si>
  <si>
    <t>Northern Ireland 0.45, Ireland 0.30, Scotland 0.25</t>
  </si>
  <si>
    <t>North-atlantic variation</t>
  </si>
  <si>
    <t>India Punjabi 0.50, Pakistan Punjabi 0.35, Bangladesh 0.15</t>
  </si>
  <si>
    <t>Punjabi-side best fit</t>
  </si>
  <si>
    <t>Northern Ireland 1.00</t>
  </si>
  <si>
    <t>Strongest redhair injector in this chunk</t>
  </si>
  <si>
    <t>Ireland 0.84, England 0.08, Scotland 0.05, Wales 0.03</t>
  </si>
  <si>
    <t>Ireland 0.80, Scotland 0.10, England 0.10</t>
  </si>
  <si>
    <t>Lighter-feature variation</t>
  </si>
  <si>
    <t>Nigeria 0.45, Ghana 0.25, Sierra Leone 0.15, Liberia 0.15</t>
  </si>
  <si>
    <t>Jamaica 0.70, Trinidad and Tobago 0.20, Barbados 0.10</t>
  </si>
  <si>
    <t>Poland 0.45, Lithuania 0.20, Romania 0.20, Ukraine 0.15</t>
  </si>
  <si>
    <t>Worth keeping</t>
  </si>
  <si>
    <t>India Gangetic 0.50, India South 0.20, Pakistan Punjabi 0.20, Bangladesh 0.10</t>
  </si>
  <si>
    <t>Better than one broad India row</t>
  </si>
  <si>
    <t>Ireland 1.00</t>
  </si>
  <si>
    <t>Strong redhair injector</t>
  </si>
  <si>
    <t>Iraq 0.45, Syria 0.45, Lebanon 0.10</t>
  </si>
  <si>
    <t>Somalia 0.70, Ethiopia 0.30</t>
  </si>
  <si>
    <t>Somalia 0.60, Ethiopia 0.40</t>
  </si>
  <si>
    <t>Ghana 0.40, Nigeria 0.35, Senegal 0.25</t>
  </si>
  <si>
    <t>Sweden 0.92, Norway 0.08</t>
  </si>
  <si>
    <t>Finland 0.92, Swedish 0.08</t>
  </si>
  <si>
    <t>Finland  0.55, Sweden 0.45</t>
  </si>
  <si>
    <t>Nigeria 0.40, Ghana 0.25,  Senegal 0.15, Liberia 0.20</t>
  </si>
  <si>
    <t>Jamaica 0.65, Trinidad and Tobago 0.35</t>
  </si>
  <si>
    <t>EuroCentral</t>
  </si>
  <si>
    <t>France 0.84, Belgium French 0.08, Swiss French 0.05, Germany 0.03</t>
  </si>
  <si>
    <t>Main metropolitan local pool</t>
  </si>
  <si>
    <t>EuroItaMed</t>
  </si>
  <si>
    <t>France 0.82, Italy 0.18</t>
  </si>
  <si>
    <t>Southern/Mediterranean native spread</t>
  </si>
  <si>
    <t>Senegal 0.22, Mali 0.20, Guinea 0.15, Ivory Coast 0.13, Cameroon 0.10, Guinea-Bissau 0.08, Mauritania 0.07, Burkina Faso 0.05</t>
  </si>
  <si>
    <t>LOCAL_HERITAGE 0.34, HERITAGE_HERITAGE 0.61, LOCAL_LOCAL 0.04, HERITAGE_LOCAL 0.01</t>
  </si>
  <si>
    <t>AfricaCentral</t>
  </si>
  <si>
    <t>DR Congo 0.56, Congo 0.20, Cameroon 0.14, Central African Republic 0.10</t>
  </si>
  <si>
    <t>Very important football bucket</t>
  </si>
  <si>
    <t>Guadeloupe 0.40, Martinique 0.35, Haiti 0.15, French Guiana 0.10</t>
  </si>
  <si>
    <t>Distinct from AfricaWest/AfricaCentral naming</t>
  </si>
  <si>
    <t>Algeria 0.42, Morocco 0.33, Tunisia 0.20, Libya 0.05</t>
  </si>
  <si>
    <t>One of the key French football buckets</t>
  </si>
  <si>
    <t>Turkey 0.88, France 0.12</t>
  </si>
  <si>
    <t>Distinct from Maghreb and Levant</t>
  </si>
  <si>
    <t>EuroIberian</t>
  </si>
  <si>
    <t>Portugal 0.65, Spain 0.35</t>
  </si>
  <si>
    <t>LOCAL_HERITAGE 0.46, HERITAGE_HERITAGE 0.49, LOCAL_LOCAL 0.04, HERITAGE_LOCAL 0.01</t>
  </si>
  <si>
    <t>Important historically and still visible</t>
  </si>
  <si>
    <t>Belgium Dutch 0.42, Belgium French 0.33, Netherlands 0.15, France 0.07, Germany 0.03</t>
  </si>
  <si>
    <t>Main local base</t>
  </si>
  <si>
    <t>Morocco 0.72, Algeria 0.18, Tunisia 0.10</t>
  </si>
  <si>
    <t>LOCAL_HERITAGE 0.44, HERITAGE_HERITAGE 0.51, LOCAL_LOCAL 0.04, HERITAGE_LOCAL 0.01</t>
  </si>
  <si>
    <t>Core Belgium football diaspora bucket</t>
  </si>
  <si>
    <t>DR Congo 0.72, Congo 0.13, Rwanda 0.08, Burundi 0.07</t>
  </si>
  <si>
    <t>Very football-relevant</t>
  </si>
  <si>
    <t>Guinea 0.25, Senegal 0.20, Mali 0.20, Ivory Coast 0.20, Ghana 0.15</t>
  </si>
  <si>
    <t>Secondary to Congo/Maghreb</t>
  </si>
  <si>
    <t>Turkey 0.82, Belgium Dutch 0.09, Belgium French 0.09</t>
  </si>
  <si>
    <t>Separate from Maghreb</t>
  </si>
  <si>
    <t>Poland 0.30, Romania 0.25, Bulgaria 0.20, Ukraine 0.15, Slovakia 0.10</t>
  </si>
  <si>
    <t>Bosnia and Herzegovina 0.30, Kosovo 0.25, Albania 0.20, Serbia 0.15, North Macedonia 0.10</t>
  </si>
  <si>
    <t>Lebanon 0.35, Syria 0.25, Iraq 0.25, Palestine 0.15</t>
  </si>
  <si>
    <t>Threshold but useful</t>
  </si>
  <si>
    <t>Netherlands 0.85, Belgium Dutch 0.08, Germany 0.07</t>
  </si>
  <si>
    <t>Netherlands 0.82, Denmark 0.10, Germany 0.08</t>
  </si>
  <si>
    <t>North-sea local variation</t>
  </si>
  <si>
    <t>Morocco 0.88, Algeria 0.07, Tunisia 0.05</t>
  </si>
  <si>
    <t>One of the core Dutch football diaspora buckets</t>
  </si>
  <si>
    <t>Suriname 0.68, Curaçao 0.15, Aruba 0.10, Netherlands 0.07</t>
  </si>
  <si>
    <t>LOCAL_HERITAGE 0.36, HERITAGE_HERITAGE 0.59, LOCAL_LOCAL 0.04, HERITAGE_LOCAL 0.01</t>
  </si>
  <si>
    <t>Turkey 0.84, Netherlands 0.16</t>
  </si>
  <si>
    <t>Important secondary diaspora row</t>
  </si>
  <si>
    <t>Bosnia and Herzegovina 0.25, Kosovo 0.25, Serbia 0.20, Croatia 0.15, Albania 0.15</t>
  </si>
  <si>
    <t>Poland 0.30, Romania 0.25, Bulgaria 0.20, Ukraine 0.15, Lithuania 0.10</t>
  </si>
  <si>
    <t>Secondary bucket</t>
  </si>
  <si>
    <t>Suriname Hindustani 0.65, India Gangetic 0.20, India South 0.10, Pakistan Punjabi 0.05</t>
  </si>
  <si>
    <t>Gangetic-side naming family with Surinamese-Hindustani overlay</t>
  </si>
  <si>
    <t>Luxembourg Local 0.45, France 0.20, Germany 0.20, Belgium French 0.15</t>
  </si>
  <si>
    <t>Portugal 0.82, Luxembourg Local 0.18</t>
  </si>
  <si>
    <t>Very visible and football-relevant</t>
  </si>
  <si>
    <t>Morocco 0.60, Algeria 0.25, Tunisia 0.15</t>
  </si>
  <si>
    <t>Cape Verde 0.35, Guinea-Bissau 0.20, Senegal 0.20, Mali 0.15, Ivory Coast 0.10</t>
  </si>
  <si>
    <t>Kosovo 0.35, Bosnia and Herzegovina 0.25, Serbia 0.15, Albania 0.15, Croatia 0.10</t>
  </si>
  <si>
    <t>Turkey 0.85, Luxembourg Local 0.15</t>
  </si>
  <si>
    <t>Threshold but valid</t>
  </si>
  <si>
    <t>Norway 1.00</t>
  </si>
  <si>
    <t>Netherlands 1.00</t>
  </si>
  <si>
    <t>Germany 0.88, Austria 0.06, Swiss German 0.04, Netherlands 0.02</t>
  </si>
  <si>
    <t>Germany 0.78, Netherlands 0.12, Denmark 0.10</t>
  </si>
  <si>
    <t>Northern local variation</t>
  </si>
  <si>
    <t>Poland 0.32, Romania 0.20, Russia 0.18, Ukraine 0.15, Czech Republic 0.15</t>
  </si>
  <si>
    <t>Important in German footballer pool</t>
  </si>
  <si>
    <t>Croatia 0.24, Bosnia and Herzegovina 0.22, Serbia 0.18, Kosovo 0.18, Albania 0.10, North Macedonia 0.08</t>
  </si>
  <si>
    <t>Strong football relevance</t>
  </si>
  <si>
    <t>Turkey 0.86, Germany 0.14</t>
  </si>
  <si>
    <t>One of the defining German diaspora buckets</t>
  </si>
  <si>
    <t>Ghana 0.30, Nigeria 0.25, Togo 0.20, Senegal 0.15, Ivory Coast 0.10</t>
  </si>
  <si>
    <t>Syria 0.40, Iraq 0.30, Lebanon 0.20, Palestine 0.10</t>
  </si>
  <si>
    <t>Visible and distinct from Anatolian</t>
  </si>
  <si>
    <t>Morocco 0.45, Algeria 0.30, Tunisia 0.25</t>
  </si>
  <si>
    <t>Secondary but worth keeping</t>
  </si>
  <si>
    <t>Austria 0.76, Germany 0.16, Swiss German 0.08</t>
  </si>
  <si>
    <t>Hungary 0.24, Slovakia 0.18, Czech Republic 0.16, Poland 0.14, Romania 0.14, Serbia 0.14</t>
  </si>
  <si>
    <t>Strong neighboring pressure</t>
  </si>
  <si>
    <t>Bosnia and Herzegovina 0.28, Serbia 0.20, Croatia 0.18, Kosovo 0.14, Albania 0.10, North Macedonia 0.10</t>
  </si>
  <si>
    <t>Turkey 0.82, Austria 0.18</t>
  </si>
  <si>
    <t>Main non-Balkan diaspora bucket</t>
  </si>
  <si>
    <t>Nigeria 0.30, Ghana 0.25, Senegal 0.20, Ivory Coast 0.15, Mali 0.10</t>
  </si>
  <si>
    <t>Swiss German 0.54, Swiss French 0.21, Germany 0.12, France 0.08, Austria 0.05</t>
  </si>
  <si>
    <t>Swiss Italian 0.72, Italy 0.28</t>
  </si>
  <si>
    <t>Swiss Italian / south-alpine local read</t>
  </si>
  <si>
    <t>Kosovo 0.28, Albania 0.23, Bosnia and Herzegovina 0.17, Serbia 0.12, Croatia 0.10, North Macedonia 0.10</t>
  </si>
  <si>
    <t>One of the defining Swiss football buckets</t>
  </si>
  <si>
    <t>Turkey 0.82, Swiss German 0.18</t>
  </si>
  <si>
    <t>Visible but secondary</t>
  </si>
  <si>
    <t>Cape Verde 0.28, Senegal 0.22, Ghana 0.18, Nigeria 0.18, Ivory Coast 0.14</t>
  </si>
  <si>
    <t>Morocco 0.45, Tunisia 0.30, Algeria 0.25</t>
  </si>
  <si>
    <t>Secondary but worthwhile</t>
  </si>
  <si>
    <t>Romania 0.25, Hungary 0.20, Poland 0.20, Ukraine 0.20, Czech Republic 0.15</t>
  </si>
  <si>
    <t>Germany 1.00</t>
  </si>
  <si>
    <t>Spain 1.00</t>
  </si>
  <si>
    <t>Spain 0.85, Italy 0.15</t>
  </si>
  <si>
    <t>Mediterranean local overlap</t>
  </si>
  <si>
    <t>Morocco 0.78, Algeria 0.12, Tunisia 0.10</t>
  </si>
  <si>
    <t>Core Spanish diaspora football bucket</t>
  </si>
  <si>
    <t>SouthAmericaNorth</t>
  </si>
  <si>
    <t>Colombia 0.30, Venezuela 0.30, Ecuador 0.20, Dominican Republic 0.20</t>
  </si>
  <si>
    <t>Better than flattening into EuroIberian</t>
  </si>
  <si>
    <t>Andean</t>
  </si>
  <si>
    <t>Ecuador 0.45, Peru 0.30, Bolivia 0.15, Colombia 0.10</t>
  </si>
  <si>
    <t>Distinct from SouthAmericaNorth</t>
  </si>
  <si>
    <t>MesoAmericaMestizo</t>
  </si>
  <si>
    <t>Honduras 0.35, Mexico 0.20, Nicaragua 0.20, El Salvador 0.15, Dominican Republic 0.10</t>
  </si>
  <si>
    <t>Keep separate from Andean</t>
  </si>
  <si>
    <t>Senegal 0.30, Mali 0.20, Nigeria 0.20, Guinea-Bissau 0.15, Gambia 0.15</t>
  </si>
  <si>
    <t>Smaller than France/Portugal but relevant</t>
  </si>
  <si>
    <t>Dominican Republic 0.50, Cuba 0.25, Puerto Rico 0.25</t>
  </si>
  <si>
    <t>Small but useful separate Caribbean stream</t>
  </si>
  <si>
    <t>Portugal 1.00</t>
  </si>
  <si>
    <t>Major Lusophone/Atlantic African football stream</t>
  </si>
  <si>
    <t>AfricaSouth</t>
  </si>
  <si>
    <t>Distinct from West African row</t>
  </si>
  <si>
    <t>Cape Verde 0.70, São Tomé and Príncipe 0.20, Portugal 0.10</t>
  </si>
  <si>
    <t>Operational proxy for Atlantic creole stream</t>
  </si>
  <si>
    <t>Brazil Pardo</t>
  </si>
  <si>
    <t>Brazil 0.90, Portugal 0.10</t>
  </si>
  <si>
    <t>Football-relevant Brazilian-rooted row</t>
  </si>
  <si>
    <t>Morocco 0.70, Algeria 0.20, Tunisia 0.10</t>
  </si>
  <si>
    <t>Secondary compared with Lusophone Africa</t>
  </si>
  <si>
    <t>Venezuela 0.40, Colombia 0.25, Brazil 0.20, Argentina 0.15</t>
  </si>
  <si>
    <t>Small but useful Ibero-American spill</t>
  </si>
  <si>
    <t>Andorra Local 0.42, Spain 0.38, France 0.20</t>
  </si>
  <si>
    <t>Main local pool; Catalan/French influence folded into Andorra local/Spain/France</t>
  </si>
  <si>
    <t>France 0.60, Spain 0.25, Andorra Local 0.15</t>
  </si>
  <si>
    <t>Cross-border local pressure</t>
  </si>
  <si>
    <t>Morocco 0.75, Algeria 0.15, Tunisia 0.10</t>
  </si>
  <si>
    <t>Colombia 0.30, Venezuela 0.30, Argentina 0.20, Ecuador 0.20</t>
  </si>
  <si>
    <t>San Marino Local 0.35, Italy 0.65</t>
  </si>
  <si>
    <t>Italy 0.80, San Marino Local 0.20</t>
  </si>
  <si>
    <t>LOCAL_HERITAGE 0.55, HERITAGE_HERITAGE 0.35, LOCAL_LOCAL 0.08, HERITAGE_LOCAL 0.02</t>
  </si>
  <si>
    <t>Mostly local northern variance</t>
  </si>
  <si>
    <t>Morocco 0.60, Tunisia 0.25, Algeria 0.15</t>
  </si>
  <si>
    <t>Threshold inclusion</t>
  </si>
  <si>
    <t>Albania 0.30, Croatia 0.25, Serbia 0.20, Bosnia and Herzegovina 0.15, Kosovo 0.10</t>
  </si>
  <si>
    <t>Mozambique 0.27, Portugal 0.10, Cape Verde 0.05</t>
  </si>
  <si>
    <t>Angola 0.30, Guinea-Bissau 0.20, Cape Verde 0.20, Senegal 0.15, Mali 0.15</t>
  </si>
  <si>
    <t>Italy 0.88, San Marino Local 0.02, Swiss Italian 0.04, Slovenia 0.03, Croatia 0.03</t>
  </si>
  <si>
    <t>Italy 0.72, Austria 0.13, Swiss German 0.10, Germany 0.05</t>
  </si>
  <si>
    <t>Northern/alpine overlap</t>
  </si>
  <si>
    <t>Morocco 0.55, Tunisia 0.25, Algeria 0.15, Libya 0.05</t>
  </si>
  <si>
    <t>Main non-local diaspora football bucket</t>
  </si>
  <si>
    <t>Albania 0.28, Croatia 0.20, Serbia 0.16, Bosnia and Herzegovina 0.14, Kosovo 0.12, North Macedonia 0.10</t>
  </si>
  <si>
    <t>Important Adriatic/Balkan row</t>
  </si>
  <si>
    <t>Senegal 0.28, Nigeria 0.24, Ghana 0.18, Ivory Coast 0.15, Mali 0.15</t>
  </si>
  <si>
    <t>Visible but secondary to Maghreb</t>
  </si>
  <si>
    <t>Lebanon 0.35, Syria 0.30, Palestine 0.20, Iraq 0.15</t>
  </si>
  <si>
    <t>Turkey 0.85, Italy 0.15</t>
  </si>
  <si>
    <t>Small but distinct from Levant</t>
  </si>
  <si>
    <t>Argentina 0.40, Brazil 0.25, Uruguay 0.20, Venezuela 0.15</t>
  </si>
  <si>
    <t>Useful football-relevant Italo-Latin spill</t>
  </si>
  <si>
    <t>LOCAL_LOCAL 0.92, DOUBLE_SURNAME_LOCAL_LOCAL 0.05, COMPOUND_GIVEN_LOCAL_LOCAL 0.03</t>
  </si>
  <si>
    <t>Malta 0.84, Italy 0.10, England 0.06</t>
  </si>
  <si>
    <t>Malta 0.50, Lebanon 0.20, Palestine 0.12, Syria 0.10, Greek Cypriot 0.08</t>
  </si>
  <si>
    <t>Better fit than flattening all into EuroItaMed</t>
  </si>
  <si>
    <t>Libya 0.35, Tunisia 0.30, Morocco 0.20, Algeria 0.15</t>
  </si>
  <si>
    <t>Distinct and regionally believable</t>
  </si>
  <si>
    <t>Malta 0.60, England 0.30, Ireland 0.10</t>
  </si>
  <si>
    <t>Historical naming spillover</t>
  </si>
  <si>
    <t>Nigeria 0.35, Ghana 0.25, Senegal 0.20, Mali 0.20</t>
  </si>
  <si>
    <t>Turkey 0.75, Turkish Cypriot 0.25</t>
  </si>
  <si>
    <t>Poland 0.97, Czech Republic 0.03</t>
  </si>
  <si>
    <t>Poland 0.72, Germany 0.18, Czech Republic 0.10</t>
  </si>
  <si>
    <t>Useful western variance</t>
  </si>
  <si>
    <t>Poland 0.75, Lithuania 0.15, Sweden 0.10</t>
  </si>
  <si>
    <t>Lighter-feature local variation</t>
  </si>
  <si>
    <t>Croatia 0.30, Serbia 0.25, Bosnia and Herzegovina 0.20, Romania 0.15, Hungary 0.10</t>
  </si>
  <si>
    <t>Small but useful football adjacency</t>
  </si>
  <si>
    <t>Nigeria 0.35, Ghana 0.25, Senegal 0.20, Ivory Coast 0.20</t>
  </si>
  <si>
    <t>Czech Republic 0.85, Slovakia 0.10, Germany 0.03, Austria 0.02</t>
  </si>
  <si>
    <t>Czech Republic 0.56, Slovakia 0.20, Poland 0.14, Ukraine 0.10</t>
  </si>
  <si>
    <t>LOCAL_LOCAL 0.90, DOUBLE_SURNAME_LOCAL_LOCAL 0.05, COMPOUND_GIVEN_LOCAL_LOCAL 0.05</t>
  </si>
  <si>
    <t>Important adjacent local read</t>
  </si>
  <si>
    <t>Czech Republic 0.70, Germany 0.15, Poland 0.15</t>
  </si>
  <si>
    <t>Slovakia 0.25, Serbia 0.25, Croatia 0.20, Bosnia and Herzegovina 0.15, Romania 0.15</t>
  </si>
  <si>
    <t>SEA Vietic</t>
  </si>
  <si>
    <t>Vietnam 0.90, Czech Republic 0.10</t>
  </si>
  <si>
    <t>Worth including; strong enough and distinct enough</t>
  </si>
  <si>
    <t>Slovakia 0.55, Czech Republic 0.45</t>
  </si>
  <si>
    <t>Slovak/Czech mixed local variant</t>
  </si>
  <si>
    <t>Slovakia 0.79, Czech Republic 0.10, Hungary 0.06, Poland 0.05</t>
  </si>
  <si>
    <t>Slovakia 0.56, Czech Republic 0.20, Austria 0.14, Hungary 0.10</t>
  </si>
  <si>
    <t>Important secondary local read</t>
  </si>
  <si>
    <t>Hungary 0.25, Serbia 0.20, Croatia 0.20, Bosnia and Herzegovina 0.20, Romania 0.15</t>
  </si>
  <si>
    <t>More relevant than in Czechia</t>
  </si>
  <si>
    <t>Slovakia 0.70, Poland 0.20, Czech Republic 0.10</t>
  </si>
  <si>
    <t>Lighter-feature spread</t>
  </si>
  <si>
    <t>Small football bucket</t>
  </si>
  <si>
    <t>Turkey 0.85, Slovakia 0.15</t>
  </si>
  <si>
    <t>Small but distinct</t>
  </si>
  <si>
    <t>Hungary 0.87, Romania 0.05, Slovakia 0.04, Serbia 0.04</t>
  </si>
  <si>
    <t>Main local pool under your system</t>
  </si>
  <si>
    <t>Hungary 0.56, Austria 0.20, Slovakia 0.14, Czech Republic 0.10</t>
  </si>
  <si>
    <t>Needed to avoid flattening</t>
  </si>
  <si>
    <t>Serbia 0.30, Croatia 0.20, Bosnia and Herzegovina 0.20, Romania 0.15, North Macedonia 0.15</t>
  </si>
  <si>
    <t>Important football adjacency</t>
  </si>
  <si>
    <t>Turkey 0.75, Hungary 0.25</t>
  </si>
  <si>
    <t>Syria 0.35, Iraq 0.30, Lebanon 0.20, Palestine 0.15</t>
  </si>
  <si>
    <t>Caucasus</t>
  </si>
  <si>
    <t>Armenia 0.45, Georgia 0.30, Azerbaijan 0.25</t>
  </si>
  <si>
    <t>Small bridge/refinement bucket</t>
  </si>
  <si>
    <t>Romania 0.89, Moldova 0.06, Serbia 0.03, Hungary 0.02</t>
  </si>
  <si>
    <t>Serbia 0.25, Bulgaria 0.25, Albania 0.15, North Macedonia 0.15, Croatia 0.10, Bosnia and Herzegovina 0.10</t>
  </si>
  <si>
    <t>Stronger here than in Poland/Czechia</t>
  </si>
  <si>
    <t>Hungary 0.45, Romania 0.35, Austria 0.10, Slovakia 0.10</t>
  </si>
  <si>
    <t>Important bridge zone</t>
  </si>
  <si>
    <t>Turkey 0.70, Romania 0.30</t>
  </si>
  <si>
    <t>Small but worth preserving</t>
  </si>
  <si>
    <t>Syria 0.35, Lebanon 0.25, Iraq 0.25, Palestine 0.15</t>
  </si>
  <si>
    <t>Threshold bucket</t>
  </si>
  <si>
    <t>Armenia 0.45, Georgia 0.35, Azerbaijan 0.20</t>
  </si>
  <si>
    <t>Worth keeping as bridge bucket</t>
  </si>
  <si>
    <t>Romania 0.70, Moldova 0.20, Ukraine 0.10</t>
  </si>
  <si>
    <t>Small lighter-feature local variation</t>
  </si>
  <si>
    <t>Moldova 0.73, Romania 0.19, Ukraine 0.08</t>
  </si>
  <si>
    <t>Romania 0.35, Bulgaria 0.25, Serbia 0.20, Albania 0.10, North Macedonia 0.10</t>
  </si>
  <si>
    <t>Mild southern pressure</t>
  </si>
  <si>
    <t>Romania 0.55, Hungary 0.20, Slovakia 0.15, Austria 0.10</t>
  </si>
  <si>
    <t>Turkey 0.60, Moldova 0.40</t>
  </si>
  <si>
    <t>Better kept than flattened away</t>
  </si>
  <si>
    <t>Armenia 0.40, Georgia 0.35, Azerbaijan 0.25</t>
  </si>
  <si>
    <t>Bridge/refinement bucket</t>
  </si>
  <si>
    <t>Moldova 0.70, Ukraine 0.20, Belarus 0.10</t>
  </si>
  <si>
    <t>Small visual spread row</t>
  </si>
  <si>
    <t>Estonia 0.85, Finland 0.10, Estonia Russian 0.05</t>
  </si>
  <si>
    <t>Estonia 0.56, Finland 0.24, Sweden 0.10, Latvia 0.10</t>
  </si>
  <si>
    <t>Estonia 0.45, Russia 0.35, Latvia 0.10, Ukraine 0.10</t>
  </si>
  <si>
    <t>LOCAL_LOCAL 0.88, DOUBLE_SURNAME_LOCAL_LOCAL 0.06, COMPOUND_GIVEN_LOCAL_LOCAL 0.06</t>
  </si>
  <si>
    <t>Important border pressure</t>
  </si>
  <si>
    <t>Estonia 0.60, Finland 0.20, Sweden 0.20</t>
  </si>
  <si>
    <t>Visual blondness/light-feature boost</t>
  </si>
  <si>
    <t>Germany 0.40, Estonia 0.40, Latvia 0.20</t>
  </si>
  <si>
    <t>Small refinement bucket</t>
  </si>
  <si>
    <t>Latvia 0.89, Lithuania 0.06, Estonia 0.05</t>
  </si>
  <si>
    <t>Latvia 0.56, Estonia 0.20, Lithuania 0.14, Sweden 0.10</t>
  </si>
  <si>
    <t>Latvia 0.60, Estonia 0.25, Finland 0.15</t>
  </si>
  <si>
    <t>Small but useful bridge bucket</t>
  </si>
  <si>
    <t>Latvia 0.45, Germany 0.25, Lithuania 0.20, Poland 0.10</t>
  </si>
  <si>
    <t>Helps western variance</t>
  </si>
  <si>
    <t>Latvia 0.55, Sweden 0.20, Estonia 0.15, Finland 0.10</t>
  </si>
  <si>
    <t>Visual boost</t>
  </si>
  <si>
    <t>Croatia 0.25, Serbia 0.25, Romania 0.20, Bosnia and Herzegovina 0.15, Albania 0.15</t>
  </si>
  <si>
    <t>Small southern football adjacency</t>
  </si>
  <si>
    <t>Latvia Russian 0.60, Russia 0.25, Belarus 0.15</t>
  </si>
  <si>
    <t>Optional if you support Latvia Russian as a sub-pool</t>
  </si>
  <si>
    <t>Lithuania 0.85, Poland 0.08, Belarus 0.04, Latvia 0.03</t>
  </si>
  <si>
    <t>Lithuania 0.56, Latvia 0.19, Sweden 0.15, Poland 0.10</t>
  </si>
  <si>
    <t>Useful secondary local read</t>
  </si>
  <si>
    <t>Poland 0.45, Lithuania 0.35, Germany 0.10, Czech Republic 0.10</t>
  </si>
  <si>
    <t>Important western variance</t>
  </si>
  <si>
    <t>Latvia 0.40, Estonia 0.30, Finland 0.30</t>
  </si>
  <si>
    <t>Small bridge bucket</t>
  </si>
  <si>
    <t>Lithuania 0.55, Sweden 0.25, Latvia 0.20</t>
  </si>
  <si>
    <t>Poland 0.30, Croatia 0.25, Serbia 0.20, Romania 0.15, Bosnia and Herzegovina 0.10</t>
  </si>
  <si>
    <t>Belarus 0.91, Russia 0.05, Ukraine 0.04</t>
  </si>
  <si>
    <t>Poland 0.40, Lithuania 0.25, Belarus 0.20, Ukraine 0.15</t>
  </si>
  <si>
    <t>Western variance</t>
  </si>
  <si>
    <t>Belarus 0.65, Lithuania 0.20, Latvia 0.15</t>
  </si>
  <si>
    <t>Visual spread</t>
  </si>
  <si>
    <t>Ukraine 0.35, Romania 0.25, Serbia 0.20, Bulgaria 0.20</t>
  </si>
  <si>
    <t>Ukraine 0.87, Belarus 0.05, Moldova 0.04, Russia 0.04</t>
  </si>
  <si>
    <t>Poland 0.35, Ukraine 0.30, Slovakia 0.15, Hungary 0.10, Romania 0.10</t>
  </si>
  <si>
    <t>Ukraine 0.60, Belarus 0.20, Lithuania 0.10, Poland 0.10</t>
  </si>
  <si>
    <t>Romania 0.25, Moldova 0.25, Bulgaria 0.20, Serbia 0.15, Albania 0.15</t>
  </si>
  <si>
    <t>Southern / Black Sea adjacency</t>
  </si>
  <si>
    <t>Turkey 0.65, Ukraine 0.35</t>
  </si>
  <si>
    <t>Worth preserving as distinct</t>
  </si>
  <si>
    <t>Slovenia 0.78, Croatia 0.10, Austria 0.07, Italy 0.05</t>
  </si>
  <si>
    <t>Main local alpine-central pool</t>
  </si>
  <si>
    <t>Slovenia 0.58, Croatia 0.20, Serbia 0.10, Bosnia and Herzegovina 0.07, Italy 0.05</t>
  </si>
  <si>
    <t>Main south-slavic adjacency bucket</t>
  </si>
  <si>
    <t>Italy 0.45, Slovenia 0.40, Croatia 0.15</t>
  </si>
  <si>
    <t>Useful Adriatic/coastal spread</t>
  </si>
  <si>
    <t>Croatia 0.35, Hungary 0.25, Slovakia 0.20, Slovenia 0.20</t>
  </si>
  <si>
    <t>Small inland variance</t>
  </si>
  <si>
    <t>Bosnia and Herzegovina 0.35, Serbia 0.25, Croatia 0.20, Kosovo 0.20</t>
  </si>
  <si>
    <t>Optional diaspora-style Balkan row if you want more modern football spread</t>
  </si>
  <si>
    <t>Serbia 0.50, Croatia 0.30, Bosnia and Herzegovina 0.20</t>
  </si>
  <si>
    <t>Optional ex-Yugo football migration refinement</t>
  </si>
  <si>
    <t>Croatia 0.88, Bosnia and Herzegovina 0.05, Serbia 0.03, Slovenia 0.02, Montenegro 0.02</t>
  </si>
  <si>
    <t>Main local south-slavic pool</t>
  </si>
  <si>
    <t>Italy 0.40, Croatia 0.35, Slovenia 0.15, Montenegro 0.10</t>
  </si>
  <si>
    <t>Adriatic/Mediterranean spread</t>
  </si>
  <si>
    <t>Slovenia 0.35, Austria 0.25, Croatia 0.25, Hungary 0.15</t>
  </si>
  <si>
    <t>Useful north/inland variance</t>
  </si>
  <si>
    <t>Serbia 0.35, Hungary 0.25, Bosnia and Herzegovina 0.20, Croatia 0.20</t>
  </si>
  <si>
    <t>Small eastern spread</t>
  </si>
  <si>
    <t>Turkey 0.75, Croatia 0.25</t>
  </si>
  <si>
    <t>Small but plausible</t>
  </si>
  <si>
    <t>Bosnia and Herzegovina 0.45, Serbia 0.20, Kosovo 0.15, North Macedonia 0.10, Albania 0.10</t>
  </si>
  <si>
    <t>Modern football-relevant Balkan diaspora overlay</t>
  </si>
  <si>
    <t>Bosnia and Herzegovina 0.72, Serbia 0.12, Croatia 0.10, Montenegro 0.06</t>
  </si>
  <si>
    <t>Serbia 0.40, Bosnia and Herzegovina 0.35, Croatia 0.15, Montenegro 0.10</t>
  </si>
  <si>
    <t>Small inland/eastern spread</t>
  </si>
  <si>
    <t>Croatia 0.40, Bosnia and Herzegovina 0.35, Montenegro 0.15, Italy 0.10</t>
  </si>
  <si>
    <t>Small Adriatic influence</t>
  </si>
  <si>
    <t>Bosnia and Herzegovina Muslim 0.55, Turkey 0.25, Bosnia and Herzegovina 0.20</t>
  </si>
  <si>
    <t>Optional only if you support Bosnian Muslim as a sub-pool</t>
  </si>
  <si>
    <t>Turkey 0.75, Bosnia and Herzegovina 0.25</t>
  </si>
  <si>
    <t>Kosovo 0.35, Serbia 0.25, Croatia 0.20, Albania 0.20</t>
  </si>
  <si>
    <t>Small modern football-refinement row</t>
  </si>
  <si>
    <t>Serbia 0.84, Bosnia and Herzegovina 0.06, Montenegro 0.05, Croatia 0.03, North Macedonia 0.02</t>
  </si>
  <si>
    <t>Serbia 0.50, Romania 0.20, Hungary 0.15, Bulgaria 0.15</t>
  </si>
  <si>
    <t>Inland/eastern adjacency</t>
  </si>
  <si>
    <t>Hungary 0.30, Serbia 0.30, Croatia 0.20, Austria 0.20</t>
  </si>
  <si>
    <t>Northern/Vojvodina-like spread</t>
  </si>
  <si>
    <t>Turkey 0.75, Serbia 0.25</t>
  </si>
  <si>
    <t>Bosnia and Herzegovina 0.35, Montenegro 0.25, Kosovo 0.20, North Macedonia 0.20</t>
  </si>
  <si>
    <t>Useful internal regional spread</t>
  </si>
  <si>
    <t>Serbia 0.50, Croatia 0.25, Bosnia and Herzegovina 0.25</t>
  </si>
  <si>
    <t>LOCAL_LOCAL 0.94, DOUBLE_SURNAME_LOCAL_LOCAL 0.04, COMPOUND_GIVEN_LOCAL_LOCAL 0.02</t>
  </si>
  <si>
    <t>Main local South Slavic anchor using proxy naming</t>
  </si>
  <si>
    <t>Serbia 0.55, Bosnia and Herzegovina 0.25, Croatia 0.20</t>
  </si>
  <si>
    <t>Slight inland/eastern spill</t>
  </si>
  <si>
    <t>Croatia 0.40, Serbia 0.40, Bosnia and Herzegovina 0.20</t>
  </si>
  <si>
    <t>Small Adriatic accent</t>
  </si>
  <si>
    <t>Albania 0.70, Serbia 0.30</t>
  </si>
  <si>
    <t>Optional Albanian-linked row if desired</t>
  </si>
  <si>
    <t>Turkey 0.75, Montenegro Proxy 0.25</t>
  </si>
  <si>
    <t>Albania 0.44, Kosovo 0.28, Serbia 0.14, North Macedonia 0.08, Montenegro 0.06</t>
  </si>
  <si>
    <t>Main local pool; Kosovo likely needs custom/proxy naming support</t>
  </si>
  <si>
    <t>Serbia 0.35, Kosovo 0.30, Albania 0.20, North Macedonia 0.15</t>
  </si>
  <si>
    <t>Small inland spread</t>
  </si>
  <si>
    <t>Turkey 0.70, Kosovo 0.30</t>
  </si>
  <si>
    <t>Plausible and football-relevant</t>
  </si>
  <si>
    <t>Albania 0.55, North Macedonia 0.20, Serbia 0.15, Montenegro 0.10</t>
  </si>
  <si>
    <t>Albanoid-regional spread</t>
  </si>
  <si>
    <t>Serbia 0.45, Bosnia and Herzegovina 0.30, Croatia 0.25</t>
  </si>
  <si>
    <t>Optional mixed ex-Yugo football refinement</t>
  </si>
  <si>
    <t>Albania 0.90, Kosovo 0.05, North Macedonia 0.03, Montenegro 0.02</t>
  </si>
  <si>
    <t>Italy 0.45, Albania 0.35, Greece 0.20</t>
  </si>
  <si>
    <t>Turkey 0.70, Albania 0.30</t>
  </si>
  <si>
    <t>North Macedonia 0.35, Serbia 0.25, Albania 0.20, Kosovo 0.20</t>
  </si>
  <si>
    <t>Albania Muslim 0.55, Turkey 0.25, Albania 0.20</t>
  </si>
  <si>
    <t>Optional only if you support Albania Muslim as a sub-pool</t>
  </si>
  <si>
    <t>Kosovo 0.40, North Macedonia 0.25, Montenegro 0.20, Serbia 0.15</t>
  </si>
  <si>
    <t>Useful regional football spread</t>
  </si>
  <si>
    <t>North Macedonia</t>
  </si>
  <si>
    <t>North Macedonia 0.54, Bulgaria 0.14, Serbia 0.12, Albania 0.10, Kosovo 0.10</t>
  </si>
  <si>
    <t>Bulgaria 0.30, Serbia 0.25, North Macedonia 0.25, Albania 0.20</t>
  </si>
  <si>
    <t>Inland/eastern spread</t>
  </si>
  <si>
    <t>Turkey 0.70, North Macedonia 0.30</t>
  </si>
  <si>
    <t>Albania 0.40, Kosovo 0.25, North Macedonia 0.20, Serbia 0.15</t>
  </si>
  <si>
    <t>Greece 0.40, Albania 0.30, North Macedonia 0.30</t>
  </si>
  <si>
    <t>Southern/Mediterranean spill</t>
  </si>
  <si>
    <t>Bulgaria 0.84, North Macedonia 0.06, Serbia 0.05, Romania 0.05</t>
  </si>
  <si>
    <t>Bulgaria 0.55, Romania 0.20, Serbia 0.10, Turkey 0.10, North Macedonia 0.05</t>
  </si>
  <si>
    <t>Important eastern/black-sea spread</t>
  </si>
  <si>
    <t>Turkey 0.72, Bulgaria 0.28</t>
  </si>
  <si>
    <t>One of the stronger non-local rows here</t>
  </si>
  <si>
    <t>Romania 0.35, Serbia 0.25, Hungary 0.20, Bulgaria 0.20</t>
  </si>
  <si>
    <t>Useful inland variance</t>
  </si>
  <si>
    <t>North Macedonia 0.30, Serbia 0.20, Albania 0.15, Kosovo 0.15, Romania 0.10, Greece 0.10</t>
  </si>
  <si>
    <t>Useful southern/regional football spread</t>
  </si>
  <si>
    <t>Small bridge/refinement row</t>
  </si>
  <si>
    <t>Greece 0.86, Greek Cypriot 0.08, Italy 0.06</t>
  </si>
  <si>
    <t>Main south-mediterranean local pool</t>
  </si>
  <si>
    <t>Greece 0.48, Albania 0.20, North Macedonia 0.12, Bulgaria 0.10, Serbia 0.10</t>
  </si>
  <si>
    <t>Main Balkan-facing adjacency bucket</t>
  </si>
  <si>
    <t>Greece 0.45, Lebanon 0.20, Syria 0.15, Palestine 0.10, Greek Cypriot 0.10</t>
  </si>
  <si>
    <t>Eastern Mediterranean refinement</t>
  </si>
  <si>
    <t>Turkey 0.65, Greece 0.25, Greek Cypriot 0.10</t>
  </si>
  <si>
    <t>Bulgaria 0.30, Romania 0.25, Serbia 0.20, Greece 0.25</t>
  </si>
  <si>
    <t>Egypt 0.35, Libya 0.25, Tunisia 0.20, Morocco 0.20</t>
  </si>
  <si>
    <t>Small but regionally believable</t>
  </si>
  <si>
    <t>Crete/Dodecanese 0.55, Greece 0.30, Greek Cypriot 0.15</t>
  </si>
  <si>
    <t>Optional island/south-Aegean accent if you plan custom sub-pools</t>
  </si>
  <si>
    <t>Greek Cypriot 0.46, Turkish Cypriot 0.22, Greece 0.20, Lebanon 0.12</t>
  </si>
  <si>
    <t>Main local/eastern-med pool</t>
  </si>
  <si>
    <t>Greek Cypriot 0.52, Greece 0.28, Italy 0.20</t>
  </si>
  <si>
    <t>South-mediterranean overlap</t>
  </si>
  <si>
    <t>Turkish Cypriot 0.45, Turkey 0.40, Cyprus 0.15</t>
  </si>
  <si>
    <t>Important non-local-but-native-feeling component</t>
  </si>
  <si>
    <t>Greece 0.35, Bulgaria 0.20, Serbia 0.15, Greek Cypriot 0.15, Turkish Cypriot 0.15</t>
  </si>
  <si>
    <t>Useful southeast-European spread</t>
  </si>
  <si>
    <t>Egypt 0.35, Libya 0.25, Lebanon 0.20, Tunisia 0.20</t>
  </si>
  <si>
    <t>Regional spill</t>
  </si>
  <si>
    <t>Lebanon 0.35, Syria 0.25, Palestine 0.20, Iraq 0.20</t>
  </si>
  <si>
    <t>Useful eastern-med minority/refinement row</t>
  </si>
  <si>
    <t>Greek Cypriot 0.45, Malta 0.25, Greece 0.20, Italy 0.10</t>
  </si>
  <si>
    <t>Optional island-mediterranean refinement</t>
  </si>
  <si>
    <t>Turkey 0.93, Turkish Cypriot 0.03, Bulgaria 0.02, Germany 0.02</t>
  </si>
  <si>
    <t>Bosnia and Herzegovina 0.20, Bulgaria 0.20, Albania 0.20, North Macedonia 0.20, Kosovo 0.20</t>
  </si>
  <si>
    <t>Important historical/football spread</t>
  </si>
  <si>
    <t>Georgia 0.30, Azerbaijan 0.30, Armenia 0.15, Russia 0.25</t>
  </si>
  <si>
    <t>Strong refinement bucket</t>
  </si>
  <si>
    <t>Syria 0.40, Iraq 0.30, Lebanon 0.15, Palestine 0.15</t>
  </si>
  <si>
    <t>Better kept separate from core Anatolian</t>
  </si>
  <si>
    <t>Iran 0.85, Turkey 0.15</t>
  </si>
  <si>
    <t>Small but useful eastern spread</t>
  </si>
  <si>
    <t>Turkey 0.55, Greece 0.25, Greek Cypriot 0.20</t>
  </si>
  <si>
    <t>West-coast Mediterranean spread; replaces invalid EuroSouth row</t>
  </si>
  <si>
    <t>Georgia 0.91, Armenia 0.04, Azerbaijan 0.03, Russia 0.02</t>
  </si>
  <si>
    <t>Georgia 0.56, Russia 0.24, Ukraine 0.10, Armenia 0.10</t>
  </si>
  <si>
    <t>Useful northern variance</t>
  </si>
  <si>
    <t>Turkey 0.70, Georgia 0.30</t>
  </si>
  <si>
    <t>Real neighboring pressure</t>
  </si>
  <si>
    <t>Iran 0.70, Georgia 0.30</t>
  </si>
  <si>
    <t>Serbia 0.30, Romania 0.25, Bulgaria 0.25, Turkey 0.20</t>
  </si>
  <si>
    <t>Armenia 0.93, Georgia 0.04, Russia 0.03</t>
  </si>
  <si>
    <t>Iran 0.75, Armenia 0.25</t>
  </si>
  <si>
    <t>Important southern refinement</t>
  </si>
  <si>
    <t>Turkey 0.65, Armenia 0.35</t>
  </si>
  <si>
    <t>Small but worth preserving visually</t>
  </si>
  <si>
    <t>Russia 0.45, Georgia 0.25, Ukraine 0.15, Armenia 0.15</t>
  </si>
  <si>
    <t>Minor northern variance</t>
  </si>
  <si>
    <t>Lebanon 0.45, Syria 0.25, Iraq 0.20, Palestine 0.10</t>
  </si>
  <si>
    <t>Small but believable</t>
  </si>
  <si>
    <t>Azerbaijan 0.91, Georgia 0.05, Russia 0.04</t>
  </si>
  <si>
    <t>Turkey 0.75, Azerbaijan 0.25</t>
  </si>
  <si>
    <t>Very important secondary bucket</t>
  </si>
  <si>
    <t>Iran 0.80, Azerbaijan 0.20</t>
  </si>
  <si>
    <t>Stronger here than in Georgia/Armenia</t>
  </si>
  <si>
    <t>Russia 0.50, Georgia 0.20, Ukraine 0.15, Azerbaijan 0.15</t>
  </si>
  <si>
    <t>Minor refinement bucket</t>
  </si>
  <si>
    <t>Russia 0.91, Belarus 0.03, Ukraine 0.03, Kazakhstan 0.03</t>
  </si>
  <si>
    <t>Main local playable base</t>
  </si>
  <si>
    <t>Russia 0.70, Belarus 0.15, Finland 0.10, Estonia 0.05</t>
  </si>
  <si>
    <t>Important spread bucket</t>
  </si>
  <si>
    <t>Russia 0.60, Finland 0.20, Estonia 0.10, Komi/Karelian 0.10</t>
  </si>
  <si>
    <t>Real refinement bucket for long-run spread; custom sub-pool if supported</t>
  </si>
  <si>
    <t>Georgia 0.20, Armenia 0.15, Azerbaijan 0.20, Russia 0.45</t>
  </si>
  <si>
    <t>Important football refinement bucket</t>
  </si>
  <si>
    <t>Tatar/Bashkir 0.50, Turkey 0.35, Azerbaijan 0.15</t>
  </si>
  <si>
    <t>Operational proxy for Turkic-facing minority spread</t>
  </si>
  <si>
    <t>AsiaCentralUzbek</t>
  </si>
  <si>
    <t>Uzbekistan 0.70, Kazakhstan 0.15, Russia 0.15</t>
  </si>
  <si>
    <t>Keep distinct from Caucasus</t>
  </si>
  <si>
    <t>AsiaCentralTajik</t>
  </si>
  <si>
    <t>Tajikistan 0.70, Kyrgyzstan 0.15, Russia 0.15</t>
  </si>
  <si>
    <t>Useful refinement split</t>
  </si>
  <si>
    <t>Morocco 0.94, Algeria 0.04, Tunisia 0.02</t>
  </si>
  <si>
    <t>Senegal 0.30, Mali 0.25, Guinea 0.25, Ivory Coast 0.20</t>
  </si>
  <si>
    <t>Sahel/West African football adjacency without unsupported pools</t>
  </si>
  <si>
    <t>Spain 0.60, Portugal 0.40</t>
  </si>
  <si>
    <t>Iberian adjacency trace</t>
  </si>
  <si>
    <t>Egypt 1.00</t>
  </si>
  <si>
    <t>Small east-North-African bridge; cleaner than decorative AfricaSouth row</t>
  </si>
  <si>
    <t>Algeria 0.94, Morocco 0.04, Tunisia 0.02</t>
  </si>
  <si>
    <t>Mali 0.30, Senegal 0.25, Guinea 0.25, Ivory Coast 0.20</t>
  </si>
  <si>
    <t>Sahel adjacency using supported pools only</t>
  </si>
  <si>
    <t>Syria 0.35, Lebanon 0.25, Palestine 0.20, Iraq 0.20</t>
  </si>
  <si>
    <t>Small West Asian spill</t>
  </si>
  <si>
    <t>Spain 0.65, France 0.35</t>
  </si>
  <si>
    <t>Mediterranean adjacency</t>
  </si>
  <si>
    <t>Interior/eastward bridge without unsupported Sahel pools</t>
  </si>
  <si>
    <t>Tunisia 0.90, Algeria 0.05, Libya 0.03, Morocco 0.02</t>
  </si>
  <si>
    <t>Lebanon 0.30, Syria 0.25, Palestine 0.25, Iraq 0.20</t>
  </si>
  <si>
    <t>Eastward Mediterranean spill</t>
  </si>
  <si>
    <t>Sahel adjacency using supported pools</t>
  </si>
  <si>
    <t>Italy 0.70, Malta 0.30</t>
  </si>
  <si>
    <t>Central Mediterranean trace</t>
  </si>
  <si>
    <t>East North African bridge</t>
  </si>
  <si>
    <t>Libya 0.80, Tunisia 0.10, Algeria 0.06, Egypt 0.04</t>
  </si>
  <si>
    <t>Egypt 0.85, Libya 0.15</t>
  </si>
  <si>
    <t>Strong eastern pull</t>
  </si>
  <si>
    <t>AfricaSahelia</t>
  </si>
  <si>
    <t>Sudan 0.50, Mali 0.30, Senegal 0.20</t>
  </si>
  <si>
    <t>Southern desert/Sahel pull using supported pools</t>
  </si>
  <si>
    <t>Palestine 0.30, Syria 0.25, Lebanon 0.20, Iraq 0.25</t>
  </si>
  <si>
    <t>Sahel football adjacency without unsupported pools</t>
  </si>
  <si>
    <t>Egypt 0.96, Palestine 0.02, Lebanon 0.02</t>
  </si>
  <si>
    <t>Palestine 0.35, Syria 0.25, Lebanon 0.25, Iraq 0.15</t>
  </si>
  <si>
    <t>Strong east-med overlap</t>
  </si>
  <si>
    <t>Libya 0.50, Tunisia 0.25, Algeria 0.15, Morocco 0.10</t>
  </si>
  <si>
    <t>Western North African spill</t>
  </si>
  <si>
    <t>Sudan 0.45, Ethiopia 0.30, Somalia 0.25</t>
  </si>
  <si>
    <t>Southward Nile/Horn bridge without unsupported Horn pools</t>
  </si>
  <si>
    <t>Sudan 0.50, Mali 0.25, Senegal 0.25</t>
  </si>
  <si>
    <t>Small interior bridge; cleaner than unsupported Chad/Niger use</t>
  </si>
  <si>
    <t>Syria 0.82, Lebanon 0.08, Palestine 0.06, Iraq 0.04</t>
  </si>
  <si>
    <t>Turkey 0.75, Syria 0.25</t>
  </si>
  <si>
    <t>Northern adjacency</t>
  </si>
  <si>
    <t>Iran 0.80, Syria 0.20</t>
  </si>
  <si>
    <t>Eastern spill</t>
  </si>
  <si>
    <t>Saudi Arabia 0.45, Jordan 0.25, Iraq 0.15, UAE 0.15</t>
  </si>
  <si>
    <t>Arab core adjacency</t>
  </si>
  <si>
    <t>East-med bridge</t>
  </si>
  <si>
    <t>Lebanon 0.84, Syria 0.08, Palestine 0.05, Iraq 0.03</t>
  </si>
  <si>
    <t>Turkey 0.75, Lebanon 0.25</t>
  </si>
  <si>
    <t>Northern spill</t>
  </si>
  <si>
    <t>Iran 0.80, Lebanon 0.20</t>
  </si>
  <si>
    <t>Small eastern bridge</t>
  </si>
  <si>
    <t>Saudi Arabia 0.40, UAE 0.25, Jordan 0.20, Kuwait 0.15</t>
  </si>
  <si>
    <t>Arab adjacency</t>
  </si>
  <si>
    <t>Palestine 0.84, Jordan 0.06, Syria 0.05, Lebanon 0.05</t>
  </si>
  <si>
    <t>Southern bridge</t>
  </si>
  <si>
    <t>Jordan 0.35, Saudi Arabia 0.30, UAE 0.20, Kuwait 0.15</t>
  </si>
  <si>
    <t>Turkey 0.75, Palestine 0.25</t>
  </si>
  <si>
    <t>Minor northward spill</t>
  </si>
  <si>
    <t>Iran 0.80, Palestine 0.20</t>
  </si>
  <si>
    <t>Minor eastern spill</t>
  </si>
  <si>
    <t>Jordan 0.65, Palestine 0.20, Syria 0.08, Iraq 0.07</t>
  </si>
  <si>
    <t>Main local pool; Palestine-linked weighting</t>
  </si>
  <si>
    <t>Saudi Arabia 0.50, UAE 0.20, Kuwait 0.15, Jordan 0.15</t>
  </si>
  <si>
    <t>Arabian adjacency</t>
  </si>
  <si>
    <t>Turkey 0.75, Jordan 0.25</t>
  </si>
  <si>
    <t>Small northward spill</t>
  </si>
  <si>
    <t>Iran 0.80, Jordan 0.20</t>
  </si>
  <si>
    <t>Small eastern spill</t>
  </si>
  <si>
    <t>Iraq 0.82, Syria 0.08, Lebanon 0.05, Palestine 0.05</t>
  </si>
  <si>
    <t>Main western/local anchor under current system</t>
  </si>
  <si>
    <t>Iran 0.85, Iraq 0.15</t>
  </si>
  <si>
    <t>Saudi Arabia 0.40, Jordan 0.25, Kuwait 0.20, UAE 0.15</t>
  </si>
  <si>
    <t>Turkey 0.75, Iraq 0.25</t>
  </si>
  <si>
    <t>Armenia 0.35, Azerbaijan 0.35, Georgia 0.30</t>
  </si>
  <si>
    <t>Northern bridge</t>
  </si>
  <si>
    <t>Westward bridge</t>
  </si>
  <si>
    <t>Iran 1.00</t>
  </si>
  <si>
    <t>Iraq 0.45, Syria 0.20, Lebanon 0.20, Palestine 0.15</t>
  </si>
  <si>
    <t>Westward spill</t>
  </si>
  <si>
    <t>Turkey 0.75, Iran 0.25</t>
  </si>
  <si>
    <t>Northwest spill</t>
  </si>
  <si>
    <t>Azerbaijan 0.45, Armenia 0.30, Georgia 0.25</t>
  </si>
  <si>
    <t>Northward bridge</t>
  </si>
  <si>
    <t>Iraq 0.35, Saudi Arabia 0.30, Kuwait 0.20, UAE 0.15</t>
  </si>
  <si>
    <t>Small Gulf spill</t>
  </si>
  <si>
    <t>Iran 0.70, Tajikistan 0.30</t>
  </si>
  <si>
    <t>Optional eastern Iranian-family refinement if Tajikistan pool exists later</t>
  </si>
  <si>
    <t>Saudi Arabia 0.94, Jordan 0.03, Kuwait 0.03</t>
  </si>
  <si>
    <t>Jordan 0.35, Palestine 0.25, Syria 0.20, Lebanon 0.20</t>
  </si>
  <si>
    <t>Northern Arab spill</t>
  </si>
  <si>
    <t>Red Sea / football spill</t>
  </si>
  <si>
    <t>Gulf adjacency</t>
  </si>
  <si>
    <t>Somalia 0.45, Ethiopia 0.30, Sudan 0.25</t>
  </si>
  <si>
    <t>Red Sea adjacency using supported pools only</t>
  </si>
  <si>
    <t>Saudi Arabia 0.70, Jordan 0.20, Oman 0.10</t>
  </si>
  <si>
    <t>Proxy local pool; Yemen has no direct supported naming dataset</t>
  </si>
  <si>
    <t>Strong Red Sea bridge</t>
  </si>
  <si>
    <t>Small Gulf-side spill</t>
  </si>
  <si>
    <t>AfricaEast</t>
  </si>
  <si>
    <t>Sudan 0.40, Kenya 0.30, Tanzania 0.30</t>
  </si>
  <si>
    <t>Small football migration spill</t>
  </si>
  <si>
    <t>Oman 0.92, UAE 0.05, Saudi Arabia 0.03</t>
  </si>
  <si>
    <t>Gulf spill</t>
  </si>
  <si>
    <t>Indian Ocean / Red Sea link</t>
  </si>
  <si>
    <t>Arab spill</t>
  </si>
  <si>
    <t>UAE 0.76, Saudi Arabia 0.10, Oman 0.08, Jordan 0.06</t>
  </si>
  <si>
    <t>IndiaSouth</t>
  </si>
  <si>
    <t>India South 0.45, India Gangetic 0.20, Pakistan Punjabi 0.20, Bangladesh 0.15</t>
  </si>
  <si>
    <t>South Asian labor/migration spill</t>
  </si>
  <si>
    <t>Jordan 0.30, Palestine 0.25, Lebanon 0.25, Syria 0.20</t>
  </si>
  <si>
    <t>Red Sea spill</t>
  </si>
  <si>
    <t>Kenya 0.35, Tanzania 0.35, Sudan 0.30</t>
  </si>
  <si>
    <t>East African migration spill</t>
  </si>
  <si>
    <t>Arab football adjacency</t>
  </si>
  <si>
    <t>Turkey 1.00</t>
  </si>
  <si>
    <t>Minor spill</t>
  </si>
  <si>
    <t>Qatar 0.80, Saudi Arabia 0.10, Jordan 0.05, UAE 0.05</t>
  </si>
  <si>
    <t>Football recruitment / Arab spill</t>
  </si>
  <si>
    <t>Senegal 0.30, Nigeria 0.25, Ghana 0.20, Mali 0.15, Ivory Coast 0.10</t>
  </si>
  <si>
    <t>Footballing spill</t>
  </si>
  <si>
    <t>South Asian migration spill</t>
  </si>
  <si>
    <t>Kuwait 0.84, Saudi Arabia 0.08, Iraq 0.05, Jordan 0.03</t>
  </si>
  <si>
    <t>Iraq 0.30, Palestine 0.25, Jordan 0.25, Syria 0.20</t>
  </si>
  <si>
    <t>Bahrain 0.80, Saudi Arabia 0.10, Kuwait 0.06, UAE 0.04</t>
  </si>
  <si>
    <t>Iraq 0.30, Jordan 0.25, Palestine 0.25, Syria 0.20</t>
  </si>
  <si>
    <t>Nigeria 0.88, Ghana 0.06, Benin 0.06</t>
  </si>
  <si>
    <t>Nigeria 0.55, Mali 0.25, Senegal 0.20</t>
  </si>
  <si>
    <t>Northern Sahel spill without unsupported pools/sub-pools</t>
  </si>
  <si>
    <t>Cameroon 0.45, DR Congo 0.35, Congo 0.20</t>
  </si>
  <si>
    <t>Central spill</t>
  </si>
  <si>
    <t>Morocco 0.40, Algeria 0.30, Tunisia 0.30</t>
  </si>
  <si>
    <t>Northward spill</t>
  </si>
  <si>
    <t>AfroBrazil</t>
  </si>
  <si>
    <t>Brazil 1.00</t>
  </si>
  <si>
    <t>Nigeria 0.60, Ghana 0.20, Benin 0.20</t>
  </si>
  <si>
    <t>LOCAL_HERITAGE 0.55, HERITAGE_HERITAGE 0.30, LOCAL_LOCAL 0.10, HERITAGE_LOCAL 0.05</t>
  </si>
  <si>
    <t>Mixed pan-Gulf-of-Guinea row</t>
  </si>
  <si>
    <t>Ghana 0.84, Togo 0.08, Ivory Coast 0.04, Benin 0.04</t>
  </si>
  <si>
    <t>Mali 0.35, Burkina Faso 0.35, Nigeria 0.30</t>
  </si>
  <si>
    <t>Northern spill using supported pools only</t>
  </si>
  <si>
    <t>Atlantic spill</t>
  </si>
  <si>
    <t>Ghana 0.60, Togo 0.20, Ivory Coast 0.20</t>
  </si>
  <si>
    <t>Mixed Gulf-of-Guinea row</t>
  </si>
  <si>
    <t>Senegal 0.90, Mali 0.06, Guinea 0.04</t>
  </si>
  <si>
    <t>Mali 0.40, Burkina Faso 0.30, Morocco 0.30</t>
  </si>
  <si>
    <t>Strong Sahel/desert spill without unsupported Mauritania/Niger</t>
  </si>
  <si>
    <t>Mali 0.78, Senegal 0.12, Burkina Faso 0.10</t>
  </si>
  <si>
    <t>Main northern/local anchor</t>
  </si>
  <si>
    <t>Mali 0.55, Senegal 0.20, Guinea 0.15, Ivory Coast 0.10</t>
  </si>
  <si>
    <t>Main western-facing anchor</t>
  </si>
  <si>
    <t>Morocco 0.40, Algeria 0.35, Tunisia 0.25</t>
  </si>
  <si>
    <t>Northward desert spill</t>
  </si>
  <si>
    <t>Cameroon 0.40, DR Congo 0.30, Congo 0.30</t>
  </si>
  <si>
    <t>Eastward interior bridge</t>
  </si>
  <si>
    <t>Mali 0.55, Senegal 0.25, Guinea 0.20</t>
  </si>
  <si>
    <t>Mixed western row</t>
  </si>
  <si>
    <t>Guinea 0.86, Senegal 0.08, Mali 0.06</t>
  </si>
  <si>
    <t>Mali 0.40, Senegal 0.30, Burkina Faso 0.30</t>
  </si>
  <si>
    <t>Small Atlantic spill</t>
  </si>
  <si>
    <t>Guinea 0.55, Senegal 0.25, Mali 0.20</t>
  </si>
  <si>
    <t>Senegal 0.40, Guinea 0.35, Cape Verde 0.15, Portugal 0.10</t>
  </si>
  <si>
    <t>Proxy local pool; no direct supported Guinea-Bissau dataset</t>
  </si>
  <si>
    <t>Senegal 0.35, Mali 0.35, Burkina Faso 0.30</t>
  </si>
  <si>
    <t>Senegal 0.40, Guinea 0.35, Cape Verde 0.25</t>
  </si>
  <si>
    <t>Mixed Lusophone-western row</t>
  </si>
  <si>
    <t>Ivory Coast 0.84, Ghana 0.08, Guinea 0.04, Burkina Faso 0.04</t>
  </si>
  <si>
    <t>Burkina Faso 0.35, Mali 0.35, Nigeria 0.30</t>
  </si>
  <si>
    <t>Ivory Coast 0.55, Ghana 0.25, Burkina Faso 0.20</t>
  </si>
  <si>
    <t>Burkina Faso 0.72, Mali 0.18, Ghana 0.10</t>
  </si>
  <si>
    <t>Burkina Faso 0.50, Ghana 0.20, Ivory Coast 0.15, Mali 0.15</t>
  </si>
  <si>
    <t>Mali 0.35, Morocco 0.30, Algeria 0.20, Tunisia 0.15</t>
  </si>
  <si>
    <t>Eastward bridge</t>
  </si>
  <si>
    <t>Burkina Faso 0.55, Ghana 0.25, Ivory Coast 0.20</t>
  </si>
  <si>
    <t>Mixed west-facing row</t>
  </si>
  <si>
    <t>Morocco 0.30, Senegal 0.30, Mali 0.25, Algeria 0.15</t>
  </si>
  <si>
    <t>Proxy local anchor; no direct supported Mauritania dataset</t>
  </si>
  <si>
    <t>Strong northern pull</t>
  </si>
  <si>
    <t>Senegal 0.40, Mali 0.25, Guinea 0.20, Ivory Coast 0.15</t>
  </si>
  <si>
    <t>Strong western pull</t>
  </si>
  <si>
    <t>Sudan 0.40, Cameroon 0.30, DR Congo 0.30</t>
  </si>
  <si>
    <t>Eastward bridge without unsupported Niger/Chad</t>
  </si>
  <si>
    <t>Senegal 0.35, Morocco 0.35, Mali 0.30</t>
  </si>
  <si>
    <t>Mixed Sahel-Maghreb row</t>
  </si>
  <si>
    <t>Senegal 0.50, Guinea 0.25, Mali 0.15, Cape Verde 0.10</t>
  </si>
  <si>
    <t>Proxy local pool; no direct supported Gambia dataset</t>
  </si>
  <si>
    <t>Liberia 0.40, Guinea 0.25, Ghana 0.20, Ivory Coast 0.15</t>
  </si>
  <si>
    <t>Proxy local pool; no direct supported Sierra Leone dataset</t>
  </si>
  <si>
    <t>Mali 0.35, Burkina Faso 0.35, Senegal 0.30</t>
  </si>
  <si>
    <t>Liberia 0.78, Ivory Coast 0.10, Ghana 0.07, Guinea 0.05</t>
  </si>
  <si>
    <t>Togo 0.78, Ghana 0.12, Benin 0.10</t>
  </si>
  <si>
    <t>Togo 0.55, Ghana 0.25, Benin 0.20</t>
  </si>
  <si>
    <t>Mixed gulf row</t>
  </si>
  <si>
    <t>Benin 0.78, Togo 0.12, Nigeria 0.10</t>
  </si>
  <si>
    <t>Nigeria 0.35, Burkina Faso 0.35, Mali 0.30</t>
  </si>
  <si>
    <t>Benin 0.55, Togo 0.25, Nigeria 0.20</t>
  </si>
  <si>
    <t>Cameroon 0.70, DR Congo 0.12, Congo 0.10, Gabon Proxy 0.08</t>
  </si>
  <si>
    <t>Cameroon 0.40, Nigeria 0.30, Ghana 0.15, Ivory Coast 0.15</t>
  </si>
  <si>
    <t>Western-facing anchor</t>
  </si>
  <si>
    <t>Cameroon 0.45, Chad Proxy 0.25, Sudan 0.15, Nigeria 0.15</t>
  </si>
  <si>
    <t>Northern-facing anchor using proxy Chad logic</t>
  </si>
  <si>
    <t>Uganda 0.35, Kenya 0.35, Tanzania 0.30</t>
  </si>
  <si>
    <t>Eastward spill</t>
  </si>
  <si>
    <t>Zambia 0.35, Zimbabwe 0.35, Mozambique 0.30</t>
  </si>
  <si>
    <t>Southern spill without Angola overuse</t>
  </si>
  <si>
    <t>Cameroon 0.55, DR Congo 0.20, Congo 0.15, Gabon Proxy 0.10</t>
  </si>
  <si>
    <t>Mixed pan-Cameroon / Congo-basin row</t>
  </si>
  <si>
    <t>DR Congo</t>
  </si>
  <si>
    <t>DR Congo 0.84, Congo 0.08, Rwanda 0.04, Burundi Proxy 0.04</t>
  </si>
  <si>
    <t>Uganda 0.35, Rwanda 0.25, Kenya 0.20, Tanzania 0.20</t>
  </si>
  <si>
    <t>Zambia 0.40, Zimbabwe 0.30, Mozambique 0.30</t>
  </si>
  <si>
    <t>Southern spill</t>
  </si>
  <si>
    <t>Cameroon 0.35, Nigeria 0.25, Ghana 0.20, Ivory Coast 0.20</t>
  </si>
  <si>
    <t>Western spill</t>
  </si>
  <si>
    <t>Ethiopia 0.40, Somalia 0.30, Sudan 0.30</t>
  </si>
  <si>
    <t>Long-range eastward spill</t>
  </si>
  <si>
    <t>DR Congo 0.55, Congo 0.25, Rwanda 0.10, Uganda 0.10</t>
  </si>
  <si>
    <t>Mixed Congo basin row</t>
  </si>
  <si>
    <t>Congo 0.82, DR Congo 0.10, Cameroon 0.04, Gabon Proxy 0.04</t>
  </si>
  <si>
    <t>Cameroon 0.40, Nigeria 0.25, Ghana 0.20, Ivory Coast 0.15</t>
  </si>
  <si>
    <t>Congo 0.55, DR Congo 0.25, Cameroon 0.20</t>
  </si>
  <si>
    <t>Cameroon 0.30, DR Congo 0.25, Congo 0.20, Sudan 0.15, Uganda 0.10</t>
  </si>
  <si>
    <t>Proxy local anchor; no direct supported CAR dataset</t>
  </si>
  <si>
    <t>Sudan 0.35, Chad Proxy 0.25, Cameroon 0.20, Mali 0.20</t>
  </si>
  <si>
    <t>Uganda 0.35, South Sudan Proxy 0.25, Kenya 0.20, Tanzania 0.20</t>
  </si>
  <si>
    <t>DR Congo 0.40, Zambia 0.30, Zimbabwe 0.30</t>
  </si>
  <si>
    <t>Cameroon 0.35, DR Congo 0.25, Congo 0.20, Sudan 0.20</t>
  </si>
  <si>
    <t>Mixed interior row</t>
  </si>
  <si>
    <t>Congo 0.35, Cameroon 0.30, DR Congo 0.20, Equatorial Guinea Proxy 0.15</t>
  </si>
  <si>
    <t>Proxy local pool; no direct supported Gabon dataset</t>
  </si>
  <si>
    <t>Congo 0.40, Cameroon 0.25, DR Congo 0.20, Equatorial Guinea Proxy 0.15</t>
  </si>
  <si>
    <t>Mixed central row</t>
  </si>
  <si>
    <t>Cameroon 0.35, Gabon Proxy 0.25, Congo 0.20, Spain 0.20</t>
  </si>
  <si>
    <t>Proxy local anchor; no direct supported Equatorial Guinea dataset</t>
  </si>
  <si>
    <t>Cameroon 0.30, Nigeria 0.25, Ghana 0.20, Ivory Coast 0.15, Spain 0.10</t>
  </si>
  <si>
    <t>Spain 0.70, Cameroon 0.30</t>
  </si>
  <si>
    <t>Iberian colonial-language spill</t>
  </si>
  <si>
    <t>Mixed local row</t>
  </si>
  <si>
    <t>Angola 0.78, DR Congo 0.12, Congo 0.06, Zambia 0.04</t>
  </si>
  <si>
    <t>Main local pool; shifted central rather than south-first</t>
  </si>
  <si>
    <t>Zambia 0.35, Zimbabwe 0.30, Mozambique 0.20, Angola 0.15</t>
  </si>
  <si>
    <t>Southern-facing secondary anchor</t>
  </si>
  <si>
    <t>Zambia 0.35, Tanzania 0.35, Uganda 0.30</t>
  </si>
  <si>
    <t>Angola 0.50, DR Congo 0.20, Congo 0.15, Zambia 0.15</t>
  </si>
  <si>
    <t>Mixed Angola-central row</t>
  </si>
  <si>
    <t>Mozambique 0.78, Zambia 0.08, Zimbabwe 0.08, Tanzania 0.06</t>
  </si>
  <si>
    <t>Tanzania 0.35, Kenya 0.25, Uganda 0.20, Malawi Proxy 0.20</t>
  </si>
  <si>
    <t>Angola 0.35, DR Congo 0.35, Zambia 0.30</t>
  </si>
  <si>
    <t>Interior spill</t>
  </si>
  <si>
    <t>Indian Ocean spill</t>
  </si>
  <si>
    <t>India South 0.50, Pakistan Punjabi 0.25, Bangladesh 0.25</t>
  </si>
  <si>
    <t>Mozambique 0.55, Zambia 0.25, Tanzania 0.20</t>
  </si>
  <si>
    <t>Mixed southern row</t>
  </si>
  <si>
    <t>Cape Verde 0.72, Brazil 0.18, Portugal 0.10</t>
  </si>
  <si>
    <t>Main local/creole anchor</t>
  </si>
  <si>
    <t>Cape Verde 0.38, Senegal 0.22, Guinea 0.20, Mali 0.10, Portugal 0.10</t>
  </si>
  <si>
    <t>Main West African-facing anchor</t>
  </si>
  <si>
    <t>Cape Verde 0.55, Senegal 0.25, Guinea 0.20</t>
  </si>
  <si>
    <t>Mixed Atlantic-western row</t>
  </si>
  <si>
    <t>Cape Verde 0.35, Brazil 0.35, Portugal 0.15, Angola 0.15</t>
  </si>
  <si>
    <t>Main creole/lusophone anchor via proxy naming</t>
  </si>
  <si>
    <t>Angola 0.30, Congo 0.25, Cameroon 0.25, DR Congo 0.20</t>
  </si>
  <si>
    <t>Main African-facing anchor</t>
  </si>
  <si>
    <t>Cape Verde 0.30, Senegal 0.25, Guinea 0.25, Portugal 0.20</t>
  </si>
  <si>
    <t>Angola 0.60, Mozambique 0.40</t>
  </si>
  <si>
    <t>Angola 0.35, Congo 0.35, Cameroon 0.30</t>
  </si>
  <si>
    <t>Mixed lusophone-central row</t>
  </si>
  <si>
    <t>South Africa 0.78, Zimbabwe 0.10, Zambia 0.07, Mozambique 0.05</t>
  </si>
  <si>
    <t>Zimbabwe 0.30, Zambia 0.25, Tanzania 0.25, Kenya 0.20</t>
  </si>
  <si>
    <t>Nigeria 0.30, Ghana 0.25, Cameroon 0.25, Ivory Coast 0.20</t>
  </si>
  <si>
    <t>Football spill</t>
  </si>
  <si>
    <t>Eastern migration spill</t>
  </si>
  <si>
    <t>India South 0.48, India Gangetic 0.18, Pakistan Punjabi 0.18, Bangladesh 0.16</t>
  </si>
  <si>
    <t>South Asian spill</t>
  </si>
  <si>
    <t>Netherlands 0.30, Germany 0.25, England 0.25, Belgium Dutch 0.20</t>
  </si>
  <si>
    <t>Euro-derived spill</t>
  </si>
  <si>
    <t>South Africa 0.55, Zimbabwe 0.20, Zambia 0.15, Mozambique 0.10</t>
  </si>
  <si>
    <t>Mixed South African row</t>
  </si>
  <si>
    <t>South Africa 0.45, Angola 0.25, Zimbabwe 0.15, Zambia 0.15</t>
  </si>
  <si>
    <t>Proxy local anchor; no direct supported Namibia dataset</t>
  </si>
  <si>
    <t>Angola 0.40, Congo 0.30, DR Congo 0.30</t>
  </si>
  <si>
    <t>Zambia 0.35, Zimbabwe 0.35, Tanzania 0.30</t>
  </si>
  <si>
    <t>Germany 0.45, Netherlands 0.25, Belgium Dutch 0.15, Austria 0.15</t>
  </si>
  <si>
    <t>South Africa 0.45, Angola 0.20, Zimbabwe 0.20, Zambia 0.15</t>
  </si>
  <si>
    <t>South Africa 0.50, Zimbabwe 0.25, Zambia 0.15, Botswana Proxy 0.10</t>
  </si>
  <si>
    <t>Proxy local pool; no direct supported Botswana dataset</t>
  </si>
  <si>
    <t>Angola 0.40, DR Congo 0.30, Congo 0.30</t>
  </si>
  <si>
    <t>South Africa 0.55, Zimbabwe 0.25, Zambia 0.20</t>
  </si>
  <si>
    <t>Zimbabwe 0.72, Zambia 0.12, South Africa 0.08, Mozambique 0.08</t>
  </si>
  <si>
    <t>Zambia 0.30, Tanzania 0.30, Kenya 0.20, Uganda 0.20</t>
  </si>
  <si>
    <t>Zambia 0.62, Zimbabwe 0.16, Tanzania 0.12, South Africa 0.10</t>
  </si>
  <si>
    <t>DR Congo 0.40, Angola 0.30, Congo 0.30</t>
  </si>
  <si>
    <t>Zambia 0.42, Zimbabwe 0.20, Tanzania 0.15, South Africa 0.13, Angola 0.10</t>
  </si>
  <si>
    <t>Tanzania 0.35, Zambia 0.30, Kenya 0.20, Uganda 0.15</t>
  </si>
  <si>
    <t>Proxy local anchor; no direct supported Malawi dataset</t>
  </si>
  <si>
    <t>Zambia 0.30, Zimbabwe 0.25, South Africa 0.25, Tanzania 0.20</t>
  </si>
  <si>
    <t>Strong southern-facing anchor</t>
  </si>
  <si>
    <t>Zambia 0.35, DR Congo 0.35, Angola 0.30</t>
  </si>
  <si>
    <t>Tanzania 0.45, Zambia 0.30, Kenya 0.25</t>
  </si>
  <si>
    <t>Mixed east-south row</t>
  </si>
  <si>
    <t>Kenya 0.86, Uganda 0.06, Tanzania 0.04, Ethiopia 0.04</t>
  </si>
  <si>
    <t>Ethiopia 0.40, Somalia 0.35, Sudan 0.25</t>
  </si>
  <si>
    <t>Tanzania 0.35, Uganda 0.30, Zambia 0.20, Zimbabwe 0.15</t>
  </si>
  <si>
    <t>Saudi Arabia 0.35, UAE 0.25, Oman 0.20, Kuwait 0.20</t>
  </si>
  <si>
    <t>Tanzania 0.80, Kenya 0.08, Uganda 0.06, Malawi Proxy 0.06</t>
  </si>
  <si>
    <t>Zambia 0.30, Malawi Proxy 0.25, Zimbabwe 0.25, South Africa 0.20</t>
  </si>
  <si>
    <t>Uganda 0.84, Kenya 0.08, Tanzania 0.04, Rwanda 0.04</t>
  </si>
  <si>
    <t>DR Congo 0.40, Rwanda 0.30, Tanzania 0.30</t>
  </si>
  <si>
    <t>Tanzania 0.30, Zambia 0.25, Zimbabwe 0.25, South Africa 0.20</t>
  </si>
  <si>
    <t>Rwanda 0.52, Uganda 0.20, DR Congo 0.14, Tanzania 0.14</t>
  </si>
  <si>
    <t>Uganda 0.30, Kenya 0.25, Tanzania 0.25, Burundi Proxy 0.20</t>
  </si>
  <si>
    <t>Main eastern-facing anchor</t>
  </si>
  <si>
    <t>Rwanda 0.45, Uganda 0.25, DR Congo 0.15, Tanzania 0.15</t>
  </si>
  <si>
    <t>Mixed great-lakes row</t>
  </si>
  <si>
    <t>Rwanda 0.35, Tanzania 0.25, Uganda 0.20, DR Congo 0.20</t>
  </si>
  <si>
    <t>Proxy local anchor; no direct supported Burundi dataset</t>
  </si>
  <si>
    <t>Tanzania 0.30, Uganda 0.25, Kenya 0.25, Rwanda 0.20</t>
  </si>
  <si>
    <t>Ethiopia 0.82, Eritrea Proxy 0.10, Somalia 0.08</t>
  </si>
  <si>
    <t>Kenya 0.35, Uganda 0.30, Tanzania 0.35</t>
  </si>
  <si>
    <t>Saudi Arabia 0.35, Oman 0.25, UAE 0.20, Yemen Proxy 0.20</t>
  </si>
  <si>
    <t>Sudan 0.40, Mali 0.30, Senegal 0.30</t>
  </si>
  <si>
    <t>Uganda 0.35, South Sudan Proxy 0.35, DR Congo 0.30</t>
  </si>
  <si>
    <t>Southwestern spill</t>
  </si>
  <si>
    <t>Ethiopia 0.60, Somalia 0.20, Eritrea Proxy 0.20</t>
  </si>
  <si>
    <t>Mixed Horn row</t>
  </si>
  <si>
    <t>Ethiopia 0.45, Sudan 0.20, Somalia 0.20, Yemen Proxy 0.15</t>
  </si>
  <si>
    <t>Proxy local pool; no direct supported Eritrea dataset</t>
  </si>
  <si>
    <t>Ethiopia 0.35, Kenya 0.35, Tanzania 0.30</t>
  </si>
  <si>
    <t>Ethiopia 0.45, Somalia 0.30, Sudan 0.25</t>
  </si>
  <si>
    <t>Somalia 0.88, Ethiopia 0.08, Sudan 0.04</t>
  </si>
  <si>
    <t>Kenya 0.40, Ethiopia 0.35, Tanzania 0.25</t>
  </si>
  <si>
    <t>Red Sea / Gulf spill</t>
  </si>
  <si>
    <t>Sudan 0.45, Mali 0.30, Senegal 0.25</t>
  </si>
  <si>
    <t>Long-range spill</t>
  </si>
  <si>
    <t>Somalia 0.40, Ethiopia 0.30, Sudan 0.15, Yemen Proxy 0.15</t>
  </si>
  <si>
    <t>Proxy local anchor; no direct supported Djibouti dataset</t>
  </si>
  <si>
    <t>Strong Red Sea spill</t>
  </si>
  <si>
    <t>Sudan 0.72, Egypt 0.14, Ethiopia 0.08, Somalia 0.06</t>
  </si>
  <si>
    <t>Ethiopia 0.35, Somalia 0.20, Kenya 0.15, Eritrea Proxy 0.15, Sudan 0.15</t>
  </si>
  <si>
    <t>Strong Horn-facing anchor</t>
  </si>
  <si>
    <t>Strong Nile-facing anchor</t>
  </si>
  <si>
    <t>South Sudan Proxy 0.35, Uganda 0.35, DR Congo 0.30</t>
  </si>
  <si>
    <t>Southern interior spill</t>
  </si>
  <si>
    <t>Sudan 0.55, Egypt 0.25, Ethiopia 0.20</t>
  </si>
  <si>
    <t>Mixed Nile-Sahel row</t>
  </si>
  <si>
    <t>Uganda 0.30, Kenya 0.25, Tanzania 0.20, Sudan 0.25</t>
  </si>
  <si>
    <t>Proxy local/east anchor; no direct supported South Sudan dataset</t>
  </si>
  <si>
    <t>Sudan 0.45, Chad Proxy 0.25, Mali 0.15, South Sudan Proxy 0.15</t>
  </si>
  <si>
    <t>Northern-facing anchor</t>
  </si>
  <si>
    <t>Ethiopia 0.30, Kenya 0.25, Somalia 0.20, Sudan 0.25</t>
  </si>
  <si>
    <t>Northeastern spill</t>
  </si>
  <si>
    <t>Uganda 0.35, DR Congo 0.35, Congo 0.30</t>
  </si>
  <si>
    <t>Uganda 0.40, Kenya 0.30, Tanzania 0.30</t>
  </si>
  <si>
    <t>Nigeria 0.35, Mali 0.25, Sudan 0.20, Algeria 0.20</t>
  </si>
  <si>
    <t>Proxy local anchor; no direct supported Niger dataset</t>
  </si>
  <si>
    <t>Nigeria 0.35, Mali 0.25, Burkina Faso 0.20, Ghana 0.20</t>
  </si>
  <si>
    <t>Algeria 0.35, Libya 0.25, Morocco 0.20, Tunisia 0.20</t>
  </si>
  <si>
    <t>Sudan 0.35, Cameroon 0.35, Chad Proxy 0.30</t>
  </si>
  <si>
    <t>Mixed Sahel row</t>
  </si>
  <si>
    <t>Sudan 0.30, Cameroon 0.25, Nigeria 0.20, Mali 0.15, Algeria 0.10</t>
  </si>
  <si>
    <t>Proxy northern/local anchor; no direct supported Chad dataset</t>
  </si>
  <si>
    <t>Cameroon 0.30, Sudan 0.20, Central African Republic Proxy 0.20, DR Congo 0.15, Congo 0.15</t>
  </si>
  <si>
    <t>Strong central-facing anchor</t>
  </si>
  <si>
    <t>Libya 0.35, Algeria 0.25, Morocco 0.20, Tunisia 0.20</t>
  </si>
  <si>
    <t>Sudan 0.35, Ethiopia 0.25, Somalia 0.20, Eritrea Proxy 0.20</t>
  </si>
  <si>
    <t>Sudan 0.35, Uganda 0.25, Kenya 0.20, Tanzania 0.20</t>
  </si>
  <si>
    <t>Southeastern spill</t>
  </si>
  <si>
    <t>Sudan 0.35, Cameroon 0.25, Nigeria 0.20, Mali 0.20</t>
  </si>
  <si>
    <t>Mixed Sahel-central row</t>
  </si>
  <si>
    <t>Mexico 0.88, Guatemala 0.06, Honduras 0.03, El Salvador 0.03</t>
  </si>
  <si>
    <t>MesoAmericaIndigenous</t>
  </si>
  <si>
    <t>Mexico 0.78, Guatemala 0.12, Bolivia 0.05, Peru 0.05</t>
  </si>
  <si>
    <t>Indigenous-leaning local read</t>
  </si>
  <si>
    <t>Colombia 0.35, Venezuela 0.30, Ecuador 0.20, Dominican Republic 0.15</t>
  </si>
  <si>
    <t>Pan-Latin spill</t>
  </si>
  <si>
    <t>Cuba 0.35, Dominican Republic 0.35, Jamaica 0.30</t>
  </si>
  <si>
    <t>Caribbean spill without unsupported Puerto Rico</t>
  </si>
  <si>
    <t>Peru 0.35, Ecuador 0.30, Bolivia 0.20, Colombia 0.15</t>
  </si>
  <si>
    <t>Southward spill</t>
  </si>
  <si>
    <t>Spain 0.75, Portugal 0.25</t>
  </si>
  <si>
    <t>Iberian spill</t>
  </si>
  <si>
    <t>Small football spill</t>
  </si>
  <si>
    <t>Guatemala 0.68, Mexico 0.18, Honduras 0.08, El Salvador 0.06</t>
  </si>
  <si>
    <t>Main local mestizo-facing anchor</t>
  </si>
  <si>
    <t>Guatemala 0.76, Mexico 0.16, Bolivia 0.08</t>
  </si>
  <si>
    <t>Main local indigenous-facing anchor</t>
  </si>
  <si>
    <t>Latin spill</t>
  </si>
  <si>
    <t>Guatemala 0.45, Mexico 0.25, Honduras 0.15, El Salvador 0.15</t>
  </si>
  <si>
    <t>Honduras 0.80, El Salvador 0.10, Nicaragua 0.05, Mexico 0.05</t>
  </si>
  <si>
    <t>Honduras 0.60, Guatemala 0.25, Mexico 0.15</t>
  </si>
  <si>
    <t>Indigenous-facing spill</t>
  </si>
  <si>
    <t>Jamaica 0.35, Dominican Republic 0.35, Cuba 0.30</t>
  </si>
  <si>
    <t>El Salvador 0.78, Honduras 0.10, Guatemala 0.07, Mexico 0.05</t>
  </si>
  <si>
    <t>Guatemala 0.35, Mexico 0.35, El Salvador 0.30</t>
  </si>
  <si>
    <t>Nicaragua 0.78, Honduras 0.10, Costa Rica 0.07, El Salvador 0.05</t>
  </si>
  <si>
    <t>Guatemala 0.35, Mexico 0.35, Nicaragua 0.30</t>
  </si>
  <si>
    <t>Costa Rica 0.82, Nicaragua 0.08, Honduras 0.06, Panama 0.04</t>
  </si>
  <si>
    <t>Guatemala 0.35, Mexico 0.35, Costa Rica 0.30</t>
  </si>
  <si>
    <t>Small indigenous-facing spill</t>
  </si>
  <si>
    <t>Panama 0.68, Costa Rica 0.12, Colombia 0.10, Nicaragua 0.10</t>
  </si>
  <si>
    <t>Strong Caribbean spill without unsupported Puerto Rico</t>
  </si>
  <si>
    <t>Colombia 0.40, Venezuela 0.30, Ecuador 0.20, Dominican Republic 0.10</t>
  </si>
  <si>
    <t>Strong northern South American spill</t>
  </si>
  <si>
    <t>Guatemala 0.35, Mexico 0.35, Panama 0.30</t>
  </si>
  <si>
    <t>Colombia 0.40, Ecuador 0.30, Peru 0.20, Bolivia 0.10</t>
  </si>
  <si>
    <t>Cuba 0.88, Dominican Republic 0.12</t>
  </si>
  <si>
    <t>Mexico 0.45, Cuba 0.30, Dominican Republic 0.25</t>
  </si>
  <si>
    <t>Hispanic-Caribbean bridge</t>
  </si>
  <si>
    <t>Colombia 0.40, Venezuela 0.30, Dominican Republic 0.20, Ecuador 0.10</t>
  </si>
  <si>
    <t>Atlantic/Afro spill</t>
  </si>
  <si>
    <t>Cuba 0.60, Dominican Republic 0.40</t>
  </si>
  <si>
    <t>Mixed Caribbean row</t>
  </si>
  <si>
    <t>Dominican Republic 0.90, Cuba 0.10</t>
  </si>
  <si>
    <t>Mexico 0.40, Dominican Republic 0.35, Honduras 0.25</t>
  </si>
  <si>
    <t>Dominican Republic 0.60, Cuba 0.40</t>
  </si>
  <si>
    <t>Dominican Republic 0.45, Cuba 0.30, Spain 0.15, Jamaica 0.10</t>
  </si>
  <si>
    <t>Proxy local anchor; no direct supported Puerto Rico dataset</t>
  </si>
  <si>
    <t>Dominican Republic 0.45, Cuba 0.35, Jamaica 0.20</t>
  </si>
  <si>
    <t>Mixed proxy row</t>
  </si>
  <si>
    <t>Jamaica 0.88, Trinidad and Tobago 0.07, Dominican Republic 0.05</t>
  </si>
  <si>
    <t>Mexico 0.40, Honduras 0.30, Jamaica 0.30</t>
  </si>
  <si>
    <t>England 0.60, Spain 0.25, Portugal 0.15</t>
  </si>
  <si>
    <t>Colonial spill</t>
  </si>
  <si>
    <t>Jamaica 0.60, Trinidad and Tobago 0.25, Dominican Republic 0.15</t>
  </si>
  <si>
    <t>Trinidad and Tobago 0.74, Jamaica 0.12, Dominican Republic 0.08, Cuba 0.06</t>
  </si>
  <si>
    <t>India South 0.50, India Gangetic 0.20, Trinidad and Tobago 0.30</t>
  </si>
  <si>
    <t>Indo-Caribbean spill without unsupported Guyana/Suriname sub-pools</t>
  </si>
  <si>
    <t>Venezuela 0.40, Colombia 0.30, Brazil 0.15, Dominican Republic 0.15</t>
  </si>
  <si>
    <t>South American spill</t>
  </si>
  <si>
    <t>England 0.45, Spain 0.30, Portugal 0.25</t>
  </si>
  <si>
    <t>Mexico 0.35, Honduras 0.35, Trinidad and Tobago 0.30</t>
  </si>
  <si>
    <t>Trinidad and Tobago 0.50, Jamaica 0.25, Dominican Republic 0.15, Cuba 0.10</t>
  </si>
  <si>
    <t>Jamaica 0.45, Trinidad and Tobago 0.30, Dominican Republic 0.15, England 0.10</t>
  </si>
  <si>
    <t>Proxy local pool; no direct supported Barbados dataset</t>
  </si>
  <si>
    <t>Venezuela 0.35, Colombia 0.30, Brazil 0.20, Dominican Republic 0.15</t>
  </si>
  <si>
    <t>England 0.60, Portugal 0.20, Spain 0.20</t>
  </si>
  <si>
    <t>Jamaica 0.50, Trinidad and Tobago 0.30, Dominican Republic 0.20</t>
  </si>
  <si>
    <t>France 0.30, Trinidad and Tobago 0.25, Jamaica 0.20, Dominican Republic 0.15, Haiti 0.10</t>
  </si>
  <si>
    <t>Proxy local anchor; no direct supported Saint Lucia dataset</t>
  </si>
  <si>
    <t>France 0.50, England 0.30, Spain 0.20</t>
  </si>
  <si>
    <t>Trinidad and Tobago 0.35, Jamaica 0.25, Haiti 0.20, Dominican Republic 0.20</t>
  </si>
  <si>
    <t>Trinidad and Tobago 0.45, Jamaica 0.30, Barbados Proxy 0.15, England 0.10</t>
  </si>
  <si>
    <t>Proxy local anchor; no direct supported Grenada dataset</t>
  </si>
  <si>
    <t>England 0.60, Spain 0.20, Portugal 0.20</t>
  </si>
  <si>
    <t>Trinidad and Tobago 0.45, Jamaica 0.35, Barbados Proxy 0.20</t>
  </si>
  <si>
    <t>Haiti 0.92, Dominican Republic 0.08</t>
  </si>
  <si>
    <t>Dominican Republic 0.35, Colombia 0.25, Venezuela 0.20, Ecuador 0.20</t>
  </si>
  <si>
    <t>France 0.60, Spain 0.20, Portugal 0.20</t>
  </si>
  <si>
    <t>Haiti 0.60, Dominican Republic 0.25, Cuba 0.15</t>
  </si>
  <si>
    <t>France 0.35, Haiti 0.20, Dominican Republic 0.20, Trinidad and Tobago 0.15, Jamaica 0.10</t>
  </si>
  <si>
    <t>Proxy local anchor; no direct supported Guadeloupe dataset</t>
  </si>
  <si>
    <t>France 0.25, Haiti 0.25, Dominican Republic 0.20, Trinidad and Tobago 0.15, Jamaica 0.15</t>
  </si>
  <si>
    <t>Proxy local anchor; no direct supported Martinique dataset</t>
  </si>
  <si>
    <t>Brazil 0.30, Colombia 0.25, Venezuela 0.20, France 0.15, Suriname Proxy 0.10</t>
  </si>
  <si>
    <t>Proxy local anchor; no direct supported French Guiana dataset</t>
  </si>
  <si>
    <t>France 0.25, Haiti 0.20, Dominican Republic 0.20, Trinidad and Tobago 0.20, Jamaica 0.15</t>
  </si>
  <si>
    <t>Caribbean-facing anchor</t>
  </si>
  <si>
    <t>Brazil-facing spill</t>
  </si>
  <si>
    <t>Colombia 0.35, Ecuador 0.30, Peru 0.20, Bolivia 0.15</t>
  </si>
  <si>
    <t>France 0.60, Portugal 0.20, Spain 0.20</t>
  </si>
  <si>
    <t>Mixed Guiana row</t>
  </si>
  <si>
    <t>Colombia 0.80, Venezuela 0.08, Ecuador 0.07, Panama 0.05</t>
  </si>
  <si>
    <t>Colombia 0.44, Ecuador 0.28, Peru 0.16, Bolivia 0.12</t>
  </si>
  <si>
    <t>Strong Andean-facing anchor</t>
  </si>
  <si>
    <t>Colombia 0.30, Dominican Republic 0.25, Jamaica 0.20, Cuba 0.15, Trinidad and Tobago 0.10</t>
  </si>
  <si>
    <t>Caribbean spill</t>
  </si>
  <si>
    <t>Panama 0.40, Mexico 0.25, Honduras 0.20, Costa Rica 0.15</t>
  </si>
  <si>
    <t>Venezuela 0.82, Colombia 0.10, Ecuador 0.05, Dominican Republic 0.03</t>
  </si>
  <si>
    <t>Andean-facing spill</t>
  </si>
  <si>
    <t>Dominican Republic 0.25, Cuba 0.25, Jamaica 0.20, Trinidad and Tobago 0.15, Colombia 0.15</t>
  </si>
  <si>
    <t>Ecuador 0.78, Peru 0.10, Colombia 0.08, Bolivia 0.04</t>
  </si>
  <si>
    <t>Coastal/caribbean spill</t>
  </si>
  <si>
    <t>Peru 0.35, Bolivia 0.30, Guatemala 0.20, Mexico 0.15</t>
  </si>
  <si>
    <t>Ecuador 0.55, Peru 0.25, Colombia 0.20</t>
  </si>
  <si>
    <t>Mixed Andean row</t>
  </si>
  <si>
    <t>Peru 0.82, Bolivia 0.10, Ecuador 0.05, Colombia 0.03</t>
  </si>
  <si>
    <t>Bolivia 0.35, Ecuador 0.25, Guatemala 0.20, Mexico 0.20</t>
  </si>
  <si>
    <t>Colombia 0.35, Ecuador 0.30, Venezuela 0.20, Dominican Republic 0.15</t>
  </si>
  <si>
    <t>SouthernCone</t>
  </si>
  <si>
    <t>Chile 0.40, Argentina 0.35, Uruguay 0.25</t>
  </si>
  <si>
    <t>Coastal spill</t>
  </si>
  <si>
    <t>Bolivia 0.78, Peru 0.12, Ecuador 0.06, Paraguay 0.04</t>
  </si>
  <si>
    <t>Peru 0.35, Ecuador 0.25, Guatemala 0.20, Mexico 0.20</t>
  </si>
  <si>
    <t>Argentina 0.40, Chile 0.35, Paraguay 0.25</t>
  </si>
  <si>
    <t>Peru 0.35, Colombia 0.25, Ecuador 0.20, Venezuela 0.20</t>
  </si>
  <si>
    <t>Coastal/Atlantic spill</t>
  </si>
  <si>
    <t>Bolivia 0.55, Peru 0.25, Ecuador 0.20</t>
  </si>
  <si>
    <t>Chile 0.88, Argentina 0.07, Uruguay 0.05</t>
  </si>
  <si>
    <t>Peru 0.35, Bolivia 0.35, Ecuador 0.15, Colombia 0.15</t>
  </si>
  <si>
    <t>Andean spill</t>
  </si>
  <si>
    <t>Peru 0.35, Bolivia 0.25, Guatemala 0.20, Mexico 0.20</t>
  </si>
  <si>
    <t>Colombia 0.35, Ecuador 0.25, Venezuela 0.20, Peru 0.20</t>
  </si>
  <si>
    <t>Argentina 0.90, Uruguay 0.06, Chile 0.04</t>
  </si>
  <si>
    <t>Bolivia 0.35, Peru 0.25, Chile 0.20, Ecuador 0.20</t>
  </si>
  <si>
    <t>Brazilian spill</t>
  </si>
  <si>
    <t>Uruguay 0.88, Argentina 0.08, Brazil 0.04</t>
  </si>
  <si>
    <t>Border spill</t>
  </si>
  <si>
    <t>Minor Andean spill</t>
  </si>
  <si>
    <t>Paraguay 0.72, Argentina 0.13, Brazil 0.10, Uruguay 0.05</t>
  </si>
  <si>
    <t>Strong border spill</t>
  </si>
  <si>
    <t>Bolivia 0.35, Peru 0.25, Guatemala 0.20, Mexico 0.20</t>
  </si>
  <si>
    <t>Paraguay 0.45, Argentina 0.20, Brazil 0.20, Bolivia 0.15</t>
  </si>
  <si>
    <t>Mixed border row</t>
  </si>
  <si>
    <t>Main anchor; naming kept unified unless custom Brazilian sub-pools are built</t>
  </si>
  <si>
    <t>Main Afro-Brazilian anchor; visual split only</t>
  </si>
  <si>
    <t>Brazil 0.50, Argentina 0.28, Uruguay 0.22</t>
  </si>
  <si>
    <t>Peru 0.35, Bolivia 0.30, Colombia 0.20, Ecuador 0.15</t>
  </si>
  <si>
    <t>Portugal 0.85, Spain 0.15</t>
  </si>
  <si>
    <t>Lusophone spill</t>
  </si>
  <si>
    <t>Dominican Republic 0.30, Cuba 0.25, Jamaica 0.20, Trinidad and Tobago 0.15, Haiti 0.10</t>
  </si>
  <si>
    <t>Mexico 0.35, Honduras 0.25, Panama 0.20, Dominican Republic 0.20</t>
  </si>
  <si>
    <t>Trinidad and Tobago 0.30, Jamaica 0.20, Guyana Proxy 0.20, Brazil 0.15, Netherlands 0.15</t>
  </si>
  <si>
    <t>Proxy Creole-facing anchor; no direct supported Suriname dataset</t>
  </si>
  <si>
    <t>Brazil 0.30, Guyana Proxy 0.25, Venezuela 0.20, Colombia 0.15, Trinidad and Tobago 0.10</t>
  </si>
  <si>
    <t>Main Guiana-facing anchor via proxy</t>
  </si>
  <si>
    <t>India Gangetic 0.45, India South 0.20, Trinidad and Tobago 0.20, Guyana Proxy 0.15</t>
  </si>
  <si>
    <t>Indo-Surinamese proxy anchor without custom Hindustani sub-pool</t>
  </si>
  <si>
    <t>Trinidad and Tobago 0.30, Mexico 0.25, Panama 0.25, Guyana Proxy 0.20</t>
  </si>
  <si>
    <t>Netherlands 0.50, Portugal 0.25, Spain 0.25</t>
  </si>
  <si>
    <t>Trinidad and Tobago 0.25, Jamaica 0.20, Brazil 0.20, Guyana Proxy 0.20, Netherlands 0.15</t>
  </si>
  <si>
    <t>Mixed Suriname proxy row</t>
  </si>
  <si>
    <t>Brazil 0.25, Trinidad and Tobago 0.20, Venezuela 0.20, Colombia 0.15, India Gangetic 0.10, India South 0.10</t>
  </si>
  <si>
    <t>Main Guiana anchor via proxy; no direct supported Guyana dataset</t>
  </si>
  <si>
    <t>Trinidad and Tobago 0.30, Jamaica 0.20, Barbados Proxy 0.20, Brazil 0.15, England 0.15</t>
  </si>
  <si>
    <t>Main Afro-Caribbean-facing anchor</t>
  </si>
  <si>
    <t>India Gangetic 0.45, India South 0.20, Trinidad and Tobago 0.20, Brazil 0.15</t>
  </si>
  <si>
    <t>Main Indo-Guyanese proxy anchor without custom Guyana Indo sub-pool</t>
  </si>
  <si>
    <t>Trinidad and Tobago 0.30, Mexico 0.25, Panama 0.25, Brazil 0.20</t>
  </si>
  <si>
    <t>England 0.50, Portugal 0.25, Spain 0.25</t>
  </si>
  <si>
    <t>Brazil 0.25, Trinidad and Tobago 0.20, Venezuela 0.20, Colombia 0.20, India Gangetic 0.15</t>
  </si>
  <si>
    <t>Mixed Guyana proxy row</t>
  </si>
  <si>
    <t>Netherlands 0.25, Dominican Republic 0.20, Trinidad and Tobago 0.20, Venezuela 0.20, Aruba Proxy 0.15</t>
  </si>
  <si>
    <t>Proxy local anchor; no direct supported Curaçao dataset</t>
  </si>
  <si>
    <t>Venezuela 0.35, Colombia 0.30, Brazil 0.20, Trinidad and Tobago 0.15</t>
  </si>
  <si>
    <t>Panama 0.35, Mexico 0.25, Dominican Republic 0.20, Honduras 0.20</t>
  </si>
  <si>
    <t>Netherlands 0.50, Spain 0.25, Portugal 0.25</t>
  </si>
  <si>
    <t>Small Brazilian spill</t>
  </si>
  <si>
    <t>Netherlands 0.20, Dominican Republic 0.20, Trinidad and Tobago 0.20, Venezuela 0.20, Brazil 0.20</t>
  </si>
  <si>
    <t>Netherlands 0.25, Dominican Republic 0.20, Venezuela 0.20, Colombia 0.20, Curaçao Proxy 0.15</t>
  </si>
  <si>
    <t>Proxy local anchor; no direct supported Aruba dataset</t>
  </si>
  <si>
    <t>Netherlands 0.20, Dominican Republic 0.20, Venezuela 0.20, Colombia 0.20, Brazil 0.20</t>
  </si>
  <si>
    <t>England 0.48, Scotland 0.16, Ireland 0.14, Wales 0.10, Australia 0.12</t>
  </si>
  <si>
    <t>England 0.35, Scotland 0.20, Ireland 0.20, New Zealand 0.25</t>
  </si>
  <si>
    <t>Local lighter-feature spill</t>
  </si>
  <si>
    <t>Polynesia</t>
  </si>
  <si>
    <t>Melanesia</t>
  </si>
  <si>
    <t>Mixed Australian row</t>
  </si>
  <si>
    <t>England 0.40, Scotland 0.18, Ireland 0.16, Wales 0.10, New Zealand 0.16</t>
  </si>
  <si>
    <t>Strong oceanic-facing anchor</t>
  </si>
  <si>
    <t>Melanesian spill</t>
  </si>
  <si>
    <t>Mixed New Zealand row</t>
  </si>
  <si>
    <t>Philipines</t>
  </si>
  <si>
    <t>Philippines Tagalog 1.00</t>
  </si>
  <si>
    <t>Vietnam 0.70, Singapore Chinese 0.15, Malaysia Chinese 0.15</t>
  </si>
  <si>
    <t>SEA Mekong</t>
  </si>
  <si>
    <t>New Zealand Māori 0.35, Samoa 0.25, Tonga 0.20, Fiji Indigenous 0.20</t>
  </si>
  <si>
    <t>Papua New Guinea 0.35, Solomon Islands 0.25, Vanuatu 0.20, Fiji Indigenous 0.20</t>
  </si>
  <si>
    <t>England 0.40, Scotland 0.18, Ireland 0.14, Wales 0.08, Australia 0.20</t>
  </si>
  <si>
    <t>New Zealand Māori 0.38, Samoa 0.22, Tonga 0.20, Fiji Indigenous 0.20</t>
  </si>
  <si>
    <t>England 0.30, Scotland 0.15, Ireland 0.15, Wales 0.10, New Zealand Māori 0.15, Samoa 0.15</t>
  </si>
  <si>
    <t>Samoa 0.82, Tonga 0.10, New Zealand Māori 0.08</t>
  </si>
  <si>
    <t>Fiji Indigenous 0.35, Papua New Guinea 0.25, Solomon Islands 0.20, Vanuatu 0.20</t>
  </si>
  <si>
    <t>Neighboring spill</t>
  </si>
  <si>
    <t>New Zealand 0.45, Australia 0.35, England 0.20</t>
  </si>
  <si>
    <t>ANZ spill</t>
  </si>
  <si>
    <t>Minor Filipino spill</t>
  </si>
  <si>
    <t>Malaysia Malay 0.40, Indonesia Other 0.35, Indonesia Javanese 0.25</t>
  </si>
  <si>
    <t>Samoa 0.55, Tonga 0.25, New Zealand Māori 0.20</t>
  </si>
  <si>
    <t>Mixed Polynesian row</t>
  </si>
  <si>
    <t>Tonga 0.82, Samoa 0.10, New Zealand Māori 0.08</t>
  </si>
  <si>
    <t>Tonga 0.55, Samoa 0.25, New Zealand Māori 0.20</t>
  </si>
  <si>
    <t>Fiji Indigenous 0.50, Papua New Guinea 0.20, Solomon Islands 0.15, Vanuatu 0.15</t>
  </si>
  <si>
    <t>Melanesian-facing anchor</t>
  </si>
  <si>
    <t>Fiji Indigenous 0.50, Samoa 0.25, Tonga 0.25</t>
  </si>
  <si>
    <t>Polynesian-facing anchor</t>
  </si>
  <si>
    <t>Fiji Indian 0.55, India South 0.25, India Gangetic 0.10, Pakistan Punjabi 0.10</t>
  </si>
  <si>
    <t>Indo-Fijian anchor</t>
  </si>
  <si>
    <t>Australia 0.40, New Zealand 0.35, England 0.25</t>
  </si>
  <si>
    <t>Insular/Malay-world spill</t>
  </si>
  <si>
    <t>Fiji Indigenous 0.45, Samoa 0.30, Tonga 0.25</t>
  </si>
  <si>
    <t>Mixed oceanic row</t>
  </si>
  <si>
    <t>Fiji Indigenous 0.40, Papua New Guinea 0.25, Solomon Islands 0.20, Vanuatu 0.15</t>
  </si>
  <si>
    <t>Mixed Melanesian row</t>
  </si>
  <si>
    <t>Fiji Indian 0.45, India South 0.25, Fiji Indigenous 0.15, India Gangetic 0.15</t>
  </si>
  <si>
    <t>Mixed Fijian row</t>
  </si>
  <si>
    <t>Papua New Guinea 0.82, Solomon Islands 0.10, Vanuatu 0.08</t>
  </si>
  <si>
    <t>Fiji Indigenous 0.40, Samoa 0.30, Tonga 0.30</t>
  </si>
  <si>
    <t>Small Filipino spill</t>
  </si>
  <si>
    <t>Indonesia Other 0.40, Indonesia Javanese 0.20, Malaysia Malay 0.20, Philippines Tagalog 0.20</t>
  </si>
  <si>
    <t>Australia 0.45, New Zealand 0.35, England 0.20</t>
  </si>
  <si>
    <t>Papua New Guinea 0.55, Solomon Islands 0.25, Vanuatu 0.20</t>
  </si>
  <si>
    <t>Solomon Islands 0.82, Papua New Guinea 0.10, Vanuatu 0.08</t>
  </si>
  <si>
    <t>Solomon Islands 0.55, Papua New Guinea 0.25, Vanuatu 0.20</t>
  </si>
  <si>
    <t>Vanuatu 0.80, Solomon Islands 0.10, Papua New Guinea 0.10</t>
  </si>
  <si>
    <t>Vanuatu 0.55, Solomon Islands 0.25, Papua New Guinea 0.20</t>
  </si>
  <si>
    <t>New Caledonia 0.55, Vanuatu 0.20, Solomon Islands 0.15, Papua New Guinea 0.10</t>
  </si>
  <si>
    <t>France 0.55, New Caledonia 0.25, Belgium French 0.20</t>
  </si>
  <si>
    <t>French colonial spill</t>
  </si>
  <si>
    <t>Oceanic spill</t>
  </si>
  <si>
    <t>New Caledonia 0.35, Vanuatu 0.20, Solomon Islands 0.15, Papua New Guinea 0.10, France 0.20</t>
  </si>
  <si>
    <t>Distinct Filipino spill</t>
  </si>
  <si>
    <t>SEA insular</t>
  </si>
  <si>
    <t>Malaysia Malay 0.28, Malaysia Chinese 0.22, Singapore Chinese 0.20, Indonesia Javanese 0.15, Indonesia Other 0.15</t>
  </si>
  <si>
    <t>Maritime/island Southeast Asian spill</t>
  </si>
  <si>
    <t>Smaller Vietic spill</t>
  </si>
  <si>
    <t>Thailand 0.40, Cambodia 0.30, Laos 0.30</t>
  </si>
  <si>
    <t>Mekong spill</t>
  </si>
  <si>
    <t>Oceania spill</t>
  </si>
  <si>
    <t>Minor insular spill</t>
  </si>
  <si>
    <t>Insular spill</t>
  </si>
  <si>
    <t>United States 0.45, Germany 0.20, Netherlands 0.10, Norway 0.10, Sweden 0.10, Denmark 0.05</t>
  </si>
  <si>
    <t>Broad lighter-feature white local anchor</t>
  </si>
  <si>
    <t>United States 0.42, England 0.26, Ireland 0.16, Scotland 0.10, Wales 0.06</t>
  </si>
  <si>
    <t>Anglo-Celtic local anchor</t>
  </si>
  <si>
    <t>United States 0.40, Germany 0.24, Italy 0.10, France 0.10, Poland 0.08, Austria 0.08</t>
  </si>
  <si>
    <t>Broad continental white anchor</t>
  </si>
  <si>
    <t>United States 0.40, Nigeria 0.20, Ghana 0.15, Jamaica 0.15, Senegal 0.10</t>
  </si>
  <si>
    <t>Major football-use Black American anchor; naming kept broad US-local</t>
  </si>
  <si>
    <t>Jamaica 0.32, Haiti 0.20, Trinidad and Tobago 0.20, Dominican Republic 0.16, Cuba 0.12</t>
  </si>
  <si>
    <t>Caribbean black/mixed spill; removed unsupported Puerto Rico</t>
  </si>
  <si>
    <t>Mexico 0.52, El Salvador 0.14, Guatemala 0.10, Honduras 0.10, Dominican Republic 0.08, United States 0.06</t>
  </si>
  <si>
    <t>Major Hispanic football anchor; naming kept broad US-local</t>
  </si>
  <si>
    <t>Colombia 0.32, Venezuela 0.24, Ecuador 0.16, Peru 0.12, Dominican Republic 0.10, United States 0.06</t>
  </si>
  <si>
    <t>India South 0.36, India Gangetic 0.22, Pakistan Punjabi 0.18, Bangladesh 0.12, United States 0.12</t>
  </si>
  <si>
    <t>South Asian spill; naming kept broad US-local</t>
  </si>
  <si>
    <t>Lebanon 0.30, Syria 0.20, Palestine 0.20, Iraq 0.15, Jordan 0.15</t>
  </si>
  <si>
    <t>Arab-American spill</t>
  </si>
  <si>
    <t>China 0.70, Taiwan 0.15, United States 0.15</t>
  </si>
  <si>
    <t>East Asian spill; removed China North/South custom split</t>
  </si>
  <si>
    <t>Korea</t>
  </si>
  <si>
    <t>Philippines 1.00</t>
  </si>
  <si>
    <t>Samoa 0.34, Tonga 0.24, Fiji 0.18, New Zealand 0.12, United States 0.12</t>
  </si>
  <si>
    <t>Pacific/Island spill; removed Hawaii and Māori custom pools</t>
  </si>
  <si>
    <t>United States 0.50, Ireland 0.25, Scotland 0.15, England 0.10</t>
  </si>
  <si>
    <t>Optional ginger injection, naming stays local</t>
  </si>
  <si>
    <t>United States 0.40, Sweden 0.20, Norway 0.20, Denmark 0.20</t>
  </si>
  <si>
    <t>Optional blondness boost, naming stays local</t>
  </si>
  <si>
    <t>United States 0.50, England 0.18, Ireland 0.12, Scotland 0.06, Mexico 0.06, Nigeria 0.04, Jamaica 0.04</t>
  </si>
  <si>
    <t>Mixed modern US row</t>
  </si>
  <si>
    <t>Canada 0.40, England 0.24, Ireland 0.14, Scotland 0.14, Wales 0.08</t>
  </si>
  <si>
    <t>Canada 0.42, England 0.18, Germany 0.14, Netherlands 0.10, Norway 0.08, Sweden 0.08</t>
  </si>
  <si>
    <t>Lighter-feature white anchor</t>
  </si>
  <si>
    <t>Canada 0.40, France 0.18, Germany 0.18, Italy 0.10, Poland 0.08, Belgium 0.06</t>
  </si>
  <si>
    <t>Continental white anchor</t>
  </si>
  <si>
    <t>Canada 0.40, Nigeria 0.20, Ghana 0.16, Jamaica 0.14, Haiti 0.10</t>
  </si>
  <si>
    <t>Black Canadian football anchor; naming kept broad Canada-local</t>
  </si>
  <si>
    <t>Jamaica 0.32, Haiti 0.24, Trinidad and Tobago 0.20, Dominican Republic 0.14, Cuba 0.10</t>
  </si>
  <si>
    <t>Caribbean spill; removed unsupported Barbados</t>
  </si>
  <si>
    <t>Mexico 0.46, El Salvador 0.14, Colombia 0.12, Guatemala 0.10, Honduras 0.10, Canada 0.08</t>
  </si>
  <si>
    <t>Hispanic spill; naming kept broad Canada-local</t>
  </si>
  <si>
    <t>Colombia 0.30, Venezuela 0.22, Ecuador 0.16, Peru 0.12, Dominican Republic 0.10, Canada 0.10</t>
  </si>
  <si>
    <t>Lebanon 0.34, Syria 0.20, Palestine 0.16, Iraq 0.15, Jordan 0.15</t>
  </si>
  <si>
    <t>India South 0.34, India Gangetic 0.24, Pakistan Punjabi 0.20, Bangladesh 0.10, Canada 0.12</t>
  </si>
  <si>
    <t>South Asian spill; naming kept broad Canada-local</t>
  </si>
  <si>
    <t>China 0.56, Hong Kong 0.16, Taiwan 0.12, Canada 0.16</t>
  </si>
  <si>
    <t>Filipino spill; removed Tagalog/Visayan custom split</t>
  </si>
  <si>
    <t>Ethiopia 0.25, Somalia 0.20, Eritrea 0.15, Kenya 0.20, Uganda 0.20</t>
  </si>
  <si>
    <t>East African spill</t>
  </si>
  <si>
    <t>Canada 0.50, Ireland 0.25, Scotland 0.15, England 0.10</t>
  </si>
  <si>
    <t>Canada 0.40, Sweden 0.20, Norway 0.20, Denmark 0.20</t>
  </si>
  <si>
    <t>Canada 0.44, England 0.18, France 0.10, Nigeria 0.08, Jamaica 0.08, India South 0.06, Lebanon 0.03, China 0.03</t>
  </si>
  <si>
    <t>Mixed modern Canadian row</t>
  </si>
  <si>
    <t>India Gangetic 0.78, India Punjabi 0.10, India Bengali 0.07, India South 0.05</t>
  </si>
  <si>
    <t>Main north/central anchor</t>
  </si>
  <si>
    <t>India South 0.88, India Gangetic 0.07, India Bengali 0.03, India Punjabi 0.02</t>
  </si>
  <si>
    <t>Main south anchor</t>
  </si>
  <si>
    <t>India Punjabi 0.88, India Gangetic 0.08, Pakistan Punjabi 0.04</t>
  </si>
  <si>
    <t>Main northwestern anchor</t>
  </si>
  <si>
    <t>IndiaBengali</t>
  </si>
  <si>
    <t>India Bengali 0.82, Bangladesh 0.12, India Gangetic 0.06</t>
  </si>
  <si>
    <t>Main eastern anchor</t>
  </si>
  <si>
    <t>IndieSriLanka</t>
  </si>
  <si>
    <t>Sri Lanka Tamil 0.70, India South 0.30</t>
  </si>
  <si>
    <t>South Indian/Tamil bridge</t>
  </si>
  <si>
    <t>Afghanistan Dari 0.55, Iran 0.45</t>
  </si>
  <si>
    <t>Northwest bridge</t>
  </si>
  <si>
    <t>Saudi Arabia 0.40, UAE 0.25, Oman 0.20, Kuwait 0.15</t>
  </si>
  <si>
    <t>Gulf-facing spill</t>
  </si>
  <si>
    <t>Kenya 0.40, Tanzania 0.35, Uganda 0.25</t>
  </si>
  <si>
    <t>India South 0.55, India Gangetic 0.20, India Punjabi 0.15, India Bengali 0.10</t>
  </si>
  <si>
    <t>Mixed pan-Indian modern row</t>
  </si>
  <si>
    <t>Pakistan Punjabi 0.82, India Punjabi 0.10, Pakistan Sindhi 0.08</t>
  </si>
  <si>
    <t>Afghanistan Dari 0.50, Iran 0.35, Pakistan Pashtun 0.15</t>
  </si>
  <si>
    <t>Western/Iranian-family spill</t>
  </si>
  <si>
    <t>Pakistan Punjabi 0.45, India Gangetic 0.35, Pakistan Sindhi 0.20</t>
  </si>
  <si>
    <t>Broad north-plain bridge</t>
  </si>
  <si>
    <t>Pakistan Sindhi 0.50, India South 0.30, Pakistan Punjabi 0.20</t>
  </si>
  <si>
    <t>Coastal/southern spill</t>
  </si>
  <si>
    <t>Afghanistan Dari 0.45, Tajikistan 0.30, Pakistan Pashtun 0.25</t>
  </si>
  <si>
    <t>Northwestern bridge</t>
  </si>
  <si>
    <t>Uzbekistan 0.45, Pakistan Pashtun 0.35, Tajikistan 0.20</t>
  </si>
  <si>
    <t>Central Asian bridge</t>
  </si>
  <si>
    <t>Pakistan Punjabi 0.55, Pakistan Sindhi 0.20, Pakistan Pashtun 0.15, India Punjabi 0.10</t>
  </si>
  <si>
    <t>Mixed pan-Pakistani row</t>
  </si>
  <si>
    <t>Bangladesh 0.80, India Bengali 0.15, India Gangetic 0.05</t>
  </si>
  <si>
    <t>Western plain spill</t>
  </si>
  <si>
    <t>India South 1.00</t>
  </si>
  <si>
    <t>Small southern spill</t>
  </si>
  <si>
    <t>Sri Lanka Tamil 0.60, India South 0.40</t>
  </si>
  <si>
    <t>Small southern bridge</t>
  </si>
  <si>
    <t>Sri Lanka Sinhala 0.68, Sri Lanka Tamil 0.22, India South 0.10</t>
  </si>
  <si>
    <t>India South 0.62, Sri Lanka Tamil 0.23, Sri Lanka Sinhala 0.15</t>
  </si>
  <si>
    <t>Strong south Indian/Tamil bridge</t>
  </si>
  <si>
    <t>India Gangetic 0.70, India Bengali 0.30</t>
  </si>
  <si>
    <t>Small north-Indian spill</t>
  </si>
  <si>
    <t>Bangladesh 0.55, India Bengali 0.45</t>
  </si>
  <si>
    <t>Iran 0.60, Afghanistan Dari 0.40</t>
  </si>
  <si>
    <t>Small western spill</t>
  </si>
  <si>
    <t>Sri Lanka Sinhala 0.55, Sri Lanka Tamil 0.45</t>
  </si>
  <si>
    <t>Mixed Sri Lankan row</t>
  </si>
  <si>
    <t>Nepal 0.72, India Gangetic 0.18, India Punjabi 0.10</t>
  </si>
  <si>
    <t>China 0.80, Nepal 0.20</t>
  </si>
  <si>
    <t>Himalayan eastward bridge</t>
  </si>
  <si>
    <t>Tajikistan 0.45, Afghanistan Dari 0.35, Nepal 0.20</t>
  </si>
  <si>
    <t>Himalayan/Iranian-family bridge</t>
  </si>
  <si>
    <t>India Gangetic 0.55, Nepal 0.45</t>
  </si>
  <si>
    <t>Mixed hill/plain row</t>
  </si>
  <si>
    <t>India Punjabi 0.70, Nepal 0.30</t>
  </si>
  <si>
    <t>India Bengali 0.60, Bangladesh 0.40</t>
  </si>
  <si>
    <t>Minor southern spill</t>
  </si>
  <si>
    <t>China 0.60, Nepal 0.25, Bhutan Proxy 0.15</t>
  </si>
  <si>
    <t>Main proxy local anchor through Himalayan/Chinese-facing logic</t>
  </si>
  <si>
    <t>Nepal 0.45, India Gangetic 0.35, India Bengali 0.20</t>
  </si>
  <si>
    <t>Tajikistan 0.55, Afghanistan Dari 0.45</t>
  </si>
  <si>
    <t>Himalayan westward bridge</t>
  </si>
  <si>
    <t>Nepal 0.60, India Gangetic 0.40</t>
  </si>
  <si>
    <t>Mixed Himalayan row</t>
  </si>
  <si>
    <t>Sri Lanka Sinhala 0.45, Sri Lanka Tamil 0.25, India South 0.30</t>
  </si>
  <si>
    <t>Main proxy local anchor</t>
  </si>
  <si>
    <t>India South 0.75, Sri Lanka Tamil 0.25</t>
  </si>
  <si>
    <t>Strong south-Indian bridge</t>
  </si>
  <si>
    <t>Saudi Arabia 0.35, Oman 0.25, UAE 0.20, Kuwait 0.20</t>
  </si>
  <si>
    <t>Strong Arab/Indian Ocean spill</t>
  </si>
  <si>
    <t>Wider Arab spill</t>
  </si>
  <si>
    <t>Iran 0.65, Afghanistan Dari 0.35</t>
  </si>
  <si>
    <t>Western bridge</t>
  </si>
  <si>
    <t>India Gangetic 0.60, Bangladesh 0.40</t>
  </si>
  <si>
    <t>Broader South Asian spill</t>
  </si>
  <si>
    <t>Afghanistan Dari 0.72, Iran 0.18, Tajikistan 0.10</t>
  </si>
  <si>
    <t>Main western anchor</t>
  </si>
  <si>
    <t>Tajikistan 0.60, Afghanistan Dari 0.40</t>
  </si>
  <si>
    <t>Strong eastern Iranian-family bridge</t>
  </si>
  <si>
    <t>Uzbekistan 0.60, Tajikistan 0.20, Afghanistan Dari 0.20</t>
  </si>
  <si>
    <t>Northern Central Asian spill</t>
  </si>
  <si>
    <t>Pakistan Punjabi 0.45, India Punjabi 0.35, Pakistan Pashtun 0.20</t>
  </si>
  <si>
    <t>South Asian bridge</t>
  </si>
  <si>
    <t>India Gangetic 0.60, Pakistan Punjabi 0.40</t>
  </si>
  <si>
    <t>Plain spill</t>
  </si>
  <si>
    <t>Saudi Arabia 0.35, UAE 0.25, Kuwait 0.20, Jordan 0.20</t>
  </si>
  <si>
    <t>Arab-facing spill</t>
  </si>
  <si>
    <t>Mixed pan-Afghan row</t>
  </si>
  <si>
    <t>Iraq 0.40, Syria 0.25, Lebanon 0.20, Palestine 0.15</t>
  </si>
  <si>
    <t>China 0.70, Afghanistan Dari 0.30</t>
  </si>
  <si>
    <t>China 0.72, Mongolia Proxy 0.28</t>
  </si>
  <si>
    <t>Main local proxy through north-China-facing logic</t>
  </si>
  <si>
    <t>Kazakhstan 0.40, Kyrgyzstan 0.25, Uzbekistan 0.20, Tajikistan 0.15</t>
  </si>
  <si>
    <t>Western/steppe bridge</t>
  </si>
  <si>
    <t>Korea 1.00</t>
  </si>
  <si>
    <t>Japan 1.00</t>
  </si>
  <si>
    <t>Vietnam 0.35, Myanmar 0.25, Thailand 0.20, Laos 0.20</t>
  </si>
  <si>
    <t>China 0.55, Kazakhstan 0.25, Korea 0.20</t>
  </si>
  <si>
    <t>Mixed steppe/east row</t>
  </si>
  <si>
    <t>Kazakhstan 0.50, Kyrgyzstan 0.30, Uzbekistan 0.20</t>
  </si>
  <si>
    <t>Mixed steppe row</t>
  </si>
  <si>
    <t>Kazakhstan 0.72, Uzbekistan 0.14, Kyrgyzstan 0.08, Tajikistan 0.06</t>
  </si>
  <si>
    <t>Tajikistan 0.45, Kazakhstan 0.35, Kyrgyzstan 0.20</t>
  </si>
  <si>
    <t>Southern Central Asian bridge</t>
  </si>
  <si>
    <t>China 0.75, Kazakhstan 0.25</t>
  </si>
  <si>
    <t>Russia 0.60, Ukraine 0.20, Belarus 0.20</t>
  </si>
  <si>
    <t>Turkey 0.70, Azerbaijan 0.30</t>
  </si>
  <si>
    <t>Westward Turkic bridge</t>
  </si>
  <si>
    <t>China 0.50, Kazakhstan 0.50</t>
  </si>
  <si>
    <t>Mixed Kazakh/Sinic row</t>
  </si>
  <si>
    <t>Kazakhstan 0.55, Uzbekistan 0.25, Kyrgyzstan 0.20</t>
  </si>
  <si>
    <t>Mixed Central Asian row</t>
  </si>
  <si>
    <t>Uzbekistan 0.82, Kazakhstan 0.08, Kyrgyzstan 0.05, Tajikistan 0.05</t>
  </si>
  <si>
    <t>Tajikistan 0.55, Uzbekistan 0.45</t>
  </si>
  <si>
    <t>Iranian-family bridge</t>
  </si>
  <si>
    <t>China 0.70, Uzbekistan 0.30</t>
  </si>
  <si>
    <t>Russia 0.60, Ukraine 0.20, Kazakhstan 0.20</t>
  </si>
  <si>
    <t>Tajikistan 0.82, Afghanistan Dari 0.10, Uzbekistan 0.08</t>
  </si>
  <si>
    <t>Western Iranian-family bridge</t>
  </si>
  <si>
    <t>Uzbekistan 0.55, Kazakhstan 0.25, Kyrgyzstan 0.20</t>
  </si>
  <si>
    <t>Afghanistan Dari 0.45, India Gangetic 0.35, Pakistan Punjabi 0.20</t>
  </si>
  <si>
    <t>China 0.70, Tajikistan 0.30</t>
  </si>
  <si>
    <t>Kyrgyzstan 0.72, Kazakhstan 0.15, Uzbekistan 0.08, Tajikistan 0.05</t>
  </si>
  <si>
    <t>Tajikistan 0.50, Kyrgyzstan 0.30, Uzbekistan 0.20</t>
  </si>
  <si>
    <t>China 0.70, Kyrgyzstan 0.30</t>
  </si>
  <si>
    <t>Russia 0.60, Kazakhstan 0.20, Ukraine 0.20</t>
  </si>
  <si>
    <t>Kyrgyzstan 0.55, Kazakhstan 0.25, Uzbekistan 0.20</t>
  </si>
  <si>
    <t>Turkmenistan 0.70, Uzbekistan 0.15, Kazakhstan 0.10, Kyrgyzstan 0.05</t>
  </si>
  <si>
    <t>Southern/western bridge</t>
  </si>
  <si>
    <t>Iran 0.40, Saudi Arabia 0.30, UAE 0.30</t>
  </si>
  <si>
    <t>Turkmenistan 0.55, Uzbekistan 0.25, Kazakhstan 0.20</t>
  </si>
  <si>
    <t>China North 0.52, China South 0.48</t>
  </si>
  <si>
    <t>Main local anchor using locked north/south split</t>
  </si>
  <si>
    <t>Vietnam 0.70, China South 0.30</t>
  </si>
  <si>
    <t>Southern Vietic spill</t>
  </si>
  <si>
    <t>Myanmar 0.30, Thailand 0.25, Cambodia 0.25, Laos 0.20</t>
  </si>
  <si>
    <t>Southern Mekong spill</t>
  </si>
  <si>
    <t>Malaysia Chinese 0.40, Singapore Chinese 0.30, Indonesia Other 0.20, Philippines Tagalog 0.10</t>
  </si>
  <si>
    <t>Insular/maritime spill</t>
  </si>
  <si>
    <t>Northeast spill</t>
  </si>
  <si>
    <t>Kazakhstan 0.35, Uzbekistan 0.30, Kyrgyzstan 0.20, Tajikistan 0.15</t>
  </si>
  <si>
    <t>Western interior bridge</t>
  </si>
  <si>
    <t>Small maritime spill</t>
  </si>
  <si>
    <t>Philippines Tagalog 0.60, Philippines Visayan 0.40</t>
  </si>
  <si>
    <t>Himalayan spill</t>
  </si>
  <si>
    <t>China North 0.60, China South 0.40</t>
  </si>
  <si>
    <t>Mixed north/south row</t>
  </si>
  <si>
    <t>Japan 0.98, Korea 0.02</t>
  </si>
  <si>
    <t>Small regional spill</t>
  </si>
  <si>
    <t>Small historical/regional spill</t>
  </si>
  <si>
    <t>Philippines Tagalog 0.40, Philippines Visayan 0.30, Malaysia Chinese 0.30</t>
  </si>
  <si>
    <t>Small insular spill</t>
  </si>
  <si>
    <t>Philippines Tagalog 0.55, Philippines Visayan 0.45</t>
  </si>
  <si>
    <t>Small spill</t>
  </si>
  <si>
    <t>Korea 0.98, China North 0.02</t>
  </si>
  <si>
    <t>China North 0.70, China South 0.30</t>
  </si>
  <si>
    <t>Maritime spill</t>
  </si>
  <si>
    <t>Kazakhstan 0.50, Uzbekistan 0.30, Kyrgyzstan 0.20</t>
  </si>
  <si>
    <t>Small interior bridge</t>
  </si>
  <si>
    <t>Philippines Tagalog 0.50, Malaysia Chinese 0.25, Singapore Chinese 0.25</t>
  </si>
  <si>
    <t>China South 0.58, China North 0.32, Taiwan 0.10</t>
  </si>
  <si>
    <t>Main local anchor via Sinic split</t>
  </si>
  <si>
    <t>Historical/regional spill</t>
  </si>
  <si>
    <t>Philippines Tagalog 0.30, Malaysia Chinese 0.25, Singapore Chinese 0.25, Indonesia Other 0.20</t>
  </si>
  <si>
    <t>Vietnam 1.00</t>
  </si>
  <si>
    <t>Thailand 0.30, Cambodia 0.25, Myanmar 0.25, Laos 0.20</t>
  </si>
  <si>
    <t>China South 0.55, China North 0.45</t>
  </si>
  <si>
    <t>China South 0.70, China North 0.20, Hong Kong 0.10</t>
  </si>
  <si>
    <t>Main local anchor via south-China-facing logic</t>
  </si>
  <si>
    <t>Singapore Chinese 0.35, Malaysia Chinese 0.35, Philippines Tagalog 0.15, Indonesia Other 0.15</t>
  </si>
  <si>
    <t>India South 0.45, Singapore Indian 0.30, Malaysia Indian 0.25</t>
  </si>
  <si>
    <t>China South 0.65, China North 0.35</t>
  </si>
  <si>
    <t>Vietnam 0.96, Cambodia 0.02, Laos 0.02</t>
  </si>
  <si>
    <t>China South 0.70, China North 0.30</t>
  </si>
  <si>
    <t>Malaysia Chinese 0.35, Singapore Chinese 0.30, Philippines Tagalog 0.20, Indonesia Other 0.15</t>
  </si>
  <si>
    <t>India South 0.45, Malaysia Indian 0.30, Singapore Indian 0.25</t>
  </si>
  <si>
    <t>Small southern Asian spill</t>
  </si>
  <si>
    <t>Thailand 0.94, Laos 0.03, Cambodia 0.03</t>
  </si>
  <si>
    <t>Chinese spill</t>
  </si>
  <si>
    <t>Malaysia Malay 0.30, Singapore Chinese 0.25, Malaysia Chinese 0.25, Indonesia Other 0.20</t>
  </si>
  <si>
    <t>Myanmar</t>
  </si>
  <si>
    <t>Myanmar 0.86, Thailand 0.06, Laos 0.04, Cambodia 0.04</t>
  </si>
  <si>
    <t>India Gangetic 0.50, Bangladesh 0.30, Nepal 0.20</t>
  </si>
  <si>
    <t>Malaysia Malay 0.30, Malaysia Chinese 0.25, Singapore Chinese 0.25, Indonesia Other 0.20</t>
  </si>
  <si>
    <t>India South 0.50, Bangladesh 0.25, India Gangetic 0.25</t>
  </si>
  <si>
    <t>Subcontinental spill</t>
  </si>
  <si>
    <t>Myanmar 0.55, Thailand 0.25, Laos 0.20</t>
  </si>
  <si>
    <t>Mixed mainland row</t>
  </si>
  <si>
    <t>Cambodia 0.94, Thailand 0.03, Laos 0.03</t>
  </si>
  <si>
    <t>Malaysia Chinese 0.30, Singapore Chinese 0.25, Malaysia Malay 0.25, Indonesia Other 0.20</t>
  </si>
  <si>
    <t>India South 0.50, Malaysia Indian 0.30, Singapore Indian 0.20</t>
  </si>
  <si>
    <t>Laos 0.88, Thailand 0.07, Cambodia 0.05</t>
  </si>
  <si>
    <t>Malaysia Malay 0.48, Malaysia Chinese 0.26, Malaysia Indian 0.16, Singapore Malay 0.10</t>
  </si>
  <si>
    <t>Malaysia Chinese 0.45, Singapore Chinese 0.35, China South 0.20</t>
  </si>
  <si>
    <t>Malaysia Indian 0.50, India South 0.30, Singapore Indian 0.20</t>
  </si>
  <si>
    <t>Thailand 0.30, Cambodia 0.25, Vietnam 0.25, Myanmar 0.20</t>
  </si>
  <si>
    <t>Mainland spill</t>
  </si>
  <si>
    <t>Malaysia Malay 0.32, Malaysia Chinese 0.18, Malaysia Indian 0.12, Singapore Chinese 0.12, Singapore Malay 0.10, Singapore Indian 0.06, Indonesia Javanese 0.10</t>
  </si>
  <si>
    <t>Mixed urban-insular row</t>
  </si>
  <si>
    <t>Indonesia Javanese 0.38, Indonesia Sumatran 0.24, Indonesia Other 0.18, Malaysia Malay 0.10, Malaysia Chinese 0.10</t>
  </si>
  <si>
    <t>Northern maritime spill</t>
  </si>
  <si>
    <t>Malaysia Chinese 0.35, Singapore Chinese 0.35, China South 0.30</t>
  </si>
  <si>
    <t>Papua New Guinea 0.45, Solomon Islands 0.30, Vanuatu 0.25</t>
  </si>
  <si>
    <t>Eastern archipelago spill</t>
  </si>
  <si>
    <t>Islamic-world spill</t>
  </si>
  <si>
    <t>Philippines Tagalog 0.52, Philippines Visayan 0.48</t>
  </si>
  <si>
    <t>Indonesia Other 0.30, Malaysia Malay 0.25, Malaysia Chinese 0.20, Singapore Malay 0.15, Indonesia Javanese 0.10</t>
  </si>
  <si>
    <t>China South 0.45, Malaysia Chinese 0.30, Singapore Chinese 0.25</t>
  </si>
  <si>
    <t>Vietnam 0.35, Thailand 0.25, Cambodia 0.20, Myanmar 0.20</t>
  </si>
  <si>
    <t>Singapore Chinese 0.44, Singapore Malay 0.26, Singapore Indian 0.18, Malaysia Chinese 0.07, Malaysia Malay 0.05</t>
  </si>
  <si>
    <t>Singapore Chinese 0.24, Singapore Malay 0.16, Singapore Indian 0.12, Malaysia Chinese 0.12, Malaysia Malay 0.10, Malaysia Indian 0.08, Philippines Tagalog 0.06, Indonesia Javanese 0.06, Indonesia Other 0.06</t>
  </si>
  <si>
    <t>Mixed city-state row</t>
  </si>
  <si>
    <t>Singapore Chinese 0.45, China South 0.30, Malaysia Chinese 0.25</t>
  </si>
  <si>
    <t>Singapore Indian 0.45, India South 0.35, Malaysia Indian 0.20</t>
  </si>
  <si>
    <t>Bangladesh 0.75, India Gangetic 0.25</t>
  </si>
  <si>
    <t>G4</t>
  </si>
  <si>
    <t>G1</t>
  </si>
  <si>
    <t xml:space="preserve"> BANNED: High potential if playable, but uncertain</t>
  </si>
  <si>
    <t>Region</t>
  </si>
  <si>
    <t>G3</t>
  </si>
  <si>
    <t>G2</t>
  </si>
  <si>
    <t>Israel Hebrew 0.70, Palestine 0.12, Lebanon 0.08, Syria 0.05, Jordan 0.05</t>
  </si>
  <si>
    <t>Main local eastern-med anchor</t>
  </si>
  <si>
    <t>Israel Hebrew 0.62, Germany 0.16, Poland 0.12, Austria 0.05, Hungary 0.05</t>
  </si>
  <si>
    <t>Main Ashkenazi-leaning continental anchor</t>
  </si>
  <si>
    <t>Israel Hebrew 0.55, Russia 0.15, Ukraine 0.10, Germany 0.10, Poland 0.10</t>
  </si>
  <si>
    <t>Lighter-feature European spill</t>
  </si>
  <si>
    <t>Israel Hebrew 0.48, Iraq 0.16, Yemen 0.14, Saudi Arabia 0.12, Jordan 0.10</t>
  </si>
  <si>
    <t>Mizrahi/Arab-adjacent spill</t>
  </si>
  <si>
    <t>Israel Hebrew 0.52, Iran 0.30, Afghanistan Dari 0.10, Tajikistan 0.08</t>
  </si>
  <si>
    <t>Iranian-family / Persian-adjacent spill</t>
  </si>
  <si>
    <t>Israel Hebrew 0.48, Georgia 0.22, Azerbaijan 0.18, Armenia 0.12</t>
  </si>
  <si>
    <t>Caucasus bridge/refinement spill</t>
  </si>
  <si>
    <t>Israel Hebrew 0.55, Egypt 0.45</t>
  </si>
  <si>
    <t>South-eastern Mediterranean bridge</t>
  </si>
  <si>
    <t>Israel Hebrew 0.46, Russia 0.24, Ukraine 0.18, Belarus 0.12</t>
  </si>
  <si>
    <t>Eastern European spill</t>
  </si>
  <si>
    <t>Israel Hebrew 0.50, Morocco 0.22, Algeria 0.16, Tunisia 0.12</t>
  </si>
  <si>
    <t>North African Jewish / Maghrebi-adjacent spill</t>
  </si>
  <si>
    <t>Israel Hebrew 0.55, Palestine 0.20, Lebanon 0.10, Syria 0.10, Jordan 0.05</t>
  </si>
  <si>
    <t>UEFA</t>
  </si>
  <si>
    <t>CONCACAF</t>
  </si>
  <si>
    <t>CONMEBOL</t>
  </si>
  <si>
    <t>CAF</t>
  </si>
  <si>
    <t>AFC</t>
  </si>
  <si>
    <t>OFC</t>
  </si>
  <si>
    <t>Row Labels</t>
  </si>
  <si>
    <t>(blank)</t>
  </si>
  <si>
    <t>Grand Total</t>
  </si>
  <si>
    <t>Sum of percent</t>
  </si>
  <si>
    <t>T1</t>
  </si>
  <si>
    <t>T2</t>
  </si>
  <si>
    <t>Column Labels</t>
  </si>
  <si>
    <t>AfricaNorth</t>
  </si>
  <si>
    <t>Swedish</t>
  </si>
  <si>
    <t>Crete/Dodecanese</t>
  </si>
  <si>
    <t>UAE</t>
  </si>
  <si>
    <t>Tamil</t>
  </si>
  <si>
    <t>Komi/Karelian</t>
  </si>
  <si>
    <t>Tatar/Bashkir</t>
  </si>
  <si>
    <t>Turkish Cypriot</t>
  </si>
  <si>
    <t>Pakistan Punjabi</t>
  </si>
  <si>
    <t>India Punjabi</t>
  </si>
  <si>
    <t>India Gangetic</t>
  </si>
  <si>
    <t>India South</t>
  </si>
  <si>
    <t>Belgium French</t>
  </si>
  <si>
    <t>Swiss French</t>
  </si>
  <si>
    <t>Belgium Dutch</t>
  </si>
  <si>
    <t>CuraÃ§ao</t>
  </si>
  <si>
    <t>Suriname Hindustani</t>
  </si>
  <si>
    <t>Swiss German</t>
  </si>
  <si>
    <t>Swiss Italian</t>
  </si>
  <si>
    <t>SÃ£o TomÃ© and PrÃ­ncipe</t>
  </si>
  <si>
    <t>San Marino Local</t>
  </si>
  <si>
    <t>Bosnia and Herzegovina Muslim</t>
  </si>
  <si>
    <t>Greek Cypriot</t>
  </si>
  <si>
    <t>Estonia Russian</t>
  </si>
  <si>
    <t>Latvia Russian</t>
  </si>
  <si>
    <t>Israel Hebrew</t>
  </si>
  <si>
    <t>Afghanistan Dari</t>
  </si>
  <si>
    <t>Gabon Proxy</t>
  </si>
  <si>
    <t>Chad Proxy</t>
  </si>
  <si>
    <t>Burundi Proxy</t>
  </si>
  <si>
    <t>Malawi Proxy</t>
  </si>
  <si>
    <t>India Bengali</t>
  </si>
  <si>
    <t>Sri Lanka Tamil</t>
  </si>
  <si>
    <t>China North</t>
  </si>
  <si>
    <t>China South</t>
  </si>
  <si>
    <t>Malaysia Chinese</t>
  </si>
  <si>
    <t>Singapore Chinese</t>
  </si>
  <si>
    <t>Indonesia Other</t>
  </si>
  <si>
    <t>Philippines Tagalog</t>
  </si>
  <si>
    <t>Philippines Visayan</t>
  </si>
  <si>
    <t>Singapore Indian</t>
  </si>
  <si>
    <t>Malaysia Indian</t>
  </si>
  <si>
    <t>Malaysia Malay</t>
  </si>
  <si>
    <t>Singapore Malay</t>
  </si>
  <si>
    <t>Indonesia Javanese</t>
  </si>
  <si>
    <t>Indonesia Sumatran</t>
  </si>
  <si>
    <t>New Zealand MÄori</t>
  </si>
  <si>
    <t>Fiji Indigenous</t>
  </si>
  <si>
    <t>Fiji Indian</t>
  </si>
  <si>
    <t>Luxembourg Local</t>
  </si>
  <si>
    <t>Andorra Local</t>
  </si>
  <si>
    <t>Montenegro Proxy</t>
  </si>
  <si>
    <t>Albania Muslim</t>
  </si>
  <si>
    <t>Guyana Proxy</t>
  </si>
  <si>
    <t>Barbados Proxy</t>
  </si>
  <si>
    <t>Aruba Proxy</t>
  </si>
  <si>
    <t>CuraÃ§ao Proxy</t>
  </si>
  <si>
    <t>Suriname Proxy</t>
  </si>
  <si>
    <t>South Sudan Proxy</t>
  </si>
  <si>
    <t>Equatorial Guinea Proxy</t>
  </si>
  <si>
    <t>Botswana Proxy</t>
  </si>
  <si>
    <t>Eritrea Proxy</t>
  </si>
  <si>
    <t>Yemen Proxy</t>
  </si>
  <si>
    <t>Central African Republic Proxy</t>
  </si>
  <si>
    <t>Pakistan Sindhi</t>
  </si>
  <si>
    <t>Pakistan Pashtun</t>
  </si>
  <si>
    <t>Sri Lanka Sinhala</t>
  </si>
  <si>
    <t>Bhutan Proxy</t>
  </si>
  <si>
    <t>Mongolia Proxy</t>
  </si>
  <si>
    <t>Sum of Weight</t>
  </si>
  <si>
    <t>Estonia 0.90, Finland 0.10</t>
  </si>
  <si>
    <t>DR Congo 0.79, Congo 0.13, Rwanda 0.08</t>
  </si>
  <si>
    <t>Ethiopia 0.3, Somalia 0.25, Kenya 0.25, Uganda 0.20</t>
  </si>
  <si>
    <t>Cameroon 0.70, DR Congo 0.20, Congo 0.10</t>
  </si>
  <si>
    <t>Congo 0.82, DR Congo 0.14, Cameroon 0.04</t>
  </si>
  <si>
    <t>Cameroon 0.5, Congo 0.30, Spain 0.20</t>
  </si>
  <si>
    <t>Russia 0.60, Finland 0.25, Estonia 0.15</t>
  </si>
  <si>
    <t>Trinidad and Tobago 0.40, Jamaica 0.30,  Brazil 0.15, England 0.15</t>
  </si>
  <si>
    <t>Brazil 0.35, Colombia 0.3, Venezuela 0.20, France 0.15</t>
  </si>
  <si>
    <t>Trinidad and Tobago 0.5, Jamaica 0.40, England 0.10</t>
  </si>
  <si>
    <t>DR Congo 0.88, Congo 0.08, Rwanda 0.04</t>
  </si>
  <si>
    <t>Tanzania 0.80, Kenya 0.11, Uganda 0.09</t>
  </si>
  <si>
    <t>Zambia 0.40, Zimbabwe 0.35, South Africa 0.25</t>
  </si>
  <si>
    <t>Sudan 0.5, Cameroon 0.25, Mali 0.25</t>
  </si>
  <si>
    <t>Uganda 0.45, Kenya 0.30, Tanzania 0.25</t>
  </si>
  <si>
    <t>Congo 0.4, Cameroon 0.35, DR Congo 0.25</t>
  </si>
  <si>
    <t>Tanzania 0.45, Kenya 0.35, Uganda 0.20</t>
  </si>
  <si>
    <t>South Africa 0.50, Zimbabwe 0.35, Zambia 0.15</t>
  </si>
  <si>
    <t>Uganda 0.40, Kenya 0.35, Tanzania 0.25</t>
  </si>
  <si>
    <t>Ethiopia 0.82, Somalia 0.18</t>
  </si>
  <si>
    <t>Saudi Arabia 0.45, Oman 0.35, UAE 0.20</t>
  </si>
  <si>
    <t>Uganda 0.55,  DR Congo 0.45</t>
  </si>
  <si>
    <t>Ethiopia 0.55, Sudan 0.25, Somalia 0.20</t>
  </si>
  <si>
    <t>Somalia 0.45, Ethiopia 0.35, Sudan 0.2</t>
  </si>
  <si>
    <t>Ethiopia 0.40, Somalia 0.24, Kenya 0.20, Sudan 0.15</t>
  </si>
  <si>
    <t>Sudan 0.5, Cameroon 0.5</t>
  </si>
  <si>
    <t>Cameroon 0.40, Sudan 0.30, DR Congo 0.15, Congo 0.15</t>
  </si>
  <si>
    <t>Sudan 0.45, Ethiopia 0.35, Somalia 0.20</t>
  </si>
  <si>
    <t>China 0.65, Nepal 0.35</t>
  </si>
  <si>
    <t xml:space="preserve"> Uganda 0.5, DR Congo 0.5</t>
  </si>
  <si>
    <t>Sudan 0.65, Mali 0.35</t>
  </si>
  <si>
    <t>South Korea 1.00</t>
  </si>
  <si>
    <t>Japan 0.98, South Korea 0.02</t>
  </si>
  <si>
    <t>Finland 0.92, Sweden 0.08</t>
  </si>
  <si>
    <t>Dominican Republic 0.63, Cuba 0.35</t>
  </si>
  <si>
    <t>DR Congo 0.6, Congo 0.20, Cameroon 0.3</t>
  </si>
  <si>
    <t>Cape Verde 0.80,  Portugal 0.20</t>
  </si>
  <si>
    <t>Jamaica 0.70, Trinidad and Tobago 0.3</t>
  </si>
  <si>
    <t>Albania 0.55, Turkey 0.25, Albania 0.20</t>
  </si>
  <si>
    <t>Israel Hebrew 0.5, Iraq 0.15, Saudi Arabia 0.2, Jordan 0.15</t>
  </si>
  <si>
    <t>French Caribbean 1</t>
  </si>
  <si>
    <t>French Caribbean</t>
  </si>
  <si>
    <t>Turkey 0.65, Azerbaijan 0.35</t>
  </si>
  <si>
    <t>Dutch Caribbean 1</t>
  </si>
  <si>
    <t>Suriname 0.7, Dutch Caribbean 0.2, Netherlands 0.1</t>
  </si>
  <si>
    <t>Suriname .8, Dutch Caribbean .2</t>
  </si>
  <si>
    <t>Suriname .4, Dutch Caribbean .3, Trinidad and Tobago 0.3</t>
  </si>
  <si>
    <t>Suriname .7, Dutch Caribbean .3</t>
  </si>
  <si>
    <t>Bosnia and Herzegovina  0.75, Turkey 0.25</t>
  </si>
  <si>
    <t>Ghana 0.60, Benin 0.40</t>
  </si>
  <si>
    <t>Ghana 0.84, Ivory Coast 0.04, Benin 0.12</t>
  </si>
  <si>
    <t>Senegal 0.3, Mali 0.20, Guinea 0.2, Ivory Coast 0.15, Cameroon 0.10,  Burkina Faso 0.05</t>
  </si>
  <si>
    <t>Angola 0.30, Guinea 0.10, Cape Verde 0.20, Senegal 0.25, Mali 0.15</t>
  </si>
  <si>
    <t>Cape Verde 0.35, Guinea 0.10, Senegal 0.30, Mali 0.15, Ivory Coast 0.10</t>
  </si>
  <si>
    <t>Greece 1</t>
  </si>
  <si>
    <t>Greece 0.55, Lebanon 0.20, Syria 0.15, Palestine 0.10</t>
  </si>
  <si>
    <t>Turkey 0.95, Bulgaria 0.02, Germany 0.03</t>
  </si>
  <si>
    <t>Turkey 0.55, Greece 0.45</t>
  </si>
  <si>
    <t>Greece 0.8, Italy 0.20</t>
  </si>
  <si>
    <t>Greece 0.5, Bulgaria 0.20, Serbia 0.15,  Turkey  0.15</t>
  </si>
  <si>
    <t>Malta 0.50, Lebanon 0.20, Palestine 0.12, Syria 0.10, Greece  0.08</t>
  </si>
  <si>
    <t>Turkey 0.65, Greece 0.35</t>
  </si>
  <si>
    <t>Albania 0.90, Kosovo 0.05, North Macedonia 0.05</t>
  </si>
  <si>
    <t>Croatia 0.88, Bosnia and Herzegovina 0.05, Serbia 0.05, Slovenia 0.02</t>
  </si>
  <si>
    <t>Italy 0.40, Croatia 0.35, Slovenia 0.15, Serbia 0.10</t>
  </si>
  <si>
    <t>Serbia 0.90, Bosnia and Herzegovina 0.05,  Croatia 0.03, North Macedonia 0.02</t>
  </si>
  <si>
    <t>Bosnia and Herzegovina 0.72, Serbia 0.18, Croatia 0.10</t>
  </si>
  <si>
    <t>Serbia 0.40, Bosnia and Herzegovina 0.35, Croatia 0.25</t>
  </si>
  <si>
    <t>Croatia 0.45, Bosnia and Herzegovina 0.45, Italy 0.10</t>
  </si>
  <si>
    <t>Catalan 0.42, Spain 0.38, France 0.20</t>
  </si>
  <si>
    <t>France 0.40, Germany 0.35, Belgium French 0.25</t>
  </si>
  <si>
    <t>Portugal 0.82, France 0.18</t>
  </si>
  <si>
    <t xml:space="preserve"> Italy 1</t>
  </si>
  <si>
    <t>Italy 1</t>
  </si>
  <si>
    <t>Italy 0.90, Swiss Italian 0.04, Slovenia 0.03, Croatia 0.03</t>
  </si>
  <si>
    <t>Uzbekistan 0.6, Kazakhstan 0.4</t>
  </si>
  <si>
    <t>Tajikistan 0.80, Russia 0.2</t>
  </si>
  <si>
    <t>Kazakhstan 0.72, Uzbekistan 0.18, Tajikistan 0.1</t>
  </si>
  <si>
    <t xml:space="preserve">Tajikistan 0.55, Kazakhstan 0.45, </t>
  </si>
  <si>
    <t>Uzbekistan 0.82, Kazakhstan 0.1,  Tajikistan 0.08</t>
  </si>
  <si>
    <t>Kazakhstan 0.45, Uzbekistan 0.40,  Tajikistan 0.15</t>
  </si>
  <si>
    <t>Kazakhstan 0.60, Uzbekistan 0.40</t>
  </si>
  <si>
    <t>Uzbekistan 0.65, Kazakhstan 0.35</t>
  </si>
  <si>
    <t>Kazakhstan 0.65, Uzbekistan 0.3, Tajikistan 0.05</t>
  </si>
  <si>
    <t>Tajikistan 0.50,  Uzbekistan 0.50</t>
  </si>
  <si>
    <t>China 0.70, Kazakhstan 0.15, Uzbekistan 0.15</t>
  </si>
  <si>
    <t>Kazakhstan 0.55, Uzbekistan 0.30, Tajikistan 0.15</t>
  </si>
  <si>
    <t>Thailand 0.65, Cambodia 0.35</t>
  </si>
  <si>
    <t>Thailand 0.60, Cambodia 0.40</t>
  </si>
  <si>
    <t>Myanmar 0.30, Thailand 0.35, Cambodia 0.35</t>
  </si>
  <si>
    <t>Thailand 0.30, Cambodia 0.35, Myanmar 0.35</t>
  </si>
  <si>
    <t>Vietnam 0.96, Cambodia 0.04</t>
  </si>
  <si>
    <t>Thailand 0.95, Cambodia 0.05</t>
  </si>
  <si>
    <t>Vietnam 0.35, Myanmar 0.25, Thailand 0.30, Cambodia 0.10</t>
  </si>
  <si>
    <t>Myanmar 0.90, Thailand 0.06, Cambodia 0.04</t>
  </si>
  <si>
    <t>India Gangetic 0.8, India Punjabi 0.10, India Bengali 0.1</t>
  </si>
  <si>
    <t>Tamil 0.3, Telugu 0.3, Kannada 0.22, Malaylam 0.18</t>
  </si>
  <si>
    <t>Tamil 0.60, Telugu 0.2, Kannada 0.1, Malaylam 0.1</t>
  </si>
  <si>
    <t>Pakistan Sindhi 0.50, Tamil 0.1, Telugu 0.1, Kannada 0.1 , Pakistan Punjabi 0.20</t>
  </si>
  <si>
    <t xml:space="preserve">Tamil 0.3, Telugu 0.3, Kannada 0.22, Malaylam 0.18 </t>
  </si>
  <si>
    <t>Tamil 0.60, Telugu 0.15, Kannada 0.15, Malaylam 0.1</t>
  </si>
  <si>
    <t>Sri Lanka Sinhala 0.7, Tamil 0.3</t>
  </si>
  <si>
    <t xml:space="preserve">Sri Lanka Sinhala 0.45,Tamil 0.35,  Telugu 0.1, Kannada 0.05, Malaylam 0.05 </t>
  </si>
  <si>
    <t>Tamil 0.15, Telugu 0.15, Kannada 0.11, Malaylam 0.09 , Bangladesh 0.25, India Gangetic 0.25</t>
  </si>
  <si>
    <t>Tamil 0.15, Telugu 0.15, Kannada 0.1, Malaylam 0.05 ,India Gangetic 0.20, Pakistan Punjabi 0.20, Bangladesh 0.15</t>
  </si>
  <si>
    <t>Fiji Indian 0.55, Tamil 0.15, Telugu 0.15, Kannada 0.1, Malaylam 0.05</t>
  </si>
  <si>
    <t xml:space="preserve">India Gangetic 0.50, Tamil 0.15, Telugu 0.15, Kannada 0.11, Malaylam 0.09 </t>
  </si>
  <si>
    <t>Suriname Hindustani 0.65, India Gangetic 0.25,  Pakistan Punjabi 0.1</t>
  </si>
  <si>
    <t>Tamil 0.15, Telugu 0.15, Kannada 0.11, Malaylam 0.09 , India Gangetic 0.20, Trinidad and Tobago 0.30</t>
  </si>
  <si>
    <t>Brazil 0.25, Trinidad and Tobago 0.20, Venezuela 0.20, Colombia 0.15, India Gangetic 0.20</t>
  </si>
  <si>
    <t>India Gangetic 0.45, Tamil 0.1, Telugu 0.1,  Trinidad and Tobago 0.20, Brazil 0.15</t>
  </si>
  <si>
    <t>Tamil 0.1, Telugu 0.1, Kannada 0.1, Malaylam 0.1 , India Gangetic 0.25, Pakistan Punjabi 0.20, Bangladesh 0.15</t>
  </si>
  <si>
    <t>Same as Congo in name Census</t>
  </si>
  <si>
    <t>same as Macedonia</t>
  </si>
  <si>
    <t>same as South Korea</t>
  </si>
  <si>
    <t>same as Myanmar Burma</t>
  </si>
  <si>
    <t>split</t>
  </si>
  <si>
    <t>swiss german</t>
  </si>
  <si>
    <t>swiss french</t>
  </si>
  <si>
    <t>swiss italian</t>
  </si>
  <si>
    <t>IndiaSouth and Srilanka</t>
  </si>
  <si>
    <t>Telugu</t>
  </si>
  <si>
    <t>Kannada</t>
  </si>
  <si>
    <t>Malaylam</t>
  </si>
  <si>
    <t>eval from isreal bucket</t>
  </si>
  <si>
    <t>Eval Afghanistan bucket</t>
  </si>
  <si>
    <t>create, infer from Afghan?</t>
  </si>
  <si>
    <t>Split Pakistan bucket</t>
  </si>
  <si>
    <t>Split Malaysia bucket</t>
  </si>
  <si>
    <t>Split Singapore bucket</t>
  </si>
  <si>
    <t>create</t>
  </si>
  <si>
    <t>melanesia pool?</t>
  </si>
  <si>
    <t>New Zealand Māori</t>
  </si>
  <si>
    <t>Exists as Mayotte dataset?</t>
  </si>
  <si>
    <t>Dutch Caribbean</t>
  </si>
  <si>
    <t>pays basque</t>
  </si>
  <si>
    <t>eval from spain</t>
  </si>
  <si>
    <t>Catalan</t>
  </si>
  <si>
    <t>Faroe Islands</t>
  </si>
  <si>
    <t>Gibraltar</t>
  </si>
  <si>
    <t>Guam</t>
  </si>
  <si>
    <t>American Samoa</t>
  </si>
  <si>
    <t>British Virgin Islands</t>
  </si>
  <si>
    <t>US Virgin Islands</t>
  </si>
  <si>
    <t>Cayman Islands</t>
  </si>
  <si>
    <t>Cook Islands</t>
  </si>
  <si>
    <t>Tahiti</t>
  </si>
  <si>
    <t>Extra nations</t>
  </si>
  <si>
    <t>Faroe Islands 1.00</t>
  </si>
  <si>
    <t>Puerto Rico 0.70, Dominican Republic 0.20, Cuba 0.10</t>
  </si>
  <si>
    <t>Puerto Rico 0.45, Dominican Republic 0.30, Cuba 0.15, Jamaica 0.10</t>
  </si>
  <si>
    <t>Puerto Rico 0.60, Spain 0.40</t>
  </si>
  <si>
    <t>Puerto Rico 0.45, Dominican Republic 0.20, Colombia 0.20, Venezuela 0.15</t>
  </si>
  <si>
    <t>Gibraltar 0.70, Spain 0.30</t>
  </si>
  <si>
    <t>Gibraltar 0.55, England 0.30, Spain 0.15</t>
  </si>
  <si>
    <t>Morocco 0.55, Gibraltar 0.25, Spain 0.20</t>
  </si>
  <si>
    <t>Polynesia 0.5, Samoa 0.20, Tonga 0.15, New Zealand Māori 0.15</t>
  </si>
  <si>
    <t>Polynesia 0.4, France 0.60</t>
  </si>
  <si>
    <t>Polynesia 0.5, Melanesia 0.5</t>
  </si>
  <si>
    <t xml:space="preserve"> Samoa 0.5, Tonga 0.30, Fiji Indigenous 0.20</t>
  </si>
  <si>
    <t>Polynesia 0.35, New Zealand Māori 0.30, Samoa 0.20, Tonga 0.15</t>
  </si>
  <si>
    <t>Polynesia 0.35, New Zealand 0.40, England 0.15, Scotland 0.10</t>
  </si>
  <si>
    <t>Polynesia  0.35, Samoa 0.30, Tonga 0.20, New Zealand Māori 0.15</t>
  </si>
  <si>
    <t>Polynesia 0.60, Samoa 0.25, Tonga 0.20</t>
  </si>
  <si>
    <t>Polynesia 0.40, Philippines Tagalog 0.35, Philippines Visayan 0.25</t>
  </si>
  <si>
    <t>Jamaica 0.25, Trinidad and Tobago 0.15, England 0.40, Ireland 0.10, Scotland 0.10</t>
  </si>
  <si>
    <t>Jamaica 0.25, Trinidad and Tobago 0.15, Puerto Rico 0.25, Dominican Republic 0.20, Jamaica 0.15</t>
  </si>
  <si>
    <t>Jamaica 0.65,  Trinidad and Tobago 0.35</t>
  </si>
  <si>
    <t>Jamaica 0.25,  Trinidad and Tobago 0.1, England 0.45, Scotland 0.10, Ireland 0.10</t>
  </si>
  <si>
    <t>Jamaica 0.2,  Trinidad and Tobago 0.1, Jamaica 0.30, Cuba 0.20, Dominican Republic 0.20</t>
  </si>
  <si>
    <t>Puerto Rico 0.4, Dominican Republic 0.35, Jamaica 0.25</t>
  </si>
  <si>
    <t>Jamaica 0.20, Puerto Rico 0.40, Dominican Republic 0.30, Cuba 0.10</t>
  </si>
  <si>
    <t>Jamaica 0.2, Trinidad and Tobago 0.2, England 0.45, Ireland 0.10, Scotland 0.05</t>
  </si>
  <si>
    <t>Jamaica 0.55, Trinidad and Tobago 0.45</t>
  </si>
  <si>
    <t>Jamaica 0.20, Trinidad and Tobago 0.15, Puerto Rico 0.30, Dominican Republic 0.20, Cuba 0.15</t>
  </si>
  <si>
    <t>Jamaica 0.20, Trinidad and Tobago 0.15, Puerto Rico 0.35, Spain 0.30</t>
  </si>
  <si>
    <t>Antigua and Barbuda</t>
  </si>
  <si>
    <t>England 0.70, Ireland 0.15, Scotland 0.15</t>
  </si>
  <si>
    <t>Puerto Rico 0.40, Dominican Republic 0.35, Cuba 0.25</t>
  </si>
  <si>
    <t>Mexico 0.35, Guatemala 0.25, Honduras 0.20, El Salvador 0.20</t>
  </si>
  <si>
    <t>Guatemala 0.45, Mexico 0.35, Honduras 0.20</t>
  </si>
  <si>
    <t>England 0.75, Wales 0.10, Ireland 0.10, Scotland 0.05</t>
  </si>
  <si>
    <t>Brunei</t>
  </si>
  <si>
    <t>Malaysia Malay 0.70, Singapore Malay 0.20, Indonesia Other 0.10</t>
  </si>
  <si>
    <t>Comoros</t>
  </si>
  <si>
    <t>Dominica</t>
  </si>
  <si>
    <t>Micronesia</t>
  </si>
  <si>
    <t>Polynesia 0.40, Philippines Tagalog 0.25, Philippines Visayan 0.20, Malaysia Malay 0.15</t>
  </si>
  <si>
    <t>Philippines Tagalog 0.35, Philippines Visayan 0.25, Malaysia Malay 0.20, Indonesia Other 0.20</t>
  </si>
  <si>
    <t>Kiribati</t>
  </si>
  <si>
    <t>Polynesia 0.60, Samoa 0.20, Tonga 0.10, New Zealand Māori 0.10</t>
  </si>
  <si>
    <t>Polynesia 0.60, Melanesia 0.40</t>
  </si>
  <si>
    <t>Lesotho</t>
  </si>
  <si>
    <t>South Africa 0.45, Zimbabwe 0.30, Kenya 0.25</t>
  </si>
  <si>
    <t>Liechtenstein</t>
  </si>
  <si>
    <t>Swiss German 0.50, Austria 0.30, Germany 0.20</t>
  </si>
  <si>
    <t>Swiss German 0.55, Germany 0.25, Austria 0.20</t>
  </si>
  <si>
    <t>Madagascar</t>
  </si>
  <si>
    <t>Madagascar 1.00</t>
  </si>
  <si>
    <t>Madagascar 0.70, Mozambique 0.20, South Africa 0.10</t>
  </si>
  <si>
    <t>Madagascar 0.60, India South 0.40</t>
  </si>
  <si>
    <t>Madagascar 0.70, Ethiopia 0.15, Somalia 0.15</t>
  </si>
  <si>
    <t>Marshall Islands</t>
  </si>
  <si>
    <t>Polynesia 0.55, Samoa 0.20, Tonga 0.15, New Zealand Māori 0.10</t>
  </si>
  <si>
    <t>Polynesia 0.50, Philippines Tagalog 0.30, Philippines Visayan 0.20</t>
  </si>
  <si>
    <t>Mauritius</t>
  </si>
  <si>
    <t>Mauritius 0.50, India South 0.35, India Gangetic 0.15</t>
  </si>
  <si>
    <t>Mauritius 0.55, Madagascar 0.20, Kenya 0.15, Tanzania 0.10</t>
  </si>
  <si>
    <t>Mauritius 0.50, South Africa 0.25, Madagascar 0.25</t>
  </si>
  <si>
    <t>Mauritius 0.50, France 0.50</t>
  </si>
  <si>
    <t>Mauritius 0.55, India South 0.25, Saudi Arabia 0.20</t>
  </si>
  <si>
    <t>Nauru</t>
  </si>
  <si>
    <t>Polynesia 0.60, Samoa 0.20, Tonga 0.10, Fiji Indigenous 0.10</t>
  </si>
  <si>
    <t>Polynesia 0.55, Melanesia 0.45</t>
  </si>
  <si>
    <t>Palau</t>
  </si>
  <si>
    <t>Polynesia 0.45, Philippines Tagalog 0.25, Philippines Visayan 0.15, Malaysia Malay 0.15</t>
  </si>
  <si>
    <t>Seychelles</t>
  </si>
  <si>
    <t>India South 0.45, India Gangetic 0.20, France 0.20, Madagascar 0.15</t>
  </si>
  <si>
    <t>South Africa 0.50, Madagascar 0.30, Mauritius 0.20</t>
  </si>
  <si>
    <t>France 0.70, Mauritius 0.30</t>
  </si>
  <si>
    <t>Saint Kitts and Nevis</t>
  </si>
  <si>
    <t>Tuvalu</t>
  </si>
  <si>
    <t>Polynesia 0.65, Melanesia 0.35</t>
  </si>
  <si>
    <t>Saint Vincent and the Grenadines</t>
  </si>
  <si>
    <t>Jamaica 0.45, Trinidad and Tobago 0.40, Puerto Rico 0.15</t>
  </si>
  <si>
    <t>Jamaica 0.55,  Trinidad and Tobago 0.30, Cuba 0.15</t>
  </si>
  <si>
    <t>Jamaica 0.45, Trinidad and Tobago 0.40, Cuba 0.15</t>
  </si>
  <si>
    <t>Jamaica 0.45, Trinidad and Tobago 0.40,  Cuba 0.15</t>
  </si>
  <si>
    <t xml:space="preserve">Madagascar 0.45, Kenya 0.3, Tanzania 0.25 </t>
  </si>
  <si>
    <t>Jamaica 0.45, Trinidad and Tobago 0.40,  Puerto Rico 0.15</t>
  </si>
  <si>
    <t>Eswatini</t>
  </si>
  <si>
    <t>Madagascar 0.40, Tanzania 0.25, Kenya 0.15 , Somalia 0.10, Ethiopia 0.10</t>
  </si>
  <si>
    <t>Madagascar 0.20, Tanzania 0.15, Kenya 0.15 , Somalia 0.25, Ethiopia 0.25</t>
  </si>
  <si>
    <t>Madagascar 0.20, Tanzania 0.15, Kenya 0.10 , Somalia 0.05, Ethiopia 0.10, India South 0.40</t>
  </si>
  <si>
    <t>Madagascar 0.20, Tanzania 0.2, Kenya 0.2 ,  Morocco 0.20, Tunisia 0.20</t>
  </si>
  <si>
    <t>France 0.60, Spain 0.25, Catalan 0.15</t>
  </si>
  <si>
    <t>Turkey 0.85, Germany 0.15</t>
  </si>
  <si>
    <t>Spain 0.77, Catalan .15, Pays Basque .08</t>
  </si>
  <si>
    <t>South Korea 0.98, China 0.02</t>
  </si>
  <si>
    <t>Mauritius 0.45, China 0.35, Malaysia Chinese 0.20</t>
  </si>
  <si>
    <t>China 0.60, Mauritius 0.40</t>
  </si>
  <si>
    <t>Vietnam 0.70, China 0.30</t>
  </si>
  <si>
    <t>Malaysia Chinese 0.45, Singapore Chinese 0.35, China 0.20</t>
  </si>
  <si>
    <t>Malaysia Chinese 0.35, Singapore Chinese 0.35, China 0.30</t>
  </si>
  <si>
    <t>China 0.45, Malaysia Chinese 0.30, Singapore Chinese 0.25</t>
  </si>
  <si>
    <t>Singapore Chinese 0.45, China 0.30, Malaysia Chinese 0.25</t>
  </si>
  <si>
    <t>Malaysia Chinese 0.50, Singapore Chinese 0.30, China 0.20</t>
  </si>
  <si>
    <t>China 0.60, Philippines Tagalog 0.40</t>
  </si>
  <si>
    <t>China 1</t>
  </si>
  <si>
    <t>China 0.90, Hong Kong 0.10</t>
  </si>
  <si>
    <t xml:space="preserve">China 1 </t>
  </si>
  <si>
    <t>China 0.9, Taiwan 0.10</t>
  </si>
  <si>
    <t>England 0.5, Scotland 0.20, Ireland 0.17, Wales 0.13</t>
  </si>
  <si>
    <t>New Zealand 0.35, England 0.45, Scotland 0.20</t>
  </si>
  <si>
    <t>New Zealand 0.6, England 0.40</t>
  </si>
  <si>
    <t>Indonesia Javanese 1</t>
  </si>
  <si>
    <t>Malaysia Malay 0.48, Malaysia Chinese 0.26, Tamil 0.16, Singapore Malay 0.10</t>
  </si>
  <si>
    <t>Singapore Chinese 0.44, Singapore Malay 0.26, Tamil 0.09, Telugu 0.09, Malaysia Chinese 0.07, Malaysia Malay 0.05</t>
  </si>
  <si>
    <t>Tamil 0.4, Telugu 0.2, Kannada 0.2, Malaylam 0.2</t>
  </si>
  <si>
    <t>NigeriaYoruba 0.21, NigeriaIgbo 0.18, NigeriaHausa 0.23, NigeriaFulani 0.06, NigeriaMiddleBelt 0.12, NigeriaDelta 0.20</t>
  </si>
  <si>
    <t>NigeriaHausa 0.3, NigeriaFulani 0.2 , Mali 0.25, Senegal 0.25</t>
  </si>
  <si>
    <t>Mali 0.35, Burkina Faso 0.35, NigeriaYoruba 0.1, NigeriaIgbo 0.1, NigeriaDelta 0.10</t>
  </si>
  <si>
    <t>Burkina Faso 0.35, Mali 0.35, NigeriaYoruba 0.1, NigeriaIgbo 0.1, NigeriaDelta 0.10</t>
  </si>
  <si>
    <t>Cameroon 0.40, NigeriaYoruba 0.1, NigeriaIgbo 0.1, NigeriaDelta 0.10, Ghana 0.15, Ivory Coast 0.15</t>
  </si>
  <si>
    <t>Cameroon 0.55, Sudan 0.25, NigeriaHausa 0.2</t>
  </si>
  <si>
    <t>Cameroon 0.35, NigeriaYoruba 0.1, NigeriaIgbo 0.1, NigeriaDelta 0.05, Ghana 0.20, Ivory Coast 0.20</t>
  </si>
  <si>
    <t>NigeriaYoruba 0.1, NigeriaIgbo 0.1, NigeriaDelta 0.10, Ghana 0.25, Cameroon 0.25, Ivory Coast 0.20</t>
  </si>
  <si>
    <t>Benin 0.78, Ghana 0.12, NigeriaYoruba 0.1</t>
  </si>
  <si>
    <t>NigeriaHausa 0.2, NigeriaFulani 0.15, Burkina Faso 0.35, Mali 0.30</t>
  </si>
  <si>
    <t>Cameroon 0.40, NigeriaYoruba 0.1, NigeriaIgbo 0.1, NigeriaDelta 0.05, Ghana 0.20, Ivory Coast 0.15</t>
  </si>
  <si>
    <t>Cameroon 0.35, NigeriaYoruba 0.1, NigeriaIgbo 0.05, NigeriaDelta 0.10, Ghana 0.20, Ivory Coast 0.20</t>
  </si>
  <si>
    <t>Cameroon 0.40, NigeriaYoruba 0.05, NigeriaIgbo 0.1, NigeriaDelta 0.10, Ghana 0.20, Ivory Coast 0.15</t>
  </si>
  <si>
    <t>Cameroon 0.30, NigeriaYoruba 0.1, NigeriaIgbo 0.1, NigeriaDelta 0.05, Ghana 0.20, Ivory Coast 0.15, Spain 0.10</t>
  </si>
  <si>
    <t>Cameroon 0.35,NigeriaYoruba 0.1, NigeriaIgbo 0.1, NigeriaDelta 0.05, Ghana 0.20, Ivory Coast 0.20</t>
  </si>
  <si>
    <t>NigeriaIgbo 0.1, NigeriaDelta 0.25, Mali 0.25, Sudan 0.20, Algeria 0.20</t>
  </si>
  <si>
    <t>NigeriaYoruba 0.15, NigeriaIgbo 0.1, NigeriaDelta 0.10, Mali 0.25, Burkina Faso 0.20, Ghana 0.20</t>
  </si>
  <si>
    <t>Sudan 0.30, Cameroon 0.25,NigeriaDelta 0.20, Mali 0.15, Algeria 0.10</t>
  </si>
  <si>
    <t>NigeriaYoruba 0.1, NigeriaIgbo 0.15, NigeriaDelta 0.10, Mali 0.25, Burkina Faso 0.20, Ghana 0.20</t>
  </si>
  <si>
    <t>Senegal 0.30, NigeriaYoruba 0.1, NigeriaIgbo 0.1, NigeriaDelta 0.05, Ghana 0.20, Mali 0.15, Ivory Coast 0.10</t>
  </si>
  <si>
    <t>NigeriaYoruba 0.15, NigeriaIgbo 0.1, NigeriaDelta 0.10, Ghana 0.25, Senegal 0.20, Ivory Coast 0.20</t>
  </si>
  <si>
    <t>NigeriaYoruba 0.1, NigeriaIgbo 0.15, NigeriaDelta 0.10, Ghana 0.25, Senegal 0.20, Ivory Coast 0.20</t>
  </si>
  <si>
    <t>Ghana 0.40, NigeriaYoruba 0.1, NigeriaIgbo 0.15, NigeriaDelta 0.10, Senegal 0.25</t>
  </si>
  <si>
    <t>NigeriaYoruba 0.2, NigeriaIgbo 0.1, NigeriaDelta 0.10, Ghana 0.25,  Senegal 0.15, Liberia 0.20</t>
  </si>
  <si>
    <t>NigeriaYoruba 0.15, NigeriaIgbo 0.15, NigeriaDelta 0.15, Ghana 0.30, Liberia 0.15, Senegal 0.10</t>
  </si>
  <si>
    <t>NigeriaYoruba 0.15, NigeriaIgbo 0.15, NigeriaDelta 0.15, Ghana 0.25, Liberia 0.15, Senegal 0.15</t>
  </si>
  <si>
    <t>NigeriaYoruba 0.15, NigeriaIgbo 0.15, NigeriaDelta 0.15, Ghana 0.25, Liberia 0.15, Liberia 0.15</t>
  </si>
  <si>
    <t>Ghana 0.30,NigeriaYoruba 0.15, NigeriaIgbo 0.05, NigeriaDelta 0.05, Ghana 0.20, Senegal 0.15, Ivory Coast 0.10</t>
  </si>
  <si>
    <t>NigeriaYoruba 0.1, NigeriaIgbo 0.1, NigeriaDelta 0.1, Ghana 0.25, Senegal 0.20, Ivory Coast 0.15, Mali 0.10</t>
  </si>
  <si>
    <t>Cape Verde 0.28, Senegal 0.22, Ghana 0.18, NigeriaYoruba 0.18, Ivory Coast 0.14</t>
  </si>
  <si>
    <t>Senegal 0.4, Mali 0.25, NigeriaYoruba 0.15, NigeriaIgbo 0.1, Guinea 0.1</t>
  </si>
  <si>
    <t>Senegal 0.3, NigeriaYoruba 0.10, NigeriaIgbo 0.10, Ghana 0.2, Ivory Coast 0.15, Mali 0.15</t>
  </si>
  <si>
    <t>NigeriaYoruba 0.05, NigeriaIgbo 0.15, NigeriaDelta 0.15, Ghana 0.25, Senegal 0.20, Ivory Coast 0.20</t>
  </si>
  <si>
    <t>NigeriaYoruba 0.15, NigeriaIgbo 0.1, NigeriaDelta 0.1, Ghana 0.25, Senegal 0.20, Mali 0.20</t>
  </si>
  <si>
    <t>NigeriaYoruba 0.15, NigeriaIgbo 0.1, NigeriaDelta 0.1, Ghana 0.25, Senegal 0.20, Ivory Coast 0.20</t>
  </si>
  <si>
    <t>NigeriaYoruba 0.1, NigeriaIgbo 0.1, NigeriaDelta 0.15, Ghana 0.25, Senegal 0.20, Ivory Coast 0.20</t>
  </si>
  <si>
    <t>NigeriaYoruba 0.1, NigeriaIgbo 0.1, NigeriaDelta 0.15, Ghana 0.25, Senegal 0.20, Mali 0.20</t>
  </si>
  <si>
    <t>NigeriaYoruba 0.1, NigeriaIgbo 0.15, NigeriaDelta 0.1, Ghana 0.25, Senegal 0.20, Mali 0.20</t>
  </si>
  <si>
    <t>Cameroon 0.35, NigeriaMiddleBelt 0.15, NigeriaDelta 0.1, Ghana 0.20, Ivory Coast 0.20</t>
  </si>
  <si>
    <t>USModern 0.24, England 0.34, Ireland 0.18, Scotland 0.14, Wales 0.10</t>
  </si>
  <si>
    <t>USModern 0.18, Germany 0.28, Italy 0.18, France 0.16, Poland 0.10, Austria 0.10</t>
  </si>
  <si>
    <t>USAfricanAmerican 0.30, NigeriaYoruba 0.12, NigeriaIgbo 0.12, NigeriaDelta 0.10, Ghana 0.10, Jamaica 0.14, Senegal 0.12</t>
  </si>
  <si>
    <t>Jamaica 0.28, Haiti 0.18, Trinidad and Tobago 0.18, Dominican Republic 0.14, Cuba 0.10, USAfricanAmerican 0.12</t>
  </si>
  <si>
    <t>Mexico 0.44, El Salvador 0.14, Guatemala 0.10, Honduras 0.10, Dominican Republic 0.06, USHispanic 0.16</t>
  </si>
  <si>
    <t>Colombia 0.30, Venezuela 0.22, Ecuador 0.16, Peru 0.12, Dominican Republic 0.08, USHispanic 0.12</t>
  </si>
  <si>
    <t>Tamil 0.10, Telugu 0.10, Kannada 0.05, Malaylam 0.05, India Gangetic 0.20, Pakistan Punjabi 0.20, Bangladesh 0.15, USModern 0.15</t>
  </si>
  <si>
    <t>China 0.66, Taiwan 0.14, USModern 0.20</t>
  </si>
  <si>
    <t>Samoa 0.38, Tonga 0.28, New Zealand 0.14, USModern 0.20</t>
  </si>
  <si>
    <t>USModern 0.20, Ireland 0.40, Scotland 0.25, England 0.15</t>
  </si>
  <si>
    <t>USModern 0.16, Sweden 0.28, Norway 0.28, Denmark 0.28</t>
  </si>
  <si>
    <t>Colombia 0.30, Venezuela 0.22, Ecuador 0.16, Peru 0.12, Dominican Republic 0.10, England 0.10</t>
  </si>
  <si>
    <t>Tamil 0.1, Telugu 0.1, Kannada 0.1, Malaylam 0.1 , India Gangetic 0.25, Pakistan Punjabi 0.20, England 0.15</t>
  </si>
  <si>
    <t xml:space="preserve"> FrenchCanadian 0.12, England 0.34, Ireland 0.18, Scotland 0.20, Wales 0.16</t>
  </si>
  <si>
    <t>FrenchCanadian 0.08, England 0.18, Germany 0.24, Netherlands 0.16, Norway 0.16, Sweden 0.18</t>
  </si>
  <si>
    <t>FrenchCanadian 0.08, Ireland 0.42, Scotland 0.28, England 0.22</t>
  </si>
  <si>
    <t>FrenchCanadian 0.06, Sweden 0.30, Norway 0.32, Denmark 0.32</t>
  </si>
  <si>
    <t>NigeriaYoruba 0.15, NigeriaIgbo 0.15, NigeriaDelta 0.15, Ghana 0.15, Jamaica 0.20, Haiti 0.20</t>
  </si>
  <si>
    <t>Mexico 0.48, El Salvador 0.14, Colombia 0.12, Guatemala 0.10, Honduras 0.10, USHispanic 0.06</t>
  </si>
  <si>
    <t>China 0.60, Hong Kong 0.18, Taiwan 0.12, USModern 0.10</t>
  </si>
  <si>
    <t>Puerto Rico 0.1, Dominican Republic 0.1, Jamaica 0.1, USModern 0.50, England 0.20</t>
  </si>
  <si>
    <t>Jamaica 0.25,  Trinidad and Tobago 0.1, USModern 0.35, England 0.30</t>
  </si>
  <si>
    <t>Jamaica 0.35, Trinidad and Tobago 0.30, Dominican Republic 0.15, England 0.10, USModern 0.1</t>
  </si>
  <si>
    <t>Jamaica 0.2, Trinidad and Tobago 0.15, USModern 0.35, England 0.30</t>
  </si>
  <si>
    <t>Polynesia  0.20, Philippines Tagalog 0.30, Philippines Visayan 0.20, USModern 0.30</t>
  </si>
  <si>
    <t>Polynesia  0.40, Philippines Tagalog 0.30, USModern 0.30</t>
  </si>
  <si>
    <t>Samoa 0.50, Tonga 0.3, USModern  0.20</t>
  </si>
  <si>
    <t>Puerto Rico 0.50, USModern 0.30, Spain 0.20</t>
  </si>
  <si>
    <t>Suriname Hindustani 1</t>
  </si>
  <si>
    <t>USModern 0.2, England 0.3, Germany 0.15, Netherlands 0.10, Norway 0.10, Sweden 0.10, Denmark 0.05</t>
  </si>
  <si>
    <t>China 0.75, Kazakhstan 0.15,  Uzbekistan 0.10</t>
  </si>
  <si>
    <t>Persona</t>
  </si>
  <si>
    <t>FULL_HERITAGE</t>
  </si>
  <si>
    <t>HERITAGE_HERITAGE 0.95, NATION_HERITAGE 0.03, NATION_NATION 0.02, HERITAGE_NATION 0.00</t>
  </si>
  <si>
    <t>HERITAGE_BALANCED</t>
  </si>
  <si>
    <t>HERITAGE_HERITAGE 0.53, NATION_HERITAGE 0.42, NATION_NATION 0.04, HERITAGE_NATION 0.01</t>
  </si>
  <si>
    <t>HERITAGE_HEAVY</t>
  </si>
  <si>
    <t>HERITAGE_HERITAGE 0.60, NATION_HERITAGE 0.35, NATION_NATION 0.04, HERITAGE_NATION 0.01</t>
  </si>
  <si>
    <t>LOCAL_HEAVY</t>
  </si>
  <si>
    <t>NATION_HERITAGE 0.50, HERITAGE_HERITAGE 0.45, NATION_NATION 0.04, HERITAGE_NATION 0.01</t>
  </si>
  <si>
    <t>Count of VisualBucket</t>
  </si>
  <si>
    <t>Bulgaria 0.7, North Macedonia 0.1, Serbia 0.1, Romania 0.1</t>
  </si>
  <si>
    <t>Latvia 0.8, Lithuania 0.05, Estonia 0.05, Russia 0.1</t>
  </si>
  <si>
    <t>Turkey 0.20, Greece 0.60, Lebanon 0.05, Syria 0.05, Palestine 0.05, Iraq 0.05</t>
  </si>
  <si>
    <t>Albania 0.40, Kosovo 0.3, Serbia 0.2, North Macedonia 0.1</t>
  </si>
  <si>
    <t>North Macedonia 0.50, Bulgaria 0.15, Serbia 0.10, Albania 0.15, Kosovo 0.10</t>
  </si>
  <si>
    <t>FrenchCanadian 0.55, Germany 0.2, Italy 0.05, Poland  0.05, Belgium Dutch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</si>
</sst>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12" borderId="0" xfId="0" applyFill="1"/>
    <xf numFmtId="0" fontId="2" fillId="12" borderId="0" xfId="0" applyFont="1" applyFill="1"/>
    <xf numFmtId="0" fontId="2" fillId="0" borderId="0" xfId="0" applyFon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13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z" refreshedDate="46103.650943171298" createdVersion="8" refreshedVersion="8" minRefreshableVersion="3" recordCount="1191" xr:uid="{DC71BDD7-3D95-4DE5-B88D-D1198FE55519}">
  <cacheSource type="worksheet">
    <worksheetSource ref="A1:E1161" sheet="TopMarkets"/>
  </cacheSource>
  <cacheFields count="8">
    <cacheField name="Region" numFmtId="0">
      <sharedItems/>
    </cacheField>
    <cacheField name="Country" numFmtId="0">
      <sharedItems/>
    </cacheField>
    <cacheField name="VisualBucket" numFmtId="0">
      <sharedItems count="49">
        <s v="Scandinavia"/>
        <s v="EuroNorth"/>
        <s v="RedHair"/>
        <s v="Anatolian"/>
        <s v="Levant"/>
        <s v="Persia"/>
        <s v="AfricaHorn"/>
        <s v="Finno"/>
        <s v="EuroBalkans"/>
        <s v="AfricaWest"/>
        <s v="EuroEast"/>
        <s v="BritishIsles"/>
        <s v="AfroCaribbean"/>
        <s v="AfricaNorth"/>
        <s v="IndiaPunjab"/>
        <s v="IndiaGangetic"/>
        <s v="EuroCentral"/>
        <s v="EuroItaMed"/>
        <s v="AfricaCentral"/>
        <s v="EuroIberian"/>
        <s v="SouthAmericaNorth"/>
        <s v="Andean"/>
        <s v="MesoAmericaMestizo"/>
        <s v="AfricaSouth"/>
        <s v="Brazil Pardo"/>
        <s v="SEA Vietic"/>
        <s v="Caucasus"/>
        <s v="ArabPeninsula"/>
        <s v="Egypt"/>
        <s v="AsiaCentralUzbek"/>
        <s v="AsiaCentralTajik"/>
        <s v="IndiaSouth"/>
        <s v="China"/>
        <s v="Polynesia"/>
        <s v="Philipines"/>
        <s v="AfricaEast"/>
        <s v="MesoAmericaIndigenous"/>
        <s v="AfroBrazil"/>
        <s v="SouthernCone"/>
        <s v="AfricaSahelia"/>
        <s v="IndiaBengali"/>
        <s v="IndieSriLanka"/>
        <s v="Korea"/>
        <s v="SEA Mekong"/>
        <s v="SEA insular"/>
        <s v="Japan"/>
        <s v="Melanesia"/>
        <s v="Turkey" u="1"/>
        <s v="AfricaNorth Maghreb" u="1"/>
      </sharedItems>
    </cacheField>
    <cacheField name="percent" numFmtId="0">
      <sharedItems containsSemiMixedTypes="0" containsString="0" containsNumber="1" containsInteger="1" minValue="1" maxValue="90"/>
    </cacheField>
    <cacheField name="naming pool" numFmtId="0">
      <sharedItems/>
    </cacheField>
    <cacheField name="naming split" numFmtId="0">
      <sharedItems/>
    </cacheField>
    <cacheField name="notes" numFmtId="0">
      <sharedItems/>
    </cacheField>
    <cacheField name="market priority" numFmtId="0">
      <sharedItems count="2">
        <s v="T1"/>
        <s v="T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z" refreshedDate="46104.785952893515" createdVersion="8" refreshedVersion="8" minRefreshableVersion="3" recordCount="3951" xr:uid="{8A128BD3-A32F-4949-B170-7CC00DD1DCD8}">
  <cacheSource type="worksheet">
    <worksheetSource ref="A1:C1048576" sheet="FullNamingPoolList"/>
  </cacheSource>
  <cacheFields count="3">
    <cacheField name="Priority" numFmtId="0">
      <sharedItems containsBlank="1" count="3">
        <s v="T1"/>
        <s v="T2"/>
        <m/>
      </sharedItems>
    </cacheField>
    <cacheField name="NamingPool" numFmtId="0">
      <sharedItems containsBlank="1" count="223">
        <s v="Iceland"/>
        <s v="Norway"/>
        <s v="Denmark"/>
        <s v="Sweden"/>
        <s v="Turkey"/>
        <s v="Iraq"/>
        <s v="Syria"/>
        <s v="Lebanon"/>
        <s v="Iran"/>
        <s v="Somalia"/>
        <s v="Ethiopia"/>
        <s v="Finland"/>
        <s v="Bosnia and Herzegovina"/>
        <s v="Serbia"/>
        <s v="Croatia"/>
        <s v="Kosovo"/>
        <s v="North Macedonia"/>
        <s v="Palestine"/>
        <s v="Germany"/>
        <s v="Ghana"/>
        <s v="Nigeria"/>
        <s v="Senegal"/>
        <s v="Albania"/>
        <s v="Swedish"/>
        <s v="Finland "/>
        <s v="Russia"/>
        <s v="England"/>
        <s v="Wales"/>
        <s v="Scotland"/>
        <s v="Ireland"/>
        <s v="Netherlands"/>
        <s v="Liberia"/>
        <s v="Jamaica"/>
        <s v="Trinidad and Tobago"/>
        <s v="Morocco"/>
        <s v="Algeria"/>
        <s v="Tunisia"/>
        <s v="Turkish Cypriot"/>
        <s v="Pakistan Punjabi"/>
        <s v="India Punjabi"/>
        <s v="Poland"/>
        <s v="Romania"/>
        <s v="Lithuania"/>
        <s v="Ukraine"/>
        <s v="Sierra Leone"/>
        <s v="Gambia"/>
        <s v="Barbados"/>
        <s v="Northern Ireland"/>
        <s v="Bangladesh"/>
        <s v="India Gangetic"/>
        <s v="India South"/>
        <s v="France"/>
        <s v="Belgium French"/>
        <s v="Swiss French"/>
        <s v="Italy"/>
        <s v="Mali"/>
        <s v="Guinea"/>
        <s v="Ivory Coast"/>
        <s v="Cameroon"/>
        <s v="Guinea-Bissau"/>
        <s v="Mauritania"/>
        <s v="Burkina Faso"/>
        <s v="DR Congo"/>
        <s v="Congo"/>
        <s v="Central African Republic"/>
        <s v="Guadeloupe"/>
        <s v="Martinique"/>
        <s v="Haiti"/>
        <s v="French Guiana"/>
        <s v="Libya"/>
        <s v="Portugal"/>
        <s v="Spain"/>
        <s v="Belgium Dutch"/>
        <s v="Rwanda"/>
        <s v="Burundi"/>
        <s v="Bulgaria"/>
        <s v="Slovakia"/>
        <s v="Suriname"/>
        <s v="CuraÃ§ao"/>
        <s v="Aruba"/>
        <s v="Suriname Hindustani"/>
        <s v="Austria"/>
        <s v="Swiss German"/>
        <s v="Czech Republic"/>
        <s v="Togo"/>
        <s v="Hungary"/>
        <s v="Swiss Italian"/>
        <s v="Cape Verde"/>
        <s v="Colombia"/>
        <s v="Venezuela"/>
        <s v="Ecuador"/>
        <s v="Dominican Republic"/>
        <s v="Peru"/>
        <s v="Bolivia"/>
        <s v="Honduras"/>
        <s v="Mexico"/>
        <s v="Nicaragua"/>
        <s v="El Salvador"/>
        <s v="Cuba"/>
        <s v="Puerto Rico"/>
        <s v="Angola"/>
        <s v="Mozambique"/>
        <s v="SÃ£o TomÃ© and PrÃ­ncipe"/>
        <s v="Brazil"/>
        <s v="Argentina"/>
        <s v="San Marino Local"/>
        <s v="Slovenia"/>
        <s v="Uruguay"/>
        <s v="Vietnam"/>
        <s v="Armenia"/>
        <s v="Georgia"/>
        <s v="Azerbaijan"/>
        <s v="Moldova"/>
        <s v="Belarus"/>
        <s v="Montenegro"/>
        <s v="Bosnia and Herzegovina Muslim"/>
        <s v="Greece"/>
        <s v="Greek Cypriot"/>
        <s v="Egypt"/>
        <s v="Crete/Dodecanese"/>
        <s v="Estonia"/>
        <s v="Estonia Russian"/>
        <s v="Latvia"/>
        <s v="Latvia Russian"/>
        <s v="Israel Hebrew"/>
        <s v="Jordan"/>
        <s v="Yemen"/>
        <s v="Saudi Arabia"/>
        <s v="Afghanistan Dari"/>
        <s v="Tajikistan"/>
        <s v="United States"/>
        <s v="Guatemala"/>
        <s v="China"/>
        <s v="Taiwan"/>
        <s v="Samoa"/>
        <s v="Tonga"/>
        <s v="Fiji"/>
        <s v="New Zealand"/>
        <s v="Canada"/>
        <s v="Belgium"/>
        <s v="Hong Kong"/>
        <s v="Philippines"/>
        <s v="Eritrea"/>
        <s v="Kenya"/>
        <s v="Uganda"/>
        <s v="Costa Rica"/>
        <s v="Panama"/>
        <s v="Chile"/>
        <s v="Paraguay"/>
        <s v="Malta"/>
        <s v="Sudan"/>
        <s v="Benin"/>
        <s v="Gabon Proxy"/>
        <s v="Chad Proxy"/>
        <s v="Tanzania"/>
        <s v="Zambia"/>
        <s v="Zimbabwe"/>
        <s v="Burundi Proxy"/>
        <s v="South Africa"/>
        <s v="UAE"/>
        <s v="Oman"/>
        <s v="Kuwait"/>
        <s v="Malawi Proxy"/>
        <s v="Qatar"/>
        <s v="Bahrain"/>
        <s v="India Bengali"/>
        <s v="Sri Lanka Tamil"/>
        <s v="Kazakhstan"/>
        <s v="Uzbekistan"/>
        <s v="Kyrgyzstan"/>
        <s v="Korea"/>
        <s v="China North"/>
        <s v="China South"/>
        <s v="Myanmar"/>
        <s v="Thailand"/>
        <s v="Cambodia"/>
        <s v="Laos"/>
        <s v="Malaysia Chinese"/>
        <s v="Singapore Chinese"/>
        <s v="Indonesia Other"/>
        <s v="Philippines Tagalog"/>
        <s v="Japan"/>
        <s v="Philippines Visayan"/>
        <s v="Nepal"/>
        <s v="Singapore Indian"/>
        <s v="Malaysia Indian"/>
        <s v="Malaysia Malay"/>
        <s v="Singapore Malay"/>
        <s v="Indonesia Javanese"/>
        <s v="Indonesia Sumatran"/>
        <s v="Papua New Guinea"/>
        <s v="Solomon Islands"/>
        <s v="Vanuatu"/>
        <s v="Australia"/>
        <s v="New Zealand MÄori"/>
        <s v="Fiji Indigenous"/>
        <s v="Fiji Indian"/>
        <s v="Luxembourg Local"/>
        <s v="Cyprus"/>
        <s v="Komi/Karelian"/>
        <s v="Tatar/Bashkir"/>
        <s v="Andorra Local"/>
        <s v="Montenegro Proxy"/>
        <s v="Albania Muslim"/>
        <s v="Guyana Proxy"/>
        <s v="Barbados Proxy"/>
        <s v="Aruba Proxy"/>
        <s v="CuraÃ§ao Proxy"/>
        <s v="Suriname Proxy"/>
        <s v="South Sudan Proxy"/>
        <s v="Equatorial Guinea Proxy"/>
        <s v="Botswana Proxy"/>
        <s v="Eritrea Proxy"/>
        <s v="Yemen Proxy"/>
        <s v="Central African Republic Proxy"/>
        <s v="Pakistan Sindhi"/>
        <s v="Pakistan Pashtun"/>
        <s v="Sri Lanka Sinhala"/>
        <s v="Bhutan Proxy"/>
        <s v="Mongolia Proxy"/>
        <s v="Turkmenistan"/>
        <s v="New Caledonia"/>
        <m/>
      </sharedItems>
    </cacheField>
    <cacheField name="Weight" numFmtId="0">
      <sharedItems containsString="0" containsBlank="1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z" refreshedDate="46115.722082060187" createdVersion="8" refreshedVersion="8" minRefreshableVersion="3" recordCount="1273" xr:uid="{1CE5BCE3-672B-46A4-9D2D-ADA351B16B13}">
  <cacheSource type="worksheet">
    <worksheetSource ref="A1:B1048576" sheet="Sheet1"/>
  </cacheSource>
  <cacheFields count="2">
    <cacheField name="Country" numFmtId="0">
      <sharedItems containsBlank="1" count="215">
        <s v="Iceland"/>
        <s v="Norway"/>
        <s v="Sweden"/>
        <s v="Denmark"/>
        <s v="Finland"/>
        <s v="England"/>
        <s v="Scotland"/>
        <s v="Wales"/>
        <s v="Northern Ireland"/>
        <s v="Ireland"/>
        <s v="France"/>
        <s v="Belgium"/>
        <s v="Netherlands"/>
        <s v="Germany"/>
        <s v="Austria"/>
        <s v="Switzerland"/>
        <s v="Spain"/>
        <s v="Portugal"/>
        <s v="Italy"/>
        <s v="Poland"/>
        <s v="Czech Republic"/>
        <s v="Slovakia"/>
        <s v="Hungary"/>
        <s v="Romania"/>
        <s v="Slovenia"/>
        <s v="Ukraine"/>
        <s v="Croatia"/>
        <s v="Serbia"/>
        <s v="Bosnia and Herzegovina"/>
        <s v="Bulgaria"/>
        <s v="Greece"/>
        <s v="Turkey"/>
        <s v="Estonia"/>
        <s v="Latvia"/>
        <s v="Lithuania"/>
        <s v="Georgia"/>
        <s v="Israel"/>
        <s v="Luxembourg"/>
        <s v="Cyprus"/>
        <s v="Armenia"/>
        <s v="Azerbaijan"/>
        <s v="Russia"/>
        <s v="Andorra"/>
        <s v="San Marino"/>
        <s v="Malta"/>
        <s v="Moldova"/>
        <s v="Belarus"/>
        <s v="Montenegro"/>
        <s v="Kosovo"/>
        <s v="Albania"/>
        <s v="North Macedonia"/>
        <s v="Faroe Islands"/>
        <s v="Gibraltar"/>
        <s v="Liechtenstein"/>
        <s v="United States"/>
        <s v="Canada"/>
        <s v="Mexico"/>
        <s v="Jamaica"/>
        <s v="Cuba"/>
        <s v="Dominican Republic"/>
        <s v="Costa Rica"/>
        <s v="Trinidad and Tobago"/>
        <s v="Haiti"/>
        <s v="Suriname"/>
        <s v="Guyana"/>
        <s v="Curaçao"/>
        <s v="Aruba"/>
        <s v="Guadeloupe"/>
        <s v="Martinique"/>
        <s v="French Guiana"/>
        <s v="Barbados"/>
        <s v="Saint Lucia"/>
        <s v="Grenada"/>
        <s v="Panama"/>
        <s v="Guatemala"/>
        <s v="Honduras"/>
        <s v="El Salvador"/>
        <s v="Nicaragua"/>
        <s v="Puerto Rico"/>
        <s v="British Virgin Islands"/>
        <s v="US Virgin Islands"/>
        <s v="Cayman Islands"/>
        <s v="Bermuda"/>
        <s v="Antigua and Barbuda"/>
        <s v="Bahamas"/>
        <s v="Belize"/>
        <s v="Dominica"/>
        <s v="Saint Vincent and the Grenadines"/>
        <s v="Saint Kitts and Nevis"/>
        <s v="Colombia"/>
        <s v="Chile"/>
        <s v="Argentina"/>
        <s v="Uruguay"/>
        <s v="Brazil"/>
        <s v="Venezuela"/>
        <s v="Ecuador"/>
        <s v="Peru"/>
        <s v="Bolivia"/>
        <s v="Paraguay"/>
        <s v="Morocco"/>
        <s v="Algeria"/>
        <s v="Tunisia"/>
        <s v="Egypt"/>
        <s v="Nigeria"/>
        <s v="Ghana"/>
        <s v="Senegal"/>
        <s v="Mali"/>
        <s v="Ivory Coast"/>
        <s v="Cameroon"/>
        <s v="DR Congo"/>
        <s v="Angola"/>
        <s v="South Africa"/>
        <s v="Kenya"/>
        <s v="Tanzania"/>
        <s v="Uganda"/>
        <s v="Libya"/>
        <s v="Guinea"/>
        <s v="Guinea-Bissau"/>
        <s v="Burkina Faso"/>
        <s v="Mauritania"/>
        <s v="Gambia"/>
        <s v="Sierra Leone"/>
        <s v="Liberia"/>
        <s v="Togo"/>
        <s v="Benin"/>
        <s v="Congo"/>
        <s v="Central African Republic"/>
        <s v="Gabon"/>
        <s v="Equatorial Guinea"/>
        <s v="Mozambique"/>
        <s v="Cape Verde"/>
        <s v="São Tomé and Príncipe"/>
        <s v="Namibia"/>
        <s v="Botswana"/>
        <s v="Zimbabwe"/>
        <s v="Zambia"/>
        <s v="Malawi"/>
        <s v="Rwanda"/>
        <s v="Burundi"/>
        <s v="Ethiopia"/>
        <s v="Eritrea"/>
        <s v="Somalia"/>
        <s v="Djibouti"/>
        <s v="Sudan"/>
        <s v="South Sudan"/>
        <s v="Niger"/>
        <s v="Chad"/>
        <s v="Comoros"/>
        <s v="Lesotho"/>
        <s v="Mauritius"/>
        <s v="Madagascar"/>
        <s v="Seychelles"/>
        <s v="Eswatini"/>
        <s v="Jordan"/>
        <s v="Iraq"/>
        <s v="Iran"/>
        <s v="Saudi Arabia"/>
        <s v="Oman"/>
        <s v="United Arab Emirates"/>
        <s v="Qatar"/>
        <s v="Kuwait"/>
        <s v="Bahrain"/>
        <s v="India"/>
        <s v="Kazakhstan"/>
        <s v="Uzbekistan"/>
        <s v="China"/>
        <s v="Japan"/>
        <s v="South Korea"/>
        <s v="Taiwan"/>
        <s v="Hong Kong"/>
        <s v="Vietnam"/>
        <s v="Thailand"/>
        <s v="Malaysia"/>
        <s v="Indonesia"/>
        <s v="Philippines"/>
        <s v="Singapore"/>
        <s v="Syria"/>
        <s v="Lebanon"/>
        <s v="Palestine"/>
        <s v="Yemen"/>
        <s v="Pakistan"/>
        <s v="Bangladesh"/>
        <s v="Sri Lanka"/>
        <s v="Nepal"/>
        <s v="Bhutan"/>
        <s v="Maldives"/>
        <s v="Afghanistan"/>
        <s v="Mongolia"/>
        <s v="Tajikistan"/>
        <s v="Kyrgyzstan"/>
        <s v="Turkmenistan"/>
        <s v="Myanmar"/>
        <s v="Cambodia"/>
        <s v="Laos"/>
        <s v="Guam"/>
        <s v="Brunei"/>
        <s v="Australia"/>
        <s v="New Zealand"/>
        <s v="Fiji"/>
        <s v="Samoa"/>
        <s v="Tonga"/>
        <s v="Papua New Guinea"/>
        <s v="Solomon Islands"/>
        <s v="Vanuatu"/>
        <s v="New Caledonia"/>
        <s v="American Samoa"/>
        <s v="Cook Islands"/>
        <s v="Tahiti"/>
        <s v="Palau"/>
        <s v="Tuvalu"/>
        <s v="Micronesia"/>
        <s v="Kiribati"/>
        <s v="Nauru"/>
        <s v="Marshall Islands"/>
        <m/>
      </sharedItems>
    </cacheField>
    <cacheField name="VisualBucket" numFmtId="0">
      <sharedItems containsBlank="1" count="48">
        <s v="Scandinavia"/>
        <s v="EuroNorth"/>
        <s v="RedHair"/>
        <s v="Anatolian"/>
        <s v="Levant"/>
        <s v="Persia"/>
        <s v="AfricaHorn"/>
        <s v="Finno"/>
        <s v="EuroBalkans"/>
        <s v="AfricaWest"/>
        <s v="EuroEast"/>
        <s v="BritishIsles"/>
        <s v="AfroCaribbean"/>
        <s v="AfricaNorth"/>
        <s v="IndiaPunjab"/>
        <s v="IndiaGangetic"/>
        <s v="EuroCentral"/>
        <s v="EuroItaMed"/>
        <s v="AfricaCentral"/>
        <s v="EuroIberian"/>
        <s v="SouthAmericaNorth"/>
        <s v="Andean"/>
        <s v="MesoAmericaMestizo"/>
        <s v="AfricaSouth"/>
        <s v="Brazil Pardo"/>
        <s v="SEA Vietic"/>
        <s v="Caucasus"/>
        <s v="ArabPeninsula"/>
        <s v="Egypt"/>
        <s v="AsiaCentralUzbek"/>
        <s v="AsiaCentralTajik"/>
        <s v="IndiaSouth"/>
        <s v="China"/>
        <s v="Polynesia"/>
        <s v="Philipines"/>
        <s v="AfricaEast"/>
        <s v="MesoAmericaIndigenous"/>
        <s v="SEA insular"/>
        <s v="AfroBrazil"/>
        <s v="SouthernCone"/>
        <s v="AfricaSahelia"/>
        <s v="IndiaBengali"/>
        <s v="IndieSriLanka"/>
        <s v="Korea"/>
        <s v="SEA Mekong"/>
        <s v="Japan"/>
        <s v="Melanes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1">
  <r>
    <s v="UEFA"/>
    <s v="Iceland"/>
    <x v="0"/>
    <n v="58"/>
    <s v="Iceland 1.00"/>
    <s v="LOCAL_LOCAL 0.95, DOUBLE_SURNAME_LOCAL_LOCAL 0.03, COMPOUND_GIVEN_LOCAL_LOCAL 0.02"/>
    <s v="Main local light-feature anchor"/>
    <x v="0"/>
  </r>
  <r>
    <s v="UEFA"/>
    <s v="Iceland"/>
    <x v="1"/>
    <n v="38"/>
    <s v="Iceland 1.00"/>
    <s v="LOCAL_LOCAL 0.95, DOUBLE_SURNAME_LOCAL_LOCAL 0.03, COMPOUND_GIVEN_LOCAL_LOCAL 0.02"/>
    <s v="Secondary local north-atlantic read"/>
    <x v="0"/>
  </r>
  <r>
    <s v="UEFA"/>
    <s v="Iceland"/>
    <x v="2"/>
    <n v="4"/>
    <s v="Iceland 1.00"/>
    <s v="LOCAL_LOCAL 0.95, DOUBLE_SURNAME_LOCAL_LOCAL 0.03, COMPOUND_GIVEN_LOCAL_LOCAL 0.02"/>
    <s v="Small local ginger accent"/>
    <x v="0"/>
  </r>
  <r>
    <s v="UEFA"/>
    <s v="Norway"/>
    <x v="0"/>
    <n v="56"/>
    <s v="Norway 0.88, Denmark 0.07, Sweden 0.05"/>
    <s v="LOCAL_LOCAL 0.95, DOUBLE_SURNAME_LOCAL_LOCAL 0.03, COMPOUND_GIVEN_LOCAL_LOCAL 0.02"/>
    <s v="Main local light-feature anchor"/>
    <x v="0"/>
  </r>
  <r>
    <s v="UEFA"/>
    <s v="Norway"/>
    <x v="1"/>
    <n v="29"/>
    <s v="Norway 0.88, Denmark 0.07, Sweden 0.05"/>
    <s v="LOCAL_LOCAL 0.95, DOUBLE_SURNAME_LOCAL_LOCAL 0.03, COMPOUND_GIVEN_LOCAL_LOCAL 0.02"/>
    <s v="Secondary local north-atlantic read"/>
    <x v="0"/>
  </r>
  <r>
    <s v="UEFA"/>
    <s v="Norway"/>
    <x v="3"/>
    <n v="3"/>
    <s v="Turkey 0.85, Norway 0.15"/>
    <s v="LOCAL_HERITAGE 0.42, HERITAGE_HERITAGE 0.53, LOCAL_LOCAL 0.04, HERITAGE_LOCAL 0.01"/>
    <s v="Separate Turkish row"/>
    <x v="0"/>
  </r>
  <r>
    <s v="UEFA"/>
    <s v="Norway"/>
    <x v="4"/>
    <n v="5"/>
    <s v="Iraq 0.45, Syria 0.45, Lebanon 0.10"/>
    <s v="LOCAL_HERITAGE 0.42, HERITAGE_HERITAGE 0.53, LOCAL_LOCAL 0.04, HERITAGE_LOCAL 0.01"/>
    <s v="Iraq/Syria routed visually via Levant, naming stays country-based"/>
    <x v="0"/>
  </r>
  <r>
    <s v="UEFA"/>
    <s v="Norway"/>
    <x v="5"/>
    <n v="2"/>
    <s v="Iran 0.90, Norway 0.10"/>
    <s v="LOCAL_HERITAGE 0.42, HERITAGE_HERITAGE 0.53, LOCAL_LOCAL 0.04, HERITAGE_LOCAL 0.01"/>
    <s v="Separate from Levant/Anatolian"/>
    <x v="0"/>
  </r>
  <r>
    <s v="UEFA"/>
    <s v="Norway"/>
    <x v="6"/>
    <n v="2"/>
    <s v="Somalia 0.70, Ethiopia 0.30"/>
    <s v="LOCAL_HERITAGE 0.40, HERITAGE_HERITAGE 0.55, LOCAL_LOCAL 0.04, HERITAGE_LOCAL 0.01"/>
    <s v="Horn-heavy row; better than generic East Africa"/>
    <x v="0"/>
  </r>
  <r>
    <s v="UEFA"/>
    <s v="Norway"/>
    <x v="2"/>
    <n v="3"/>
    <s v="Norway 1.00"/>
    <s v="LOCAL_LOCAL 0.95, DOUBLE_SURNAME_LOCAL_LOCAL 0.03, COMPOUND_GIVEN_LOCAL_LOCAL 0.02"/>
    <s v="Small accent only"/>
    <x v="0"/>
  </r>
  <r>
    <s v="UEFA"/>
    <s v="Sweden"/>
    <x v="0"/>
    <n v="48"/>
    <s v="Sweden 0.92, Norway 0.08"/>
    <s v="LOCAL_LOCAL 0.95, DOUBLE_SURNAME_LOCAL_LOCAL 0.03, COMPOUND_GIVEN_LOCAL_LOCAL 0.02"/>
    <s v="Main local light-feature anchor"/>
    <x v="0"/>
  </r>
  <r>
    <s v="UEFA"/>
    <s v="Sweden"/>
    <x v="1"/>
    <n v="24"/>
    <s v="Sweden 0.92, Norway 0.08"/>
    <s v="LOCAL_LOCAL 0.95, DOUBLE_SURNAME_LOCAL_LOCAL 0.03, COMPOUND_GIVEN_LOCAL_LOCAL 0.02"/>
    <s v="Secondary local north-European read"/>
    <x v="0"/>
  </r>
  <r>
    <s v="UEFA"/>
    <s v="Sweden"/>
    <x v="7"/>
    <n v="8"/>
    <s v="Finland 0.82, Sweden 0.18"/>
    <s v="LOCAL_HERITAGE 0.48, HERITAGE_HERITAGE 0.45, LOCAL_LOCAL 0.05, HERITAGE_LOCAL 0.02"/>
    <s v="Important Finland-linked bridge bucket"/>
    <x v="0"/>
  </r>
  <r>
    <s v="UEFA"/>
    <s v="Sweden"/>
    <x v="8"/>
    <n v="7"/>
    <s v="Bosnia and Herzegovina 0.28, Serbia 0.22, Croatia 0.18, Kosovo 0.17, North Macedonia 0.15"/>
    <s v="LOCAL_HERITAGE 0.38, HERITAGE_HERITAGE 0.57, LOCAL_LOCAL 0.04, HERITAGE_LOCAL 0.01"/>
    <s v="Important football diaspora bucket"/>
    <x v="0"/>
  </r>
  <r>
    <s v="UEFA"/>
    <s v="Sweden"/>
    <x v="4"/>
    <n v="5"/>
    <s v="Iraq 0.45, Syria 0.30, Lebanon 0.15, Palestine 0.10"/>
    <s v="LOCAL_HERITAGE 0.40, HERITAGE_HERITAGE 0.55, LOCAL_LOCAL 0.04, HERITAGE_LOCAL 0.01"/>
    <s v="Distinct from Anatolian"/>
    <x v="0"/>
  </r>
  <r>
    <s v="UEFA"/>
    <s v="Sweden"/>
    <x v="3"/>
    <n v="3"/>
    <s v="Turkey 0.85, Sweden 0.15"/>
    <s v="LOCAL_HERITAGE 0.35, HERITAGE_HERITAGE 0.60, LOCAL_LOCAL 0.04, HERITAGE_LOCAL 0.01"/>
    <s v="Separate Turkish row"/>
    <x v="0"/>
  </r>
  <r>
    <s v="UEFA"/>
    <s v="Sweden"/>
    <x v="6"/>
    <n v="3"/>
    <s v="Somalia 0.70, Ethiopia 0.30"/>
    <s v="LOCAL_HERITAGE 0.40, HERITAGE_HERITAGE 0.55, LOCAL_LOCAL 0.04, HERITAGE_LOCAL 0.01"/>
    <s v="Horn-heavy and football-relevant"/>
    <x v="0"/>
  </r>
  <r>
    <s v="UEFA"/>
    <s v="Sweden"/>
    <x v="2"/>
    <n v="2"/>
    <s v="Sweden 1.00"/>
    <s v="LOCAL_LOCAL 0.95, DOUBLE_SURNAME_LOCAL_LOCAL 0.03, COMPOUND_GIVEN_LOCAL_LOCAL 0.02"/>
    <s v="Small accent only"/>
    <x v="0"/>
  </r>
  <r>
    <s v="UEFA"/>
    <s v="Denmark"/>
    <x v="0"/>
    <n v="46"/>
    <s v="Denmark 0.87, Norway 0.08, Germany 0.05"/>
    <s v="LOCAL_LOCAL 0.95, DOUBLE_SURNAME_LOCAL_LOCAL 0.03, COMPOUND_GIVEN_LOCAL_LOCAL 0.02"/>
    <s v="Main local light-feature anchor"/>
    <x v="0"/>
  </r>
  <r>
    <s v="UEFA"/>
    <s v="Denmark"/>
    <x v="1"/>
    <n v="36"/>
    <s v="Denmark 0.87, Norway 0.08, Germany 0.05"/>
    <s v="LOCAL_LOCAL 0.95, DOUBLE_SURNAME_LOCAL_LOCAL 0.03, COMPOUND_GIVEN_LOCAL_LOCAL 0.02"/>
    <s v="Secondary local north-sea read"/>
    <x v="0"/>
  </r>
  <r>
    <s v="UEFA"/>
    <s v="Denmark"/>
    <x v="3"/>
    <n v="5"/>
    <s v="Turkey 0.85, Denmark 0.15"/>
    <s v="LOCAL_HERITAGE 0.40, HERITAGE_HERITAGE 0.55, LOCAL_LOCAL 0.04, HERITAGE_LOCAL 0.01"/>
    <s v="Stronger than most minor diaspora rows"/>
    <x v="0"/>
  </r>
  <r>
    <s v="UEFA"/>
    <s v="Denmark"/>
    <x v="4"/>
    <n v="3"/>
    <s v="Lebanon 0.30, Iraq 0.30, Syria 0.25, Palestine 0.15"/>
    <s v="LOCAL_HERITAGE 0.42, HERITAGE_HERITAGE 0.53, LOCAL_LOCAL 0.04, HERITAGE_LOCAL 0.01"/>
    <s v="Separate from Anatolian"/>
    <x v="0"/>
  </r>
  <r>
    <s v="UEFA"/>
    <s v="Denmark"/>
    <x v="6"/>
    <n v="1"/>
    <s v="Somalia 0.60, Ethiopia 0.40"/>
    <s v="LOCAL_HERITAGE 0.40, HERITAGE_HERITAGE 0.55, LOCAL_LOCAL 0.04, HERITAGE_LOCAL 0.01"/>
    <s v="Small but useful"/>
    <x v="0"/>
  </r>
  <r>
    <s v="UEFA"/>
    <s v="Denmark"/>
    <x v="9"/>
    <n v="3"/>
    <s v="Ghana 0.40, Nigeria 0.35, Senegal 0.25"/>
    <s v="LOCAL_HERITAGE 0.40, HERITAGE_HERITAGE 0.55, LOCAL_LOCAL 0.04, HERITAGE_LOCAL 0.01"/>
    <s v="Football-relevant"/>
    <x v="0"/>
  </r>
  <r>
    <s v="UEFA"/>
    <s v="Denmark"/>
    <x v="8"/>
    <n v="4"/>
    <s v="Bosnia and Herzegovina 0.30, Serbia 0.20, Croatia 0.20, Kosovo 0.20, Albania 0.10"/>
    <s v="LOCAL_HERITAGE 0.38, HERITAGE_HERITAGE 0.57, LOCAL_LOCAL 0.04, HERITAGE_LOCAL 0.01"/>
    <s v="Useful football bucket"/>
    <x v="0"/>
  </r>
  <r>
    <s v="UEFA"/>
    <s v="Denmark"/>
    <x v="2"/>
    <n v="2"/>
    <s v="Denmark 1.00"/>
    <s v="LOCAL_LOCAL 0.95, DOUBLE_SURNAME_LOCAL_LOCAL 0.03, COMPOUND_GIVEN_LOCAL_LOCAL 0.02"/>
    <s v="Small accent only"/>
    <x v="0"/>
  </r>
  <r>
    <s v="UEFA"/>
    <s v="Finland"/>
    <x v="7"/>
    <n v="60"/>
    <s v="Finland 0.92, Swedish 0.08"/>
    <s v="LOCAL_LOCAL 0.95, DOUBLE_SURNAME_LOCAL_LOCAL 0.03, COMPOUND_GIVEN_LOCAL_LOCAL 0.02"/>
    <s v="Main local anchor"/>
    <x v="0"/>
  </r>
  <r>
    <s v="UEFA"/>
    <s v="Finland"/>
    <x v="1"/>
    <n v="22"/>
    <s v="Finland 0.92, Swedish 0.08"/>
    <s v="LOCAL_LOCAL 0.95, DOUBLE_SURNAME_LOCAL_LOCAL 0.03, COMPOUND_GIVEN_LOCAL_LOCAL 0.02"/>
    <s v="Secondary north-European read"/>
    <x v="0"/>
  </r>
  <r>
    <s v="UEFA"/>
    <s v="Finland"/>
    <x v="0"/>
    <n v="12"/>
    <s v="Finland  0.55, Sweden 0.45"/>
    <s v="LOCAL_HERITAGE 0.52, HERITAGE_HERITAGE 0.38, LOCAL_LOCAL 0.08, HERITAGE_LOCAL 0.02"/>
    <s v="Blondness/light-feature boost tied to Finland-Swedish logic"/>
    <x v="0"/>
  </r>
  <r>
    <s v="UEFA"/>
    <s v="Finland"/>
    <x v="10"/>
    <n v="4"/>
    <s v="Finland 0.60, Russia 0.40"/>
    <s v="LOCAL_HERITAGE 0.48, HERITAGE_HERITAGE 0.45, LOCAL_LOCAL 0.05, HERITAGE_LOCAL 0.02"/>
    <s v="Small eastern adjacency"/>
    <x v="0"/>
  </r>
  <r>
    <s v="UEFA"/>
    <s v="Finland"/>
    <x v="6"/>
    <n v="2"/>
    <s v="Somalia 0.60, Ethiopia 0.40"/>
    <s v="LOCAL_HERITAGE 0.42, HERITAGE_HERITAGE 0.53, LOCAL_LOCAL 0.04, HERITAGE_LOCAL 0.01"/>
    <s v="Small but useful"/>
    <x v="0"/>
  </r>
  <r>
    <s v="UEFA"/>
    <s v="England"/>
    <x v="11"/>
    <n v="62"/>
    <s v="England 0.82, Wales 0.06, Scotland 0.06, Ireland 0.06"/>
    <s v="LOCAL_LOCAL 0.95, DOUBLE_SURNAME_LOCAL_LOCAL 0.03, COMPOUND_GIVEN_LOCAL_LOCAL 0.02"/>
    <s v="Main local pool"/>
    <x v="0"/>
  </r>
  <r>
    <s v="UEFA"/>
    <s v="England"/>
    <x v="1"/>
    <n v="7"/>
    <s v="England 0.75, Netherlands 0.15, Denmark 0.10"/>
    <s v="LOCAL_LOCAL 0.95, DOUBLE_SURNAME_LOCAL_LOCAL 0.03, COMPOUND_GIVEN_LOCAL_LOCAL 0.02"/>
    <s v="Lighter-feature north-sea local variation"/>
    <x v="0"/>
  </r>
  <r>
    <s v="UEFA"/>
    <s v="England"/>
    <x v="9"/>
    <n v="10"/>
    <s v="Nigeria 0.40, Ghana 0.25,  Senegal 0.15, Liberia 0.20"/>
    <s v="LOCAL_HERITAGE 0.38, HERITAGE_HERITAGE 0.57, LOCAL_LOCAL 0.04, HERITAGE_LOCAL 0.01"/>
    <s v="Major football pipeline"/>
    <x v="0"/>
  </r>
  <r>
    <s v="UEFA"/>
    <s v="England"/>
    <x v="12"/>
    <n v="8"/>
    <s v="Jamaica 0.65, Trinidad and Tobago 0.35"/>
    <s v="LOCAL_HERITAGE 0.40, HERITAGE_HERITAGE 0.55, LOCAL_LOCAL 0.04, HERITAGE_LOCAL 0.01"/>
    <s v="Major football pipeline"/>
    <x v="0"/>
  </r>
  <r>
    <s v="UEFA"/>
    <s v="England"/>
    <x v="13"/>
    <n v="3"/>
    <s v="Morocco 0.45, Algeria 0.35, Tunisia 0.20"/>
    <s v="LOCAL_HERITAGE 0.42, HERITAGE_HERITAGE 0.53, LOCAL_LOCAL 0.04, HERITAGE_LOCAL 0.01"/>
    <s v="Smaller than France/Belgium but real"/>
    <x v="0"/>
  </r>
  <r>
    <s v="UEFA"/>
    <s v="England"/>
    <x v="3"/>
    <n v="2"/>
    <s v="Turkey 0.70, Turkish Cypriot 0.30"/>
    <s v="LOCAL_HERITAGE 0.42, HERITAGE_HERITAGE 0.53, LOCAL_LOCAL 0.04, HERITAGE_LOCAL 0.01"/>
    <s v="Distinct from Levant"/>
    <x v="0"/>
  </r>
  <r>
    <s v="UEFA"/>
    <s v="England"/>
    <x v="14"/>
    <n v="2"/>
    <s v="Pakistan Punjabi 0.55, India Punjabi 0.45"/>
    <s v="LOCAL_HERITAGE 0.45, HERITAGE_HERITAGE 0.50, LOCAL_LOCAL 0.04, HERITAGE_LOCAL 0.01"/>
    <s v="Football-relevant South Asian row; Punjabi-side first"/>
    <x v="0"/>
  </r>
  <r>
    <s v="UEFA"/>
    <s v="England"/>
    <x v="10"/>
    <n v="2"/>
    <s v="Poland 0.35, Romania 0.25, Lithuania 0.20, Ukraine 0.20"/>
    <s v="LOCAL_HERITAGE 0.42, HERITAGE_HERITAGE 0.53, LOCAL_LOCAL 0.04, HERITAGE_LOCAL 0.01"/>
    <s v="Small but worthwhile"/>
    <x v="0"/>
  </r>
  <r>
    <s v="UEFA"/>
    <s v="England"/>
    <x v="2"/>
    <n v="4"/>
    <s v="England 1.00"/>
    <s v="LOCAL_LOCAL 0.95, DOUBLE_SURNAME_LOCAL_LOCAL 0.03, COMPOUND_GIVEN_LOCAL_LOCAL 0.02"/>
    <s v="Valid here as a modest accent"/>
    <x v="0"/>
  </r>
  <r>
    <s v="UEFA"/>
    <s v="Scotland"/>
    <x v="11"/>
    <n v="67"/>
    <s v="Scotland 0.76, England 0.10, Ireland 0.10, Wales 0.04"/>
    <s v="LOCAL_LOCAL 0.95, DOUBLE_SURNAME_LOCAL_LOCAL 0.03, COMPOUND_GIVEN_LOCAL_LOCAL 0.02"/>
    <s v="Main local pool"/>
    <x v="0"/>
  </r>
  <r>
    <s v="UEFA"/>
    <s v="Scotland"/>
    <x v="1"/>
    <n v="6"/>
    <s v="Scotland 0.72, Norway 0.15, Denmark 0.13"/>
    <s v="LOCAL_LOCAL 0.95, DOUBLE_SURNAME_LOCAL_LOCAL 0.03, COMPOUND_GIVEN_LOCAL_LOCAL 0.02"/>
    <s v="Strong north-sea variation"/>
    <x v="0"/>
  </r>
  <r>
    <s v="UEFA"/>
    <s v="Scotland"/>
    <x v="9"/>
    <n v="5"/>
    <s v="Nigeria 0.45, Ghana 0.30, Sierra Leone 0.15, Gambia 0.10"/>
    <s v="LOCAL_HERITAGE 0.40, HERITAGE_HERITAGE 0.55, LOCAL_LOCAL 0.04, HERITAGE_LOCAL 0.01"/>
    <s v="Football-relevant"/>
    <x v="0"/>
  </r>
  <r>
    <s v="UEFA"/>
    <s v="Scotland"/>
    <x v="12"/>
    <n v="3"/>
    <s v="Jamaica 0.60, Trinidad and Tobago 0.25, Barbados 0.15"/>
    <s v="LOCAL_HERITAGE 0.40, HERITAGE_HERITAGE 0.55, LOCAL_LOCAL 0.04, HERITAGE_LOCAL 0.01"/>
    <s v="Secondary but real"/>
    <x v="0"/>
  </r>
  <r>
    <s v="UEFA"/>
    <s v="Scotland"/>
    <x v="14"/>
    <n v="2"/>
    <s v="Pakistan Punjabi 0.55, India Punjabi 0.45"/>
    <s v="LOCAL_HERITAGE 0.45, HERITAGE_HERITAGE 0.50, LOCAL_LOCAL 0.04, HERITAGE_LOCAL 0.01"/>
    <s v="Better than one broad South Asian row"/>
    <x v="0"/>
  </r>
  <r>
    <s v="UEFA"/>
    <s v="Scotland"/>
    <x v="4"/>
    <n v="2"/>
    <s v="Iraq 0.40, Lebanon 0.25, Syria 0.20, Palestine 0.15"/>
    <s v="LOCAL_HERITAGE 0.42, HERITAGE_HERITAGE 0.53, LOCAL_LOCAL 0.04, HERITAGE_LOCAL 0.01"/>
    <s v="Small but worthwhile"/>
    <x v="0"/>
  </r>
  <r>
    <s v="UEFA"/>
    <s v="Scotland"/>
    <x v="10"/>
    <n v="2"/>
    <s v="Poland 0.35, Lithuania 0.25, Romania 0.20, Ukraine 0.20"/>
    <s v="LOCAL_HERITAGE 0.42, HERITAGE_HERITAGE 0.53, LOCAL_LOCAL 0.04, HERITAGE_LOCAL 0.01"/>
    <s v="Small but useful"/>
    <x v="0"/>
  </r>
  <r>
    <s v="UEFA"/>
    <s v="Scotland"/>
    <x v="2"/>
    <n v="13"/>
    <s v="Scotland 1.00"/>
    <s v="LOCAL_LOCAL 0.95, DOUBLE_SURNAME_LOCAL_LOCAL 0.03, COMPOUND_GIVEN_LOCAL_LOCAL 0.02"/>
    <s v="One of the strongest redhair rows"/>
    <x v="0"/>
  </r>
  <r>
    <s v="UEFA"/>
    <s v="Wales"/>
    <x v="11"/>
    <n v="76"/>
    <s v="Wales 0.64, England 0.22, Ireland 0.09, Scotland 0.05"/>
    <s v="LOCAL_LOCAL 0.95, DOUBLE_SURNAME_LOCAL_LOCAL 0.03, COMPOUND_GIVEN_LOCAL_LOCAL 0.02"/>
    <s v="Main local pool"/>
    <x v="0"/>
  </r>
  <r>
    <s v="UEFA"/>
    <s v="Wales"/>
    <x v="1"/>
    <n v="6"/>
    <s v="Wales 0.55, England 0.25, Ireland 0.20"/>
    <s v="LOCAL_LOCAL 0.95, DOUBLE_SURNAME_LOCAL_LOCAL 0.03, COMPOUND_GIVEN_LOCAL_LOCAL 0.02"/>
    <s v="Secondary local spread"/>
    <x v="0"/>
  </r>
  <r>
    <s v="UEFA"/>
    <s v="Wales"/>
    <x v="9"/>
    <n v="6"/>
    <s v="Nigeria 0.45, Ghana 0.25, Sierra Leone 0.15, Gambia 0.15"/>
    <s v="LOCAL_HERITAGE 0.40, HERITAGE_HERITAGE 0.55, LOCAL_LOCAL 0.04, HERITAGE_LOCAL 0.01"/>
    <s v="Football-relevant"/>
    <x v="0"/>
  </r>
  <r>
    <s v="UEFA"/>
    <s v="Wales"/>
    <x v="12"/>
    <n v="3"/>
    <s v="Jamaica 0.60, Trinidad and Tobago 0.25, Barbados 0.15"/>
    <s v="LOCAL_HERITAGE 0.40, HERITAGE_HERITAGE 0.55, LOCAL_LOCAL 0.04, HERITAGE_LOCAL 0.01"/>
    <s v="Secondary but real"/>
    <x v="0"/>
  </r>
  <r>
    <s v="UEFA"/>
    <s v="Wales"/>
    <x v="14"/>
    <n v="2"/>
    <s v="Pakistan Punjabi 0.50, India Punjabi 0.50"/>
    <s v="LOCAL_HERITAGE 0.45, HERITAGE_HERITAGE 0.50, LOCAL_LOCAL 0.04, HERITAGE_LOCAL 0.01"/>
    <s v="Better than broad South Asia"/>
    <x v="0"/>
  </r>
  <r>
    <s v="UEFA"/>
    <s v="Wales"/>
    <x v="4"/>
    <n v="2"/>
    <s v="Iraq 0.35, Syria 0.25, Lebanon 0.20, Palestine 0.20"/>
    <s v="LOCAL_HERITAGE 0.42, HERITAGE_HERITAGE 0.53, LOCAL_LOCAL 0.04, HERITAGE_LOCAL 0.01"/>
    <s v="Small but worthwhile"/>
    <x v="0"/>
  </r>
  <r>
    <s v="UEFA"/>
    <s v="Wales"/>
    <x v="2"/>
    <n v="5"/>
    <s v="Wales 1.00"/>
    <s v="LOCAL_LOCAL 0.95, DOUBLE_SURNAME_LOCAL_LOCAL 0.03, COMPOUND_GIVEN_LOCAL_LOCAL 0.02"/>
    <s v="Valid moderate accent"/>
    <x v="0"/>
  </r>
  <r>
    <s v="UEFA"/>
    <s v="Northern Ireland"/>
    <x v="11"/>
    <n v="75"/>
    <s v="Northern Ireland 0.48, Ireland 0.28, Scotland 0.14, England 0.10"/>
    <s v="LOCAL_LOCAL 0.95, DOUBLE_SURNAME_LOCAL_LOCAL 0.03, COMPOUND_GIVEN_LOCAL_LOCAL 0.02"/>
    <s v="Main local pool"/>
    <x v="0"/>
  </r>
  <r>
    <s v="UEFA"/>
    <s v="Northern Ireland"/>
    <x v="1"/>
    <n v="8"/>
    <s v="Northern Ireland 0.45, Ireland 0.30, Scotland 0.25"/>
    <s v="LOCAL_LOCAL 0.95, DOUBLE_SURNAME_LOCAL_LOCAL 0.03, COMPOUND_GIVEN_LOCAL_LOCAL 0.02"/>
    <s v="North-atlantic variation"/>
    <x v="0"/>
  </r>
  <r>
    <s v="UEFA"/>
    <s v="Northern Ireland"/>
    <x v="9"/>
    <n v="4"/>
    <s v="Nigeria 0.45, Ghana 0.30, Sierra Leone 0.15, Gambia 0.10"/>
    <s v="LOCAL_HERITAGE 0.40, HERITAGE_HERITAGE 0.55, LOCAL_LOCAL 0.04, HERITAGE_LOCAL 0.01"/>
    <s v="Football-relevant"/>
    <x v="0"/>
  </r>
  <r>
    <s v="UEFA"/>
    <s v="Northern Ireland"/>
    <x v="14"/>
    <n v="2"/>
    <s v="India Punjabi 0.50, Pakistan Punjabi 0.35, Bangladesh 0.15"/>
    <s v="LOCAL_HERITAGE 0.45, HERITAGE_HERITAGE 0.50, LOCAL_LOCAL 0.04, HERITAGE_LOCAL 0.01"/>
    <s v="Punjabi-side best fit"/>
    <x v="0"/>
  </r>
  <r>
    <s v="UEFA"/>
    <s v="Northern Ireland"/>
    <x v="2"/>
    <n v="11"/>
    <s v="Northern Ireland 1.00"/>
    <s v="LOCAL_LOCAL 0.95, DOUBLE_SURNAME_LOCAL_LOCAL 0.03, COMPOUND_GIVEN_LOCAL_LOCAL 0.02"/>
    <s v="Strongest redhair injector in this chunk"/>
    <x v="0"/>
  </r>
  <r>
    <s v="UEFA"/>
    <s v="Ireland"/>
    <x v="11"/>
    <n v="71"/>
    <s v="Ireland 0.84, England 0.08, Scotland 0.05, Wales 0.03"/>
    <s v="LOCAL_LOCAL 0.95, DOUBLE_SURNAME_LOCAL_LOCAL 0.03, COMPOUND_GIVEN_LOCAL_LOCAL 0.02"/>
    <s v="Main local pool"/>
    <x v="0"/>
  </r>
  <r>
    <s v="UEFA"/>
    <s v="Ireland"/>
    <x v="1"/>
    <n v="7"/>
    <s v="Ireland 0.80, Scotland 0.10, England 0.10"/>
    <s v="LOCAL_LOCAL 0.95, DOUBLE_SURNAME_LOCAL_LOCAL 0.03, COMPOUND_GIVEN_LOCAL_LOCAL 0.02"/>
    <s v="Lighter-feature variation"/>
    <x v="0"/>
  </r>
  <r>
    <s v="UEFA"/>
    <s v="Ireland"/>
    <x v="9"/>
    <n v="5"/>
    <s v="Nigeria 0.45, Ghana 0.25, Sierra Leone 0.15, Liberia 0.15"/>
    <s v="LOCAL_HERITAGE 0.40, HERITAGE_HERITAGE 0.55, LOCAL_LOCAL 0.04, HERITAGE_LOCAL 0.01"/>
    <s v="Football-relevant"/>
    <x v="0"/>
  </r>
  <r>
    <s v="UEFA"/>
    <s v="Ireland"/>
    <x v="12"/>
    <n v="2"/>
    <s v="Jamaica 0.70, Trinidad and Tobago 0.20, Barbados 0.10"/>
    <s v="LOCAL_HERITAGE 0.40, HERITAGE_HERITAGE 0.55, LOCAL_LOCAL 0.04, HERITAGE_LOCAL 0.01"/>
    <s v="Small but worthwhile"/>
    <x v="0"/>
  </r>
  <r>
    <s v="UEFA"/>
    <s v="Ireland"/>
    <x v="10"/>
    <n v="2"/>
    <s v="Poland 0.45, Lithuania 0.20, Romania 0.20, Ukraine 0.15"/>
    <s v="LOCAL_HERITAGE 0.42, HERITAGE_HERITAGE 0.53, LOCAL_LOCAL 0.04, HERITAGE_LOCAL 0.01"/>
    <s v="Worth keeping"/>
    <x v="0"/>
  </r>
  <r>
    <s v="UEFA"/>
    <s v="Ireland"/>
    <x v="15"/>
    <n v="2"/>
    <s v="India Gangetic 0.50, India South 0.20, Pakistan Punjabi 0.20, Bangladesh 0.10"/>
    <s v="LOCAL_HERITAGE 0.45, HERITAGE_HERITAGE 0.50, LOCAL_LOCAL 0.04, HERITAGE_LOCAL 0.01"/>
    <s v="Better than one broad India row"/>
    <x v="0"/>
  </r>
  <r>
    <s v="UEFA"/>
    <s v="Ireland"/>
    <x v="2"/>
    <n v="11"/>
    <s v="Ireland 1.00"/>
    <s v="LOCAL_LOCAL 0.95, DOUBLE_SURNAME_LOCAL_LOCAL 0.03, COMPOUND_GIVEN_LOCAL_LOCAL 0.02"/>
    <s v="Strong redhair injector"/>
    <x v="0"/>
  </r>
  <r>
    <s v="UEFA"/>
    <s v="France"/>
    <x v="16"/>
    <n v="44"/>
    <s v="France 0.84, Belgium French 0.08, Swiss French 0.05, Germany 0.03"/>
    <s v="LOCAL_LOCAL 0.95, DOUBLE_SURNAME_LOCAL_LOCAL 0.03, COMPOUND_GIVEN_LOCAL_LOCAL 0.02"/>
    <s v="Main metropolitan local pool"/>
    <x v="0"/>
  </r>
  <r>
    <s v="UEFA"/>
    <s v="France"/>
    <x v="17"/>
    <n v="8"/>
    <s v="France 0.82, Italy 0.18"/>
    <s v="LOCAL_LOCAL 0.95, DOUBLE_SURNAME_LOCAL_LOCAL 0.03, COMPOUND_GIVEN_LOCAL_LOCAL 0.02"/>
    <s v="Southern/Mediterranean native spread"/>
    <x v="0"/>
  </r>
  <r>
    <s v="UEFA"/>
    <s v="France"/>
    <x v="9"/>
    <n v="18"/>
    <s v="Senegal 0.22, Mali 0.20, Guinea 0.15, Ivory Coast 0.13, Cameroon 0.10, Guinea-Bissau 0.08, Mauritania 0.07, Burkina Faso 0.05"/>
    <s v="LOCAL_HERITAGE 0.34, HERITAGE_HERITAGE 0.61, LOCAL_LOCAL 0.04, HERITAGE_LOCAL 0.01"/>
    <s v="Major football pipeline"/>
    <x v="0"/>
  </r>
  <r>
    <s v="UEFA"/>
    <s v="France"/>
    <x v="18"/>
    <n v="8"/>
    <s v="DR Congo 0.56, Congo 0.20, Cameroon 0.14, Central African Republic 0.10"/>
    <s v="LOCAL_HERITAGE 0.34, HERITAGE_HERITAGE 0.61, LOCAL_LOCAL 0.04, HERITAGE_LOCAL 0.01"/>
    <s v="Very important football bucket"/>
    <x v="0"/>
  </r>
  <r>
    <s v="UEFA"/>
    <s v="France"/>
    <x v="12"/>
    <n v="4"/>
    <s v="Guadeloupe 0.40, Martinique 0.35, Haiti 0.15, French Guiana 0.10"/>
    <s v="LOCAL_HERITAGE 0.38, HERITAGE_HERITAGE 0.57, LOCAL_LOCAL 0.04, HERITAGE_LOCAL 0.01"/>
    <s v="Distinct from AfricaWest/AfricaCentral naming"/>
    <x v="0"/>
  </r>
  <r>
    <s v="UEFA"/>
    <s v="France"/>
    <x v="13"/>
    <n v="12"/>
    <s v="Algeria 0.42, Morocco 0.33, Tunisia 0.20, Libya 0.05"/>
    <s v="LOCAL_HERITAGE 0.42, HERITAGE_HERITAGE 0.53, LOCAL_LOCAL 0.04, HERITAGE_LOCAL 0.01"/>
    <s v="One of the key French football buckets"/>
    <x v="0"/>
  </r>
  <r>
    <s v="UEFA"/>
    <s v="France"/>
    <x v="3"/>
    <n v="3"/>
    <s v="Turkey 0.88, France 0.12"/>
    <s v="LOCAL_HERITAGE 0.38, HERITAGE_HERITAGE 0.57, LOCAL_LOCAL 0.04, HERITAGE_LOCAL 0.01"/>
    <s v="Distinct from Maghreb and Levant"/>
    <x v="0"/>
  </r>
  <r>
    <s v="UEFA"/>
    <s v="France"/>
    <x v="19"/>
    <n v="3"/>
    <s v="Portugal 0.65, Spain 0.35"/>
    <s v="LOCAL_HERITAGE 0.46, HERITAGE_HERITAGE 0.49, LOCAL_LOCAL 0.04, HERITAGE_LOCAL 0.01"/>
    <s v="Important historically and still visible"/>
    <x v="0"/>
  </r>
  <r>
    <s v="UEFA"/>
    <s v="Belgium"/>
    <x v="16"/>
    <n v="61"/>
    <s v="Belgium Dutch 0.42, Belgium French 0.33, Netherlands 0.15, France 0.07, Germany 0.03"/>
    <s v="LOCAL_LOCAL 0.95, DOUBLE_SURNAME_LOCAL_LOCAL 0.03, COMPOUND_GIVEN_LOCAL_LOCAL 0.02"/>
    <s v="Main local base"/>
    <x v="0"/>
  </r>
  <r>
    <s v="UEFA"/>
    <s v="Belgium"/>
    <x v="13"/>
    <n v="12"/>
    <s v="Morocco 0.72, Algeria 0.18, Tunisia 0.10"/>
    <s v="LOCAL_HERITAGE 0.44, HERITAGE_HERITAGE 0.51, LOCAL_LOCAL 0.04, HERITAGE_LOCAL 0.01"/>
    <s v="Core Belgium football diaspora bucket"/>
    <x v="0"/>
  </r>
  <r>
    <s v="UEFA"/>
    <s v="Belgium"/>
    <x v="18"/>
    <n v="9"/>
    <s v="DR Congo 0.72, Congo 0.13, Rwanda 0.08, Burundi 0.07"/>
    <s v="LOCAL_HERITAGE 0.38, HERITAGE_HERITAGE 0.57, LOCAL_LOCAL 0.04, HERITAGE_LOCAL 0.01"/>
    <s v="Very football-relevant"/>
    <x v="0"/>
  </r>
  <r>
    <s v="UEFA"/>
    <s v="Belgium"/>
    <x v="9"/>
    <n v="4"/>
    <s v="Guinea 0.25, Senegal 0.20, Mali 0.20, Ivory Coast 0.20, Ghana 0.15"/>
    <s v="LOCAL_HERITAGE 0.38, HERITAGE_HERITAGE 0.57, LOCAL_LOCAL 0.04, HERITAGE_LOCAL 0.01"/>
    <s v="Secondary to Congo/Maghreb"/>
    <x v="0"/>
  </r>
  <r>
    <s v="UEFA"/>
    <s v="Belgium"/>
    <x v="3"/>
    <n v="4"/>
    <s v="Turkey 0.82, Belgium Dutch 0.09, Belgium French 0.09"/>
    <s v="LOCAL_HERITAGE 0.40, HERITAGE_HERITAGE 0.55, LOCAL_LOCAL 0.04, HERITAGE_LOCAL 0.01"/>
    <s v="Separate from Maghreb"/>
    <x v="0"/>
  </r>
  <r>
    <s v="UEFA"/>
    <s v="Belgium"/>
    <x v="10"/>
    <n v="3"/>
    <s v="Poland 0.30, Romania 0.25, Bulgaria 0.20, Ukraine 0.15, Slovakia 0.10"/>
    <s v="LOCAL_HERITAGE 0.40, HERITAGE_HERITAGE 0.55, LOCAL_LOCAL 0.04, HERITAGE_LOCAL 0.01"/>
    <s v="Small but worthwhile"/>
    <x v="0"/>
  </r>
  <r>
    <s v="UEFA"/>
    <s v="Belgium"/>
    <x v="8"/>
    <n v="3"/>
    <s v="Bosnia and Herzegovina 0.30, Kosovo 0.25, Albania 0.20, Serbia 0.15, North Macedonia 0.10"/>
    <s v="LOCAL_HERITAGE 0.38, HERITAGE_HERITAGE 0.57, LOCAL_LOCAL 0.04, HERITAGE_LOCAL 0.01"/>
    <s v="Football-relevant"/>
    <x v="0"/>
  </r>
  <r>
    <s v="UEFA"/>
    <s v="Belgium"/>
    <x v="4"/>
    <n v="2"/>
    <s v="Lebanon 0.35, Syria 0.25, Iraq 0.25, Palestine 0.15"/>
    <s v="LOCAL_HERITAGE 0.42, HERITAGE_HERITAGE 0.53, LOCAL_LOCAL 0.04, HERITAGE_LOCAL 0.01"/>
    <s v="Threshold but useful"/>
    <x v="0"/>
  </r>
  <r>
    <s v="UEFA"/>
    <s v="Netherlands"/>
    <x v="16"/>
    <n v="49"/>
    <s v="Netherlands 0.85, Belgium Dutch 0.08, Germany 0.07"/>
    <s v="LOCAL_LOCAL 0.95, DOUBLE_SURNAME_LOCAL_LOCAL 0.03, COMPOUND_GIVEN_LOCAL_LOCAL 0.02"/>
    <s v="Main local base"/>
    <x v="0"/>
  </r>
  <r>
    <s v="UEFA"/>
    <s v="Netherlands"/>
    <x v="1"/>
    <n v="12"/>
    <s v="Netherlands 0.82, Denmark 0.10, Germany 0.08"/>
    <s v="LOCAL_LOCAL 0.95, DOUBLE_SURNAME_LOCAL_LOCAL 0.03, COMPOUND_GIVEN_LOCAL_LOCAL 0.02"/>
    <s v="North-sea local variation"/>
    <x v="0"/>
  </r>
  <r>
    <s v="UEFA"/>
    <s v="Netherlands"/>
    <x v="13"/>
    <n v="10"/>
    <s v="Morocco 0.88, Algeria 0.07, Tunisia 0.05"/>
    <s v="LOCAL_HERITAGE 0.44, HERITAGE_HERITAGE 0.51, LOCAL_LOCAL 0.04, HERITAGE_LOCAL 0.01"/>
    <s v="One of the core Dutch football diaspora buckets"/>
    <x v="0"/>
  </r>
  <r>
    <s v="UEFA"/>
    <s v="Netherlands"/>
    <x v="12"/>
    <n v="14"/>
    <s v="Suriname 0.68, Curaçao 0.15, Aruba 0.10, Netherlands 0.07"/>
    <s v="LOCAL_HERITAGE 0.36, HERITAGE_HERITAGE 0.59, LOCAL_LOCAL 0.04, HERITAGE_LOCAL 0.01"/>
    <s v="Very football-relevant"/>
    <x v="0"/>
  </r>
  <r>
    <s v="UEFA"/>
    <s v="Netherlands"/>
    <x v="3"/>
    <n v="5"/>
    <s v="Turkey 0.84, Netherlands 0.16"/>
    <s v="LOCAL_HERITAGE 0.40, HERITAGE_HERITAGE 0.55, LOCAL_LOCAL 0.04, HERITAGE_LOCAL 0.01"/>
    <s v="Important secondary diaspora row"/>
    <x v="0"/>
  </r>
  <r>
    <s v="UEFA"/>
    <s v="Netherlands"/>
    <x v="8"/>
    <n v="3"/>
    <s v="Bosnia and Herzegovina 0.25, Kosovo 0.25, Serbia 0.20, Croatia 0.15, Albania 0.15"/>
    <s v="LOCAL_HERITAGE 0.38, HERITAGE_HERITAGE 0.57, LOCAL_LOCAL 0.04, HERITAGE_LOCAL 0.01"/>
    <s v="Small but useful"/>
    <x v="0"/>
  </r>
  <r>
    <s v="UEFA"/>
    <s v="Netherlands"/>
    <x v="10"/>
    <n v="3"/>
    <s v="Poland 0.30, Romania 0.25, Bulgaria 0.20, Ukraine 0.15, Lithuania 0.10"/>
    <s v="LOCAL_HERITAGE 0.40, HERITAGE_HERITAGE 0.55, LOCAL_LOCAL 0.04, HERITAGE_LOCAL 0.01"/>
    <s v="Secondary bucket"/>
    <x v="0"/>
  </r>
  <r>
    <s v="UEFA"/>
    <s v="Netherlands"/>
    <x v="15"/>
    <n v="2"/>
    <s v="Suriname Hindustani 0.65, India Gangetic 0.20, India South 0.10, Pakistan Punjabi 0.05"/>
    <s v="LOCAL_HERITAGE 0.38, HERITAGE_HERITAGE 0.57, LOCAL_LOCAL 0.04, HERITAGE_LOCAL 0.01"/>
    <s v="Gangetic-side naming family with Surinamese-Hindustani overlay"/>
    <x v="0"/>
  </r>
  <r>
    <s v="UEFA"/>
    <s v="Netherlands"/>
    <x v="2"/>
    <n v="2"/>
    <s v="Netherlands 1.00"/>
    <s v="LOCAL_LOCAL 0.95, DOUBLE_SURNAME_LOCAL_LOCAL 0.03, COMPOUND_GIVEN_LOCAL_LOCAL 0.02"/>
    <s v="Small accent only"/>
    <x v="0"/>
  </r>
  <r>
    <s v="UEFA"/>
    <s v="Germany"/>
    <x v="16"/>
    <n v="57"/>
    <s v="Germany 0.88, Austria 0.06, Swiss German 0.04, Netherlands 0.02"/>
    <s v="LOCAL_LOCAL 0.95, DOUBLE_SURNAME_LOCAL_LOCAL 0.03, COMPOUND_GIVEN_LOCAL_LOCAL 0.02"/>
    <s v="Main local base"/>
    <x v="0"/>
  </r>
  <r>
    <s v="UEFA"/>
    <s v="Germany"/>
    <x v="1"/>
    <n v="8"/>
    <s v="Germany 0.78, Netherlands 0.12, Denmark 0.10"/>
    <s v="LOCAL_LOCAL 0.95, DOUBLE_SURNAME_LOCAL_LOCAL 0.03, COMPOUND_GIVEN_LOCAL_LOCAL 0.02"/>
    <s v="Northern local variation"/>
    <x v="0"/>
  </r>
  <r>
    <s v="UEFA"/>
    <s v="Germany"/>
    <x v="10"/>
    <n v="7"/>
    <s v="Poland 0.32, Romania 0.20, Russia 0.18, Ukraine 0.15, Czech Republic 0.15"/>
    <s v="LOCAL_HERITAGE 0.42, HERITAGE_HERITAGE 0.53, LOCAL_LOCAL 0.04, HERITAGE_LOCAL 0.01"/>
    <s v="Important in German footballer pool"/>
    <x v="0"/>
  </r>
  <r>
    <s v="UEFA"/>
    <s v="Germany"/>
    <x v="8"/>
    <n v="6"/>
    <s v="Croatia 0.24, Bosnia and Herzegovina 0.22, Serbia 0.18, Kosovo 0.18, Albania 0.10, North Macedonia 0.08"/>
    <s v="LOCAL_HERITAGE 0.38, HERITAGE_HERITAGE 0.57, LOCAL_LOCAL 0.04, HERITAGE_LOCAL 0.01"/>
    <s v="Strong football relevance"/>
    <x v="0"/>
  </r>
  <r>
    <s v="UEFA"/>
    <s v="Germany"/>
    <x v="3"/>
    <n v="12"/>
    <s v="Turkey 0.86, Germany 0.14"/>
    <s v="LOCAL_HERITAGE 0.40, HERITAGE_HERITAGE 0.55, LOCAL_LOCAL 0.04, HERITAGE_LOCAL 0.01"/>
    <s v="One of the defining German diaspora buckets"/>
    <x v="0"/>
  </r>
  <r>
    <s v="UEFA"/>
    <s v="Germany"/>
    <x v="9"/>
    <n v="4"/>
    <s v="Ghana 0.30, Nigeria 0.25, Togo 0.20, Senegal 0.15, Ivory Coast 0.10"/>
    <s v="LOCAL_HERITAGE 0.38, HERITAGE_HERITAGE 0.57, LOCAL_LOCAL 0.04, HERITAGE_LOCAL 0.01"/>
    <s v="Football-relevant"/>
    <x v="0"/>
  </r>
  <r>
    <s v="UEFA"/>
    <s v="Germany"/>
    <x v="4"/>
    <n v="3"/>
    <s v="Syria 0.40, Iraq 0.30, Lebanon 0.20, Palestine 0.10"/>
    <s v="LOCAL_HERITAGE 0.42, HERITAGE_HERITAGE 0.53, LOCAL_LOCAL 0.04, HERITAGE_LOCAL 0.01"/>
    <s v="Visible and distinct from Anatolian"/>
    <x v="0"/>
  </r>
  <r>
    <s v="UEFA"/>
    <s v="Germany"/>
    <x v="13"/>
    <n v="2"/>
    <s v="Morocco 0.45, Algeria 0.30, Tunisia 0.25"/>
    <s v="LOCAL_HERITAGE 0.42, HERITAGE_HERITAGE 0.53, LOCAL_LOCAL 0.04, HERITAGE_LOCAL 0.01"/>
    <s v="Secondary but worth keeping"/>
    <x v="0"/>
  </r>
  <r>
    <s v="UEFA"/>
    <s v="Germany"/>
    <x v="2"/>
    <n v="1"/>
    <s v="Germany 1.00"/>
    <s v="LOCAL_LOCAL 0.95, DOUBLE_SURNAME_LOCAL_LOCAL 0.03, COMPOUND_GIVEN_LOCAL_LOCAL 0.02"/>
    <s v="Small accent only"/>
    <x v="0"/>
  </r>
  <r>
    <s v="UEFA"/>
    <s v="Austria"/>
    <x v="16"/>
    <n v="72"/>
    <s v="Austria 0.76, Germany 0.16, Swiss German 0.08"/>
    <s v="LOCAL_LOCAL 0.95, DOUBLE_SURNAME_LOCAL_LOCAL 0.03, COMPOUND_GIVEN_LOCAL_LOCAL 0.02"/>
    <s v="Main local base"/>
    <x v="0"/>
  </r>
  <r>
    <s v="UEFA"/>
    <s v="Austria"/>
    <x v="10"/>
    <n v="10"/>
    <s v="Hungary 0.24, Slovakia 0.18, Czech Republic 0.16, Poland 0.14, Romania 0.14, Serbia 0.14"/>
    <s v="LOCAL_HERITAGE 0.44, HERITAGE_HERITAGE 0.51, LOCAL_LOCAL 0.04, HERITAGE_LOCAL 0.01"/>
    <s v="Strong neighboring pressure"/>
    <x v="0"/>
  </r>
  <r>
    <s v="UEFA"/>
    <s v="Austria"/>
    <x v="8"/>
    <n v="8"/>
    <s v="Bosnia and Herzegovina 0.28, Serbia 0.20, Croatia 0.18, Kosovo 0.14, Albania 0.10, North Macedonia 0.10"/>
    <s v="LOCAL_HERITAGE 0.40, HERITAGE_HERITAGE 0.55, LOCAL_LOCAL 0.04, HERITAGE_LOCAL 0.01"/>
    <s v="Strong football relevance"/>
    <x v="0"/>
  </r>
  <r>
    <s v="UEFA"/>
    <s v="Austria"/>
    <x v="3"/>
    <n v="5"/>
    <s v="Turkey 0.82, Austria 0.18"/>
    <s v="LOCAL_HERITAGE 0.40, HERITAGE_HERITAGE 0.55, LOCAL_LOCAL 0.04, HERITAGE_LOCAL 0.01"/>
    <s v="Main non-Balkan diaspora bucket"/>
    <x v="0"/>
  </r>
  <r>
    <s v="UEFA"/>
    <s v="Austria"/>
    <x v="9"/>
    <n v="2"/>
    <s v="Nigeria 0.30, Ghana 0.25, Senegal 0.20, Ivory Coast 0.15, Mali 0.10"/>
    <s v="LOCAL_HERITAGE 0.38, HERITAGE_HERITAGE 0.57, LOCAL_LOCAL 0.04, HERITAGE_LOCAL 0.01"/>
    <s v="Small but useful"/>
    <x v="0"/>
  </r>
  <r>
    <s v="UEFA"/>
    <s v="Austria"/>
    <x v="4"/>
    <n v="3"/>
    <s v="Syria 0.40, Iraq 0.30, Lebanon 0.20, Palestine 0.10"/>
    <s v="LOCAL_HERITAGE 0.42, HERITAGE_HERITAGE 0.53, LOCAL_LOCAL 0.04, HERITAGE_LOCAL 0.01"/>
    <s v="Worth keeping"/>
    <x v="0"/>
  </r>
  <r>
    <s v="UEFA"/>
    <s v="Switzerland"/>
    <x v="16"/>
    <n v="53"/>
    <s v="Swiss German 0.54, Swiss French 0.21, Germany 0.12, France 0.08, Austria 0.05"/>
    <s v="LOCAL_LOCAL 0.95, DOUBLE_SURNAME_LOCAL_LOCAL 0.03, COMPOUND_GIVEN_LOCAL_LOCAL 0.02"/>
    <s v="Main local base"/>
    <x v="0"/>
  </r>
  <r>
    <s v="UEFA"/>
    <s v="Switzerland"/>
    <x v="17"/>
    <n v="10"/>
    <s v="Swiss Italian 0.72, Italy 0.28"/>
    <s v="LOCAL_LOCAL 0.95, DOUBLE_SURNAME_LOCAL_LOCAL 0.03, COMPOUND_GIVEN_LOCAL_LOCAL 0.02"/>
    <s v="Swiss Italian / south-alpine local read"/>
    <x v="0"/>
  </r>
  <r>
    <s v="UEFA"/>
    <s v="Switzerland"/>
    <x v="8"/>
    <n v="15"/>
    <s v="Kosovo 0.28, Albania 0.23, Bosnia and Herzegovina 0.17, Serbia 0.12, Croatia 0.10, North Macedonia 0.10"/>
    <s v="LOCAL_HERITAGE 0.38, HERITAGE_HERITAGE 0.57, LOCAL_LOCAL 0.04, HERITAGE_LOCAL 0.01"/>
    <s v="One of the defining Swiss football buckets"/>
    <x v="0"/>
  </r>
  <r>
    <s v="UEFA"/>
    <s v="Switzerland"/>
    <x v="3"/>
    <n v="7"/>
    <s v="Turkey 0.82, Swiss German 0.18"/>
    <s v="LOCAL_HERITAGE 0.40, HERITAGE_HERITAGE 0.55, LOCAL_LOCAL 0.04, HERITAGE_LOCAL 0.01"/>
    <s v="Visible but secondary"/>
    <x v="0"/>
  </r>
  <r>
    <s v="UEFA"/>
    <s v="Switzerland"/>
    <x v="9"/>
    <n v="5"/>
    <s v="Cape Verde 0.28, Senegal 0.22, Ghana 0.18, Nigeria 0.18, Ivory Coast 0.14"/>
    <s v="LOCAL_HERITAGE 0.38, HERITAGE_HERITAGE 0.57, LOCAL_LOCAL 0.04, HERITAGE_LOCAL 0.01"/>
    <s v="Useful football bucket"/>
    <x v="0"/>
  </r>
  <r>
    <s v="UEFA"/>
    <s v="Switzerland"/>
    <x v="13"/>
    <n v="5"/>
    <s v="Morocco 0.45, Tunisia 0.30, Algeria 0.25"/>
    <s v="LOCAL_HERITAGE 0.42, HERITAGE_HERITAGE 0.53, LOCAL_LOCAL 0.04, HERITAGE_LOCAL 0.01"/>
    <s v="Secondary but worthwhile"/>
    <x v="0"/>
  </r>
  <r>
    <s v="UEFA"/>
    <s v="Switzerland"/>
    <x v="10"/>
    <n v="5"/>
    <s v="Romania 0.25, Hungary 0.20, Poland 0.20, Ukraine 0.20, Czech Republic 0.15"/>
    <s v="LOCAL_HERITAGE 0.42, HERITAGE_HERITAGE 0.53, LOCAL_LOCAL 0.04, HERITAGE_LOCAL 0.01"/>
    <s v="Small but useful"/>
    <x v="0"/>
  </r>
  <r>
    <s v="UEFA"/>
    <s v="Spain"/>
    <x v="19"/>
    <n v="69"/>
    <s v="Spain 1.00"/>
    <s v="LOCAL_LOCAL 0.95, DOUBLE_SURNAME_LOCAL_LOCAL 0.03, COMPOUND_GIVEN_LOCAL_LOCAL 0.02"/>
    <s v="Main local pool"/>
    <x v="0"/>
  </r>
  <r>
    <s v="UEFA"/>
    <s v="Spain"/>
    <x v="17"/>
    <n v="5"/>
    <s v="Spain 0.85, Italy 0.15"/>
    <s v="LOCAL_LOCAL 0.95, DOUBLE_SURNAME_LOCAL_LOCAL 0.03, COMPOUND_GIVEN_LOCAL_LOCAL 0.02"/>
    <s v="Mediterranean local overlap"/>
    <x v="0"/>
  </r>
  <r>
    <s v="UEFA"/>
    <s v="Spain"/>
    <x v="13"/>
    <n v="10"/>
    <s v="Morocco 0.78, Algeria 0.12, Tunisia 0.10"/>
    <s v="LOCAL_HERITAGE 0.42, HERITAGE_HERITAGE 0.53, LOCAL_LOCAL 0.04, HERITAGE_LOCAL 0.01"/>
    <s v="Core Spanish diaspora football bucket"/>
    <x v="0"/>
  </r>
  <r>
    <s v="UEFA"/>
    <s v="Spain"/>
    <x v="20"/>
    <n v="4"/>
    <s v="Colombia 0.30, Venezuela 0.30, Ecuador 0.20, Dominican Republic 0.20"/>
    <s v="LOCAL_HERITAGE 0.42, HERITAGE_HERITAGE 0.53, LOCAL_LOCAL 0.04, HERITAGE_LOCAL 0.01"/>
    <s v="Better than flattening into EuroIberian"/>
    <x v="0"/>
  </r>
  <r>
    <s v="UEFA"/>
    <s v="Spain"/>
    <x v="21"/>
    <n v="3"/>
    <s v="Ecuador 0.45, Peru 0.30, Bolivia 0.15, Colombia 0.10"/>
    <s v="LOCAL_HERITAGE 0.42, HERITAGE_HERITAGE 0.53, LOCAL_LOCAL 0.04, HERITAGE_LOCAL 0.01"/>
    <s v="Distinct from SouthAmericaNorth"/>
    <x v="0"/>
  </r>
  <r>
    <s v="UEFA"/>
    <s v="Spain"/>
    <x v="22"/>
    <n v="2"/>
    <s v="Honduras 0.35, Mexico 0.20, Nicaragua 0.20, El Salvador 0.15, Dominican Republic 0.10"/>
    <s v="LOCAL_HERITAGE 0.42, HERITAGE_HERITAGE 0.53, LOCAL_LOCAL 0.04, HERITAGE_LOCAL 0.01"/>
    <s v="Keep separate from Andean"/>
    <x v="0"/>
  </r>
  <r>
    <s v="UEFA"/>
    <s v="Spain"/>
    <x v="9"/>
    <n v="4"/>
    <s v="Senegal 0.30, Mali 0.20, Nigeria 0.20, Guinea-Bissau 0.15, Gambia 0.15"/>
    <s v="LOCAL_HERITAGE 0.38, HERITAGE_HERITAGE 0.57, LOCAL_LOCAL 0.04, HERITAGE_LOCAL 0.01"/>
    <s v="Smaller than France/Portugal but relevant"/>
    <x v="0"/>
  </r>
  <r>
    <s v="UEFA"/>
    <s v="Spain"/>
    <x v="12"/>
    <n v="3"/>
    <s v="Dominican Republic 0.50, Cuba 0.25, Puerto Rico 0.25"/>
    <s v="LOCAL_HERITAGE 0.40, HERITAGE_HERITAGE 0.55, LOCAL_LOCAL 0.04, HERITAGE_LOCAL 0.01"/>
    <s v="Small but useful separate Caribbean stream"/>
    <x v="0"/>
  </r>
  <r>
    <s v="UEFA"/>
    <s v="Portugal"/>
    <x v="19"/>
    <n v="64"/>
    <s v="Portugal 1.00"/>
    <s v="LOCAL_LOCAL 0.95, DOUBLE_SURNAME_LOCAL_LOCAL 0.03, COMPOUND_GIVEN_LOCAL_LOCAL 0.02"/>
    <s v="Main local pool"/>
    <x v="0"/>
  </r>
  <r>
    <s v="UEFA"/>
    <s v="Portugal"/>
    <x v="9"/>
    <n v="16"/>
    <s v="Angola 0.30, Guinea-Bissau 0.20, Cape Verde 0.20, Senegal 0.15, Mali 0.15"/>
    <s v="LOCAL_HERITAGE 0.36, HERITAGE_HERITAGE 0.59, LOCAL_LOCAL 0.04, HERITAGE_LOCAL 0.01"/>
    <s v="Major Lusophone/Atlantic African football stream"/>
    <x v="0"/>
  </r>
  <r>
    <s v="UEFA"/>
    <s v="Portugal"/>
    <x v="23"/>
    <n v="4"/>
    <s v="Mozambique 0.27, Portugal 0.10, Cape Verde 0.05"/>
    <s v="LOCAL_HERITAGE 0.36, HERITAGE_HERITAGE 0.59, LOCAL_LOCAL 0.04, HERITAGE_LOCAL 0.01"/>
    <s v="Distinct from West African row"/>
    <x v="0"/>
  </r>
  <r>
    <s v="UEFA"/>
    <s v="Portugal"/>
    <x v="12"/>
    <n v="4"/>
    <s v="Cape Verde 0.70, São Tomé and Príncipe 0.20, Portugal 0.10"/>
    <s v="LOCAL_HERITAGE 0.36, HERITAGE_HERITAGE 0.59, LOCAL_LOCAL 0.04, HERITAGE_LOCAL 0.01"/>
    <s v="Operational proxy for Atlantic creole stream"/>
    <x v="0"/>
  </r>
  <r>
    <s v="UEFA"/>
    <s v="Portugal"/>
    <x v="24"/>
    <n v="6"/>
    <s v="Brazil 0.90, Portugal 0.10"/>
    <s v="LOCAL_HERITAGE 0.40, HERITAGE_HERITAGE 0.55, LOCAL_LOCAL 0.04, HERITAGE_LOCAL 0.01"/>
    <s v="Football-relevant Brazilian-rooted row"/>
    <x v="0"/>
  </r>
  <r>
    <s v="UEFA"/>
    <s v="Portugal"/>
    <x v="13"/>
    <n v="3"/>
    <s v="Morocco 0.70, Algeria 0.20, Tunisia 0.10"/>
    <s v="LOCAL_HERITAGE 0.42, HERITAGE_HERITAGE 0.53, LOCAL_LOCAL 0.04, HERITAGE_LOCAL 0.01"/>
    <s v="Secondary compared with Lusophone Africa"/>
    <x v="0"/>
  </r>
  <r>
    <s v="UEFA"/>
    <s v="Portugal"/>
    <x v="20"/>
    <n v="3"/>
    <s v="Venezuela 0.40, Colombia 0.25, Brazil 0.20, Argentina 0.15"/>
    <s v="LOCAL_HERITAGE 0.42, HERITAGE_HERITAGE 0.53, LOCAL_LOCAL 0.04, HERITAGE_LOCAL 0.01"/>
    <s v="Small but useful Ibero-American spill"/>
    <x v="0"/>
  </r>
  <r>
    <s v="UEFA"/>
    <s v="Italy"/>
    <x v="17"/>
    <n v="68"/>
    <s v="Italy 0.88, San Marino Local 0.02, Swiss Italian 0.04, Slovenia 0.03, Croatia 0.03"/>
    <s v="LOCAL_LOCAL 0.95, DOUBLE_SURNAME_LOCAL_LOCAL 0.03, COMPOUND_GIVEN_LOCAL_LOCAL 0.02"/>
    <s v="Main local pool"/>
    <x v="0"/>
  </r>
  <r>
    <s v="UEFA"/>
    <s v="Italy"/>
    <x v="16"/>
    <n v="7"/>
    <s v="Italy 0.72, Austria 0.13, Swiss German 0.10, Germany 0.05"/>
    <s v="LOCAL_LOCAL 0.95, DOUBLE_SURNAME_LOCAL_LOCAL 0.03, COMPOUND_GIVEN_LOCAL_LOCAL 0.02"/>
    <s v="Northern/alpine overlap"/>
    <x v="0"/>
  </r>
  <r>
    <s v="UEFA"/>
    <s v="Italy"/>
    <x v="13"/>
    <n v="8"/>
    <s v="Morocco 0.55, Tunisia 0.25, Algeria 0.15, Libya 0.05"/>
    <s v="LOCAL_HERITAGE 0.42, HERITAGE_HERITAGE 0.53, LOCAL_LOCAL 0.04, HERITAGE_LOCAL 0.01"/>
    <s v="Main non-local diaspora football bucket"/>
    <x v="0"/>
  </r>
  <r>
    <s v="UEFA"/>
    <s v="Italy"/>
    <x v="8"/>
    <n v="6"/>
    <s v="Albania 0.28, Croatia 0.20, Serbia 0.16, Bosnia and Herzegovina 0.14, Kosovo 0.12, North Macedonia 0.10"/>
    <s v="LOCAL_HERITAGE 0.40, HERITAGE_HERITAGE 0.55, LOCAL_LOCAL 0.04, HERITAGE_LOCAL 0.01"/>
    <s v="Important Adriatic/Balkan row"/>
    <x v="0"/>
  </r>
  <r>
    <s v="UEFA"/>
    <s v="Italy"/>
    <x v="9"/>
    <n v="4"/>
    <s v="Senegal 0.28, Nigeria 0.24, Ghana 0.18, Ivory Coast 0.15, Mali 0.15"/>
    <s v="LOCAL_HERITAGE 0.38, HERITAGE_HERITAGE 0.57, LOCAL_LOCAL 0.04, HERITAGE_LOCAL 0.01"/>
    <s v="Visible but secondary to Maghreb"/>
    <x v="0"/>
  </r>
  <r>
    <s v="UEFA"/>
    <s v="Italy"/>
    <x v="4"/>
    <n v="2"/>
    <s v="Lebanon 0.35, Syria 0.30, Palestine 0.20, Iraq 0.15"/>
    <s v="LOCAL_HERITAGE 0.42, HERITAGE_HERITAGE 0.53, LOCAL_LOCAL 0.04, HERITAGE_LOCAL 0.01"/>
    <s v="Small but worthwhile"/>
    <x v="0"/>
  </r>
  <r>
    <s v="UEFA"/>
    <s v="Italy"/>
    <x v="3"/>
    <n v="2"/>
    <s v="Turkey 0.85, Italy 0.15"/>
    <s v="LOCAL_HERITAGE 0.40, HERITAGE_HERITAGE 0.55, LOCAL_LOCAL 0.04, HERITAGE_LOCAL 0.01"/>
    <s v="Small but distinct from Levant"/>
    <x v="0"/>
  </r>
  <r>
    <s v="UEFA"/>
    <s v="Italy"/>
    <x v="20"/>
    <n v="3"/>
    <s v="Argentina 0.40, Brazil 0.25, Uruguay 0.20, Venezuela 0.15"/>
    <s v="LOCAL_HERITAGE 0.42, HERITAGE_HERITAGE 0.53, LOCAL_LOCAL 0.04, HERITAGE_LOCAL 0.01"/>
    <s v="Useful football-relevant Italo-Latin spill"/>
    <x v="0"/>
  </r>
  <r>
    <s v="UEFA"/>
    <s v="Poland"/>
    <x v="10"/>
    <n v="86"/>
    <s v="Poland 0.97, Czech Republic 0.03"/>
    <s v="LOCAL_LOCAL 0.95, DOUBLE_SURNAME_LOCAL_LOCAL 0.03, COMPOUND_GIVEN_LOCAL_LOCAL 0.02"/>
    <s v="Main local pool"/>
    <x v="0"/>
  </r>
  <r>
    <s v="UEFA"/>
    <s v="Poland"/>
    <x v="16"/>
    <n v="5"/>
    <s v="Poland 0.72, Germany 0.18, Czech Republic 0.10"/>
    <s v="LOCAL_HERITAGE 0.52, HERITAGE_HERITAGE 0.38, LOCAL_LOCAL 0.08, HERITAGE_LOCAL 0.02"/>
    <s v="Useful western variance"/>
    <x v="0"/>
  </r>
  <r>
    <s v="UEFA"/>
    <s v="Poland"/>
    <x v="1"/>
    <n v="4"/>
    <s v="Poland 0.75, Lithuania 0.15, Sweden 0.10"/>
    <s v="LOCAL_LOCAL 0.95, DOUBLE_SURNAME_LOCAL_LOCAL 0.03, COMPOUND_GIVEN_LOCAL_LOCAL 0.02"/>
    <s v="Lighter-feature local variation"/>
    <x v="0"/>
  </r>
  <r>
    <s v="UEFA"/>
    <s v="Poland"/>
    <x v="8"/>
    <n v="2"/>
    <s v="Croatia 0.30, Serbia 0.25, Bosnia and Herzegovina 0.20, Romania 0.15, Hungary 0.10"/>
    <s v="LOCAL_HERITAGE 0.44, HERITAGE_HERITAGE 0.51, LOCAL_LOCAL 0.04, HERITAGE_LOCAL 0.01"/>
    <s v="Small but useful football adjacency"/>
    <x v="0"/>
  </r>
  <r>
    <s v="UEFA"/>
    <s v="Poland"/>
    <x v="9"/>
    <n v="3"/>
    <s v="Nigeria 0.35, Ghana 0.25, Senegal 0.20, Ivory Coast 0.20"/>
    <s v="LOCAL_HERITAGE 0.38, HERITAGE_HERITAGE 0.57, LOCAL_LOCAL 0.04, HERITAGE_LOCAL 0.01"/>
    <s v="Small but worthwhile"/>
    <x v="0"/>
  </r>
  <r>
    <s v="UEFA"/>
    <s v="Czech Republic"/>
    <x v="16"/>
    <n v="65"/>
    <s v="Czech Republic 0.85, Slovakia 0.10, Germany 0.03, Austria 0.02"/>
    <s v="LOCAL_LOCAL 0.95, DOUBLE_SURNAME_LOCAL_LOCAL 0.03, COMPOUND_GIVEN_LOCAL_LOCAL 0.02"/>
    <s v="Main local pool"/>
    <x v="0"/>
  </r>
  <r>
    <s v="UEFA"/>
    <s v="Czech Republic"/>
    <x v="10"/>
    <n v="20"/>
    <s v="Czech Republic 0.56, Slovakia 0.20, Poland 0.14, Ukraine 0.10"/>
    <s v="LOCAL_LOCAL 0.90, DOUBLE_SURNAME_LOCAL_LOCAL 0.05, COMPOUND_GIVEN_LOCAL_LOCAL 0.05"/>
    <s v="Important adjacent local read"/>
    <x v="0"/>
  </r>
  <r>
    <s v="UEFA"/>
    <s v="Czech Republic"/>
    <x v="1"/>
    <n v="4"/>
    <s v="Czech Republic 0.70, Germany 0.15, Poland 0.15"/>
    <s v="LOCAL_LOCAL 0.95, DOUBLE_SURNAME_LOCAL_LOCAL 0.03, COMPOUND_GIVEN_LOCAL_LOCAL 0.02"/>
    <s v="Lighter-feature local variation"/>
    <x v="0"/>
  </r>
  <r>
    <s v="UEFA"/>
    <s v="Czech Republic"/>
    <x v="8"/>
    <n v="4"/>
    <s v="Slovakia 0.25, Serbia 0.25, Croatia 0.20, Bosnia and Herzegovina 0.15, Romania 0.15"/>
    <s v="LOCAL_HERITAGE 0.44, HERITAGE_HERITAGE 0.51, LOCAL_LOCAL 0.04, HERITAGE_LOCAL 0.01"/>
    <s v="Small but useful"/>
    <x v="0"/>
  </r>
  <r>
    <s v="UEFA"/>
    <s v="Czech Republic"/>
    <x v="25"/>
    <n v="3"/>
    <s v="Vietnam 0.90, Czech Republic 0.10"/>
    <s v="LOCAL_HERITAGE 0.42, HERITAGE_HERITAGE 0.53, LOCAL_LOCAL 0.04, HERITAGE_LOCAL 0.01"/>
    <s v="Worth including; strong enough and distinct enough"/>
    <x v="0"/>
  </r>
  <r>
    <s v="UEFA"/>
    <s v="Czech Republic"/>
    <x v="16"/>
    <n v="4"/>
    <s v="Slovakia 0.55, Czech Republic 0.45"/>
    <s v="LOCAL_HERITAGE 0.50, HERITAGE_HERITAGE 0.40, LOCAL_LOCAL 0.08, HERITAGE_LOCAL 0.02"/>
    <s v="Slovak/Czech mixed local variant"/>
    <x v="0"/>
  </r>
  <r>
    <s v="UEFA"/>
    <s v="Slovakia"/>
    <x v="10"/>
    <n v="58"/>
    <s v="Slovakia 0.79, Czech Republic 0.10, Hungary 0.06, Poland 0.05"/>
    <s v="LOCAL_LOCAL 0.95, DOUBLE_SURNAME_LOCAL_LOCAL 0.03, COMPOUND_GIVEN_LOCAL_LOCAL 0.02"/>
    <s v="Main local pool"/>
    <x v="0"/>
  </r>
  <r>
    <s v="UEFA"/>
    <s v="Slovakia"/>
    <x v="16"/>
    <n v="23"/>
    <s v="Slovakia 0.56, Czech Republic 0.20, Austria 0.14, Hungary 0.10"/>
    <s v="LOCAL_LOCAL 0.90, DOUBLE_SURNAME_LOCAL_LOCAL 0.05, COMPOUND_GIVEN_LOCAL_LOCAL 0.05"/>
    <s v="Important secondary local read"/>
    <x v="0"/>
  </r>
  <r>
    <s v="UEFA"/>
    <s v="Slovakia"/>
    <x v="8"/>
    <n v="8"/>
    <s v="Hungary 0.25, Serbia 0.20, Croatia 0.20, Bosnia and Herzegovina 0.20, Romania 0.15"/>
    <s v="LOCAL_HERITAGE 0.44, HERITAGE_HERITAGE 0.51, LOCAL_LOCAL 0.04, HERITAGE_LOCAL 0.01"/>
    <s v="More relevant than in Czechia"/>
    <x v="0"/>
  </r>
  <r>
    <s v="UEFA"/>
    <s v="Slovakia"/>
    <x v="1"/>
    <n v="5"/>
    <s v="Slovakia 0.70, Poland 0.20, Czech Republic 0.10"/>
    <s v="LOCAL_LOCAL 0.95, DOUBLE_SURNAME_LOCAL_LOCAL 0.03, COMPOUND_GIVEN_LOCAL_LOCAL 0.02"/>
    <s v="Lighter-feature spread"/>
    <x v="0"/>
  </r>
  <r>
    <s v="UEFA"/>
    <s v="Slovakia"/>
    <x v="9"/>
    <n v="3"/>
    <s v="Nigeria 0.35, Ghana 0.25, Senegal 0.20, Mali 0.20"/>
    <s v="LOCAL_HERITAGE 0.38, HERITAGE_HERITAGE 0.57, LOCAL_LOCAL 0.04, HERITAGE_LOCAL 0.01"/>
    <s v="Small football bucket"/>
    <x v="0"/>
  </r>
  <r>
    <s v="UEFA"/>
    <s v="Slovakia"/>
    <x v="3"/>
    <n v="3"/>
    <s v="Turkey 0.85, Slovakia 0.15"/>
    <s v="LOCAL_HERITAGE 0.40, HERITAGE_HERITAGE 0.55, LOCAL_LOCAL 0.04, HERITAGE_LOCAL 0.01"/>
    <s v="Small but distinct"/>
    <x v="0"/>
  </r>
  <r>
    <s v="UEFA"/>
    <s v="Hungary"/>
    <x v="10"/>
    <n v="66"/>
    <s v="Hungary 0.87, Romania 0.05, Slovakia 0.04, Serbia 0.04"/>
    <s v="LOCAL_LOCAL 0.95, DOUBLE_SURNAME_LOCAL_LOCAL 0.03, COMPOUND_GIVEN_LOCAL_LOCAL 0.02"/>
    <s v="Main local pool under your system"/>
    <x v="0"/>
  </r>
  <r>
    <s v="UEFA"/>
    <s v="Hungary"/>
    <x v="16"/>
    <n v="14"/>
    <s v="Hungary 0.56, Austria 0.20, Slovakia 0.14, Czech Republic 0.10"/>
    <s v="LOCAL_LOCAL 0.90, DOUBLE_SURNAME_LOCAL_LOCAL 0.05, COMPOUND_GIVEN_LOCAL_LOCAL 0.05"/>
    <s v="Needed to avoid flattening"/>
    <x v="0"/>
  </r>
  <r>
    <s v="UEFA"/>
    <s v="Hungary"/>
    <x v="8"/>
    <n v="10"/>
    <s v="Serbia 0.30, Croatia 0.20, Bosnia and Herzegovina 0.20, Romania 0.15, North Macedonia 0.15"/>
    <s v="LOCAL_HERITAGE 0.44, HERITAGE_HERITAGE 0.51, LOCAL_LOCAL 0.04, HERITAGE_LOCAL 0.01"/>
    <s v="Important football adjacency"/>
    <x v="0"/>
  </r>
  <r>
    <s v="UEFA"/>
    <s v="Hungary"/>
    <x v="3"/>
    <n v="4"/>
    <s v="Turkey 0.75, Hungary 0.25"/>
    <s v="LOCAL_HERITAGE 0.40, HERITAGE_HERITAGE 0.55, LOCAL_LOCAL 0.04, HERITAGE_LOCAL 0.01"/>
    <s v="Small but useful"/>
    <x v="0"/>
  </r>
  <r>
    <s v="UEFA"/>
    <s v="Hungary"/>
    <x v="4"/>
    <n v="2"/>
    <s v="Syria 0.35, Iraq 0.30, Lebanon 0.20, Palestine 0.15"/>
    <s v="LOCAL_HERITAGE 0.42, HERITAGE_HERITAGE 0.53, LOCAL_LOCAL 0.04, HERITAGE_LOCAL 0.01"/>
    <s v="Threshold but useful"/>
    <x v="0"/>
  </r>
  <r>
    <s v="UEFA"/>
    <s v="Hungary"/>
    <x v="9"/>
    <n v="2"/>
    <s v="Nigeria 0.35, Ghana 0.25, Senegal 0.20, Ivory Coast 0.20"/>
    <s v="LOCAL_HERITAGE 0.38, HERITAGE_HERITAGE 0.57, LOCAL_LOCAL 0.04, HERITAGE_LOCAL 0.01"/>
    <s v="Small football bucket"/>
    <x v="0"/>
  </r>
  <r>
    <s v="UEFA"/>
    <s v="Hungary"/>
    <x v="26"/>
    <n v="2"/>
    <s v="Armenia 0.45, Georgia 0.30, Azerbaijan 0.25"/>
    <s v="LOCAL_HERITAGE 0.44, HERITAGE_HERITAGE 0.51, LOCAL_LOCAL 0.04, HERITAGE_LOCAL 0.01"/>
    <s v="Small bridge/refinement bucket"/>
    <x v="0"/>
  </r>
  <r>
    <s v="UEFA"/>
    <s v="Romania"/>
    <x v="10"/>
    <n v="70"/>
    <s v="Romania 0.89, Moldova 0.06, Serbia 0.03, Hungary 0.02"/>
    <s v="LOCAL_LOCAL 0.95, DOUBLE_SURNAME_LOCAL_LOCAL 0.03, COMPOUND_GIVEN_LOCAL_LOCAL 0.02"/>
    <s v="Main local pool"/>
    <x v="0"/>
  </r>
  <r>
    <s v="UEFA"/>
    <s v="Romania"/>
    <x v="8"/>
    <n v="10"/>
    <s v="Serbia 0.25, Bulgaria 0.25, Albania 0.15, North Macedonia 0.15, Croatia 0.10, Bosnia and Herzegovina 0.10"/>
    <s v="LOCAL_HERITAGE 0.44, HERITAGE_HERITAGE 0.51, LOCAL_LOCAL 0.04, HERITAGE_LOCAL 0.01"/>
    <s v="Stronger here than in Poland/Czechia"/>
    <x v="0"/>
  </r>
  <r>
    <s v="UEFA"/>
    <s v="Romania"/>
    <x v="16"/>
    <n v="6"/>
    <s v="Hungary 0.45, Romania 0.35, Austria 0.10, Slovakia 0.10"/>
    <s v="LOCAL_HERITAGE 0.50, HERITAGE_HERITAGE 0.40, LOCAL_LOCAL 0.08, HERITAGE_LOCAL 0.02"/>
    <s v="Important bridge zone"/>
    <x v="0"/>
  </r>
  <r>
    <s v="UEFA"/>
    <s v="Romania"/>
    <x v="3"/>
    <n v="3"/>
    <s v="Turkey 0.70, Romania 0.30"/>
    <s v="LOCAL_HERITAGE 0.40, HERITAGE_HERITAGE 0.55, LOCAL_LOCAL 0.04, HERITAGE_LOCAL 0.01"/>
    <s v="Small but worth preserving"/>
    <x v="0"/>
  </r>
  <r>
    <s v="UEFA"/>
    <s v="Romania"/>
    <x v="4"/>
    <n v="2"/>
    <s v="Syria 0.35, Lebanon 0.25, Iraq 0.25, Palestine 0.15"/>
    <s v="LOCAL_HERITAGE 0.42, HERITAGE_HERITAGE 0.53, LOCAL_LOCAL 0.04, HERITAGE_LOCAL 0.01"/>
    <s v="Threshold bucket"/>
    <x v="0"/>
  </r>
  <r>
    <s v="UEFA"/>
    <s v="Romania"/>
    <x v="26"/>
    <n v="3"/>
    <s v="Armenia 0.45, Georgia 0.35, Azerbaijan 0.20"/>
    <s v="LOCAL_HERITAGE 0.44, HERITAGE_HERITAGE 0.51, LOCAL_LOCAL 0.04, HERITAGE_LOCAL 0.01"/>
    <s v="Worth keeping as bridge bucket"/>
    <x v="0"/>
  </r>
  <r>
    <s v="UEFA"/>
    <s v="Romania"/>
    <x v="9"/>
    <n v="2"/>
    <s v="Nigeria 0.35, Ghana 0.25, Senegal 0.20, Ivory Coast 0.20"/>
    <s v="LOCAL_HERITAGE 0.38, HERITAGE_HERITAGE 0.57, LOCAL_LOCAL 0.04, HERITAGE_LOCAL 0.01"/>
    <s v="Small football bucket"/>
    <x v="0"/>
  </r>
  <r>
    <s v="UEFA"/>
    <s v="Romania"/>
    <x v="1"/>
    <n v="4"/>
    <s v="Romania 0.70, Moldova 0.20, Ukraine 0.10"/>
    <s v="LOCAL_LOCAL 0.95, DOUBLE_SURNAME_LOCAL_LOCAL 0.03, COMPOUND_GIVEN_LOCAL_LOCAL 0.02"/>
    <s v="Small lighter-feature local variation"/>
    <x v="0"/>
  </r>
  <r>
    <s v="UEFA"/>
    <s v="Slovenia"/>
    <x v="16"/>
    <n v="48"/>
    <s v="Slovenia 0.78, Croatia 0.10, Austria 0.07, Italy 0.05"/>
    <s v="LOCAL_LOCAL 0.95, DOUBLE_SURNAME_LOCAL_LOCAL 0.03, COMPOUND_GIVEN_LOCAL_LOCAL 0.02"/>
    <s v="Main local alpine-central pool"/>
    <x v="0"/>
  </r>
  <r>
    <s v="UEFA"/>
    <s v="Slovenia"/>
    <x v="8"/>
    <n v="34"/>
    <s v="Slovenia 0.58, Croatia 0.20, Serbia 0.10, Bosnia and Herzegovina 0.07, Italy 0.05"/>
    <s v="LOCAL_LOCAL 0.92, DOUBLE_SURNAME_LOCAL_LOCAL 0.05, COMPOUND_GIVEN_LOCAL_LOCAL 0.03"/>
    <s v="Main south-slavic adjacency bucket"/>
    <x v="0"/>
  </r>
  <r>
    <s v="UEFA"/>
    <s v="Slovenia"/>
    <x v="17"/>
    <n v="8"/>
    <s v="Italy 0.45, Slovenia 0.40, Croatia 0.15"/>
    <s v="LOCAL_HERITAGE 0.50, HERITAGE_HERITAGE 0.40, LOCAL_LOCAL 0.08, HERITAGE_LOCAL 0.02"/>
    <s v="Useful Adriatic/coastal spread"/>
    <x v="0"/>
  </r>
  <r>
    <s v="UEFA"/>
    <s v="Slovenia"/>
    <x v="10"/>
    <n v="4"/>
    <s v="Croatia 0.35, Hungary 0.25, Slovakia 0.20, Slovenia 0.20"/>
    <s v="LOCAL_HERITAGE 0.48, HERITAGE_HERITAGE 0.45, LOCAL_LOCAL 0.05, HERITAGE_LOCAL 0.02"/>
    <s v="Small inland variance"/>
    <x v="0"/>
  </r>
  <r>
    <s v="UEFA"/>
    <s v="Slovenia"/>
    <x v="9"/>
    <n v="2"/>
    <s v="Nigeria 0.35, Ghana 0.25, Senegal 0.20, Ivory Coast 0.20"/>
    <s v="LOCAL_HERITAGE 0.38, HERITAGE_HERITAGE 0.57, LOCAL_LOCAL 0.04, HERITAGE_LOCAL 0.01"/>
    <s v="Small football bucket"/>
    <x v="0"/>
  </r>
  <r>
    <s v="UEFA"/>
    <s v="Slovenia"/>
    <x v="8"/>
    <n v="2"/>
    <s v="Bosnia and Herzegovina 0.35, Serbia 0.25, Croatia 0.20, Kosovo 0.20"/>
    <s v="LOCAL_HERITAGE 0.40, HERITAGE_HERITAGE 0.55, LOCAL_LOCAL 0.04, HERITAGE_LOCAL 0.01"/>
    <s v="Optional diaspora-style Balkan row if you want more modern football spread"/>
    <x v="0"/>
  </r>
  <r>
    <s v="UEFA"/>
    <s v="Slovenia"/>
    <x v="16"/>
    <n v="2"/>
    <s v="Serbia 0.50, Croatia 0.30, Bosnia and Herzegovina 0.20"/>
    <s v="LOCAL_HERITAGE 0.42, HERITAGE_HERITAGE 0.53, LOCAL_LOCAL 0.04, HERITAGE_LOCAL 0.01"/>
    <s v="Optional ex-Yugo football migration refinement"/>
    <x v="0"/>
  </r>
  <r>
    <s v="UEFA"/>
    <s v="Ukraine"/>
    <x v="10"/>
    <n v="69"/>
    <s v="Ukraine 0.87, Belarus 0.05, Moldova 0.04, Russia 0.04"/>
    <s v="LOCAL_LOCAL 0.95, DOUBLE_SURNAME_LOCAL_LOCAL 0.03, COMPOUND_GIVEN_LOCAL_LOCAL 0.02"/>
    <s v="Main local pool"/>
    <x v="0"/>
  </r>
  <r>
    <s v="UEFA"/>
    <s v="Ukraine"/>
    <x v="16"/>
    <n v="10"/>
    <s v="Poland 0.35, Ukraine 0.30, Slovakia 0.15, Hungary 0.10, Romania 0.10"/>
    <s v="LOCAL_LOCAL 0.90, DOUBLE_SURNAME_LOCAL_LOCAL 0.05, COMPOUND_GIVEN_LOCAL_LOCAL 0.05"/>
    <s v="Important western variance"/>
    <x v="0"/>
  </r>
  <r>
    <s v="UEFA"/>
    <s v="Ukraine"/>
    <x v="1"/>
    <n v="6"/>
    <s v="Ukraine 0.60, Belarus 0.20, Lithuania 0.10, Poland 0.10"/>
    <s v="LOCAL_LOCAL 0.95, DOUBLE_SURNAME_LOCAL_LOCAL 0.03, COMPOUND_GIVEN_LOCAL_LOCAL 0.02"/>
    <s v="Lighter-feature local variation"/>
    <x v="0"/>
  </r>
  <r>
    <s v="UEFA"/>
    <s v="Ukraine"/>
    <x v="8"/>
    <n v="5"/>
    <s v="Romania 0.25, Moldova 0.25, Bulgaria 0.20, Serbia 0.15, Albania 0.15"/>
    <s v="LOCAL_HERITAGE 0.44, HERITAGE_HERITAGE 0.51, LOCAL_LOCAL 0.04, HERITAGE_LOCAL 0.01"/>
    <s v="Southern / Black Sea adjacency"/>
    <x v="0"/>
  </r>
  <r>
    <s v="UEFA"/>
    <s v="Ukraine"/>
    <x v="3"/>
    <n v="3"/>
    <s v="Turkey 0.65, Ukraine 0.35"/>
    <s v="LOCAL_HERITAGE 0.38, HERITAGE_HERITAGE 0.57, LOCAL_LOCAL 0.04, HERITAGE_LOCAL 0.01"/>
    <s v="Worth preserving as distinct"/>
    <x v="0"/>
  </r>
  <r>
    <s v="UEFA"/>
    <s v="Ukraine"/>
    <x v="26"/>
    <n v="3"/>
    <s v="Armenia 0.40, Georgia 0.35, Azerbaijan 0.25"/>
    <s v="LOCAL_HERITAGE 0.44, HERITAGE_HERITAGE 0.51, LOCAL_LOCAL 0.04, HERITAGE_LOCAL 0.01"/>
    <s v="Small bridge bucket"/>
    <x v="0"/>
  </r>
  <r>
    <s v="UEFA"/>
    <s v="Ukraine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Ukraine"/>
    <x v="4"/>
    <n v="2"/>
    <s v="Syria 0.35, Iraq 0.30, Lebanon 0.20, Palestine 0.15"/>
    <s v="LOCAL_HERITAGE 0.42, HERITAGE_HERITAGE 0.53, LOCAL_LOCAL 0.04, HERITAGE_LOCAL 0.01"/>
    <s v="Threshold but useful"/>
    <x v="0"/>
  </r>
  <r>
    <s v="UEFA"/>
    <s v="Croatia"/>
    <x v="8"/>
    <n v="72"/>
    <s v="Croatia 0.88, Bosnia and Herzegovina 0.05, Serbia 0.03, Slovenia 0.02, Montenegro 0.02"/>
    <s v="LOCAL_LOCAL 0.95, DOUBLE_SURNAME_LOCAL_LOCAL 0.03, COMPOUND_GIVEN_LOCAL_LOCAL 0.02"/>
    <s v="Main local south-slavic pool"/>
    <x v="0"/>
  </r>
  <r>
    <s v="UEFA"/>
    <s v="Croatia"/>
    <x v="17"/>
    <n v="10"/>
    <s v="Italy 0.40, Croatia 0.35, Slovenia 0.15, Montenegro 0.10"/>
    <s v="LOCAL_HERITAGE 0.50, HERITAGE_HERITAGE 0.40, LOCAL_LOCAL 0.08, HERITAGE_LOCAL 0.02"/>
    <s v="Adriatic/Mediterranean spread"/>
    <x v="0"/>
  </r>
  <r>
    <s v="UEFA"/>
    <s v="Croatia"/>
    <x v="16"/>
    <n v="6"/>
    <s v="Slovenia 0.35, Austria 0.25, Croatia 0.25, Hungary 0.15"/>
    <s v="LOCAL_HERITAGE 0.50, HERITAGE_HERITAGE 0.40, LOCAL_LOCAL 0.08, HERITAGE_LOCAL 0.02"/>
    <s v="Useful north/inland variance"/>
    <x v="0"/>
  </r>
  <r>
    <s v="UEFA"/>
    <s v="Croatia"/>
    <x v="10"/>
    <n v="4"/>
    <s v="Serbia 0.35, Hungary 0.25, Bosnia and Herzegovina 0.20, Croatia 0.20"/>
    <s v="LOCAL_HERITAGE 0.48, HERITAGE_HERITAGE 0.45, LOCAL_LOCAL 0.05, HERITAGE_LOCAL 0.02"/>
    <s v="Small eastern spread"/>
    <x v="0"/>
  </r>
  <r>
    <s v="UEFA"/>
    <s v="Croatia"/>
    <x v="9"/>
    <n v="2"/>
    <s v="Nigeria 0.35, Ghana 0.25, Senegal 0.20, Ivory Coast 0.20"/>
    <s v="LOCAL_HERITAGE 0.38, HERITAGE_HERITAGE 0.57, LOCAL_LOCAL 0.04, HERITAGE_LOCAL 0.01"/>
    <s v="Small football bucket"/>
    <x v="0"/>
  </r>
  <r>
    <s v="UEFA"/>
    <s v="Croatia"/>
    <x v="3"/>
    <n v="2"/>
    <s v="Turkey 0.75, Croatia 0.25"/>
    <s v="LOCAL_HERITAGE 0.40, HERITAGE_HERITAGE 0.55, LOCAL_LOCAL 0.04, HERITAGE_LOCAL 0.01"/>
    <s v="Small but plausible"/>
    <x v="0"/>
  </r>
  <r>
    <s v="UEFA"/>
    <s v="Croatia"/>
    <x v="8"/>
    <n v="4"/>
    <s v="Bosnia and Herzegovina 0.45, Serbia 0.20, Kosovo 0.15, North Macedonia 0.10, Albania 0.10"/>
    <s v="LOCAL_HERITAGE 0.42, HERITAGE_HERITAGE 0.53, LOCAL_LOCAL 0.04, HERITAGE_LOCAL 0.01"/>
    <s v="Modern football-relevant Balkan diaspora overlay"/>
    <x v="0"/>
  </r>
  <r>
    <s v="UEFA"/>
    <s v="Serbia"/>
    <x v="8"/>
    <n v="78"/>
    <s v="Serbia 0.84, Bosnia and Herzegovina 0.06, Montenegro 0.05, Croatia 0.03, North Macedonia 0.02"/>
    <s v="LOCAL_LOCAL 0.95, DOUBLE_SURNAME_LOCAL_LOCAL 0.03, COMPOUND_GIVEN_LOCAL_LOCAL 0.02"/>
    <s v="Main local pool"/>
    <x v="0"/>
  </r>
  <r>
    <s v="UEFA"/>
    <s v="Serbia"/>
    <x v="10"/>
    <n v="8"/>
    <s v="Serbia 0.50, Romania 0.20, Hungary 0.15, Bulgaria 0.15"/>
    <s v="LOCAL_LOCAL 0.90, DOUBLE_SURNAME_LOCAL_LOCAL 0.05, COMPOUND_GIVEN_LOCAL_LOCAL 0.05"/>
    <s v="Inland/eastern adjacency"/>
    <x v="0"/>
  </r>
  <r>
    <s v="UEFA"/>
    <s v="Serbia"/>
    <x v="16"/>
    <n v="4"/>
    <s v="Hungary 0.30, Serbia 0.30, Croatia 0.20, Austria 0.20"/>
    <s v="LOCAL_HERITAGE 0.50, HERITAGE_HERITAGE 0.40, LOCAL_LOCAL 0.08, HERITAGE_LOCAL 0.02"/>
    <s v="Northern/Vojvodina-like spread"/>
    <x v="0"/>
  </r>
  <r>
    <s v="UEFA"/>
    <s v="Serbia"/>
    <x v="3"/>
    <n v="4"/>
    <s v="Turkey 0.75, Serbia 0.25"/>
    <s v="LOCAL_HERITAGE 0.40, HERITAGE_HERITAGE 0.55, LOCAL_LOCAL 0.04, HERITAGE_LOCAL 0.01"/>
    <s v="Small but plausible"/>
    <x v="0"/>
  </r>
  <r>
    <s v="UEFA"/>
    <s v="Serbia"/>
    <x v="8"/>
    <n v="2"/>
    <s v="Bosnia and Herzegovina 0.35, Montenegro 0.25, Kosovo 0.20, North Macedonia 0.20"/>
    <s v="LOCAL_HERITAGE 0.42, HERITAGE_HERITAGE 0.53, LOCAL_LOCAL 0.04, HERITAGE_LOCAL 0.01"/>
    <s v="Useful internal regional spread"/>
    <x v="0"/>
  </r>
  <r>
    <s v="UEFA"/>
    <s v="Serbi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Serbia"/>
    <x v="4"/>
    <n v="2"/>
    <s v="Syria 0.35, Iraq 0.30, Lebanon 0.20, Palestine 0.15"/>
    <s v="LOCAL_HERITAGE 0.42, HERITAGE_HERITAGE 0.53, LOCAL_LOCAL 0.04, HERITAGE_LOCAL 0.01"/>
    <s v="Threshold but useful"/>
    <x v="0"/>
  </r>
  <r>
    <s v="UEFA"/>
    <s v="Bosnia and Herzegovina"/>
    <x v="8"/>
    <n v="82"/>
    <s v="Bosnia and Herzegovina 0.72, Serbia 0.12, Croatia 0.10, Montenegro 0.06"/>
    <s v="LOCAL_LOCAL 0.95, DOUBLE_SURNAME_LOCAL_LOCAL 0.03, COMPOUND_GIVEN_LOCAL_LOCAL 0.02"/>
    <s v="Main local pool"/>
    <x v="0"/>
  </r>
  <r>
    <s v="UEFA"/>
    <s v="Bosnia and Herzegovina"/>
    <x v="10"/>
    <n v="4"/>
    <s v="Serbia 0.40, Bosnia and Herzegovina 0.35, Croatia 0.15, Montenegro 0.10"/>
    <s v="LOCAL_HERITAGE 0.48, HERITAGE_HERITAGE 0.45, LOCAL_LOCAL 0.05, HERITAGE_LOCAL 0.02"/>
    <s v="Small inland/eastern spread"/>
    <x v="0"/>
  </r>
  <r>
    <s v="UEFA"/>
    <s v="Bosnia and Herzegovina"/>
    <x v="17"/>
    <n v="4"/>
    <s v="Croatia 0.40, Bosnia and Herzegovina 0.35, Montenegro 0.15, Italy 0.10"/>
    <s v="LOCAL_HERITAGE 0.50, HERITAGE_HERITAGE 0.40, LOCAL_LOCAL 0.08, HERITAGE_LOCAL 0.02"/>
    <s v="Small Adriatic influence"/>
    <x v="0"/>
  </r>
  <r>
    <s v="UEFA"/>
    <s v="Bosnia and Herzegovina"/>
    <x v="4"/>
    <n v="4"/>
    <s v="Bosnia and Herzegovina Muslim 0.55, Turkey 0.25, Bosnia and Herzegovina 0.20"/>
    <s v="LOCAL_HERITAGE 0.48, HERITAGE_HERITAGE 0.45, LOCAL_LOCAL 0.05, HERITAGE_LOCAL 0.02"/>
    <s v="Optional only if you support Bosnian Muslim as a sub-pool"/>
    <x v="0"/>
  </r>
  <r>
    <s v="UEFA"/>
    <s v="Bosnia and Herzegovin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Bosnia and Herzegovina"/>
    <x v="3"/>
    <n v="2"/>
    <s v="Turkey 0.75, Bosnia and Herzegovina 0.25"/>
    <s v="LOCAL_HERITAGE 0.40, HERITAGE_HERITAGE 0.55, LOCAL_LOCAL 0.04, HERITAGE_LOCAL 0.01"/>
    <s v="Small but distinct"/>
    <x v="0"/>
  </r>
  <r>
    <s v="UEFA"/>
    <s v="Bosnia and Herzegovina"/>
    <x v="8"/>
    <n v="2"/>
    <s v="Kosovo 0.35, Serbia 0.25, Croatia 0.20, Albania 0.20"/>
    <s v="LOCAL_HERITAGE 0.42, HERITAGE_HERITAGE 0.53, LOCAL_LOCAL 0.04, HERITAGE_LOCAL 0.01"/>
    <s v="Small modern football-refinement row"/>
    <x v="0"/>
  </r>
  <r>
    <s v="UEFA"/>
    <s v="Bulgaria"/>
    <x v="8"/>
    <n v="52"/>
    <s v="Bulgaria 0.84, North Macedonia 0.06, Serbia 0.05, Romania 0.05"/>
    <s v="LOCAL_LOCAL 0.95, DOUBLE_SURNAME_LOCAL_LOCAL 0.03, COMPOUND_GIVEN_LOCAL_LOCAL 0.02"/>
    <s v="Main local pool under your system"/>
    <x v="0"/>
  </r>
  <r>
    <s v="UEFA"/>
    <s v="Bulgaria"/>
    <x v="10"/>
    <n v="18"/>
    <s v="Bulgaria 0.55, Romania 0.20, Serbia 0.10, Turkey 0.10, North Macedonia 0.05"/>
    <s v="LOCAL_LOCAL 0.90, DOUBLE_SURNAME_LOCAL_LOCAL 0.05, COMPOUND_GIVEN_LOCAL_LOCAL 0.05"/>
    <s v="Important eastern/black-sea spread"/>
    <x v="0"/>
  </r>
  <r>
    <s v="UEFA"/>
    <s v="Bulgaria"/>
    <x v="3"/>
    <n v="8"/>
    <s v="Turkey 0.72, Bulgaria 0.28"/>
    <s v="LOCAL_HERITAGE 0.40, HERITAGE_HERITAGE 0.55, LOCAL_LOCAL 0.04, HERITAGE_LOCAL 0.01"/>
    <s v="One of the stronger non-local rows here"/>
    <x v="0"/>
  </r>
  <r>
    <s v="UEFA"/>
    <s v="Bulgaria"/>
    <x v="16"/>
    <n v="4"/>
    <s v="Romania 0.35, Serbia 0.25, Hungary 0.20, Bulgaria 0.20"/>
    <s v="LOCAL_HERITAGE 0.50, HERITAGE_HERITAGE 0.40, LOCAL_LOCAL 0.08, HERITAGE_LOCAL 0.02"/>
    <s v="Useful inland variance"/>
    <x v="0"/>
  </r>
  <r>
    <s v="UEFA"/>
    <s v="Bulgaria"/>
    <x v="4"/>
    <n v="2"/>
    <s v="Syria 0.35, Iraq 0.30, Lebanon 0.20, Palestine 0.15"/>
    <s v="LOCAL_HERITAGE 0.42, HERITAGE_HERITAGE 0.53, LOCAL_LOCAL 0.04, HERITAGE_LOCAL 0.01"/>
    <s v="Threshold but useful"/>
    <x v="0"/>
  </r>
  <r>
    <s v="UEFA"/>
    <s v="Bulgari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Bulgaria"/>
    <x v="8"/>
    <n v="10"/>
    <s v="North Macedonia 0.30, Serbia 0.20, Albania 0.15, Kosovo 0.15, Romania 0.10, Greece 0.10"/>
    <s v="LOCAL_HERITAGE 0.42, HERITAGE_HERITAGE 0.53, LOCAL_LOCAL 0.04, HERITAGE_LOCAL 0.01"/>
    <s v="Useful southern/regional football spread"/>
    <x v="0"/>
  </r>
  <r>
    <s v="UEFA"/>
    <s v="Bulgaria"/>
    <x v="26"/>
    <n v="4"/>
    <s v="Armenia 0.45, Georgia 0.30, Azerbaijan 0.25"/>
    <s v="LOCAL_HERITAGE 0.44, HERITAGE_HERITAGE 0.51, LOCAL_LOCAL 0.04, HERITAGE_LOCAL 0.01"/>
    <s v="Small bridge/refinement row"/>
    <x v="0"/>
  </r>
  <r>
    <s v="UEFA"/>
    <s v="Greece"/>
    <x v="17"/>
    <n v="44"/>
    <s v="Greece 0.86, Greek Cypriot 0.08, Italy 0.06"/>
    <s v="LOCAL_LOCAL 0.95, DOUBLE_SURNAME_LOCAL_LOCAL 0.03, COMPOUND_GIVEN_LOCAL_LOCAL 0.02"/>
    <s v="Main south-mediterranean local pool"/>
    <x v="0"/>
  </r>
  <r>
    <s v="UEFA"/>
    <s v="Greece"/>
    <x v="8"/>
    <n v="26"/>
    <s v="Greece 0.48, Albania 0.20, North Macedonia 0.12, Bulgaria 0.10, Serbia 0.10"/>
    <s v="LOCAL_LOCAL 0.92, DOUBLE_SURNAME_LOCAL_LOCAL 0.05, COMPOUND_GIVEN_LOCAL_LOCAL 0.03"/>
    <s v="Main Balkan-facing adjacency bucket"/>
    <x v="0"/>
  </r>
  <r>
    <s v="UEFA"/>
    <s v="Greece"/>
    <x v="4"/>
    <n v="8"/>
    <s v="Greece 0.45, Lebanon 0.20, Syria 0.15, Palestine 0.10, Greek Cypriot 0.10"/>
    <s v="LOCAL_HERITAGE 0.48, HERITAGE_HERITAGE 0.45, LOCAL_LOCAL 0.05, HERITAGE_LOCAL 0.02"/>
    <s v="Eastern Mediterranean refinement"/>
    <x v="0"/>
  </r>
  <r>
    <s v="UEFA"/>
    <s v="Greece"/>
    <x v="3"/>
    <n v="6"/>
    <s v="Turkey 0.65, Greece 0.25, Greek Cypriot 0.10"/>
    <s v="LOCAL_HERITAGE 0.42, HERITAGE_HERITAGE 0.53, LOCAL_LOCAL 0.04, HERITAGE_LOCAL 0.01"/>
    <s v="Distinct from Levant"/>
    <x v="0"/>
  </r>
  <r>
    <s v="UEFA"/>
    <s v="Greece"/>
    <x v="10"/>
    <n v="4"/>
    <s v="Bulgaria 0.30, Romania 0.25, Serbia 0.20, Greece 0.25"/>
    <s v="LOCAL_HERITAGE 0.48, HERITAGE_HERITAGE 0.45, LOCAL_LOCAL 0.05, HERITAGE_LOCAL 0.02"/>
    <s v="Small inland/eastern spread"/>
    <x v="0"/>
  </r>
  <r>
    <s v="UEFA"/>
    <s v="Greece"/>
    <x v="13"/>
    <n v="4"/>
    <s v="Egypt 0.35, Libya 0.25, Tunisia 0.20, Morocco 0.20"/>
    <s v="LOCAL_HERITAGE 0.42, HERITAGE_HERITAGE 0.53, LOCAL_LOCAL 0.04, HERITAGE_LOCAL 0.01"/>
    <s v="Small but regionally believable"/>
    <x v="0"/>
  </r>
  <r>
    <s v="UEFA"/>
    <s v="Greece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Greece"/>
    <x v="17"/>
    <n v="6"/>
    <s v="Crete/Dodecanese 0.55, Greece 0.30, Greek Cypriot 0.15"/>
    <s v="LOCAL_LOCAL 0.92, DOUBLE_SURNAME_LOCAL_LOCAL 0.05, COMPOUND_GIVEN_LOCAL_LOCAL 0.03"/>
    <s v="Optional island/south-Aegean accent if you plan custom sub-pools"/>
    <x v="0"/>
  </r>
  <r>
    <s v="UEFA"/>
    <s v="Turkey"/>
    <x v="3"/>
    <n v="73"/>
    <s v="Turkey 0.93, Turkish Cypriot 0.03, Bulgaria 0.02, Germany 0.02"/>
    <s v="LOCAL_LOCAL 0.95, DOUBLE_SURNAME_LOCAL_LOCAL 0.03, COMPOUND_GIVEN_LOCAL_LOCAL 0.02"/>
    <s v="Main local pool"/>
    <x v="0"/>
  </r>
  <r>
    <s v="UEFA"/>
    <s v="Turkey"/>
    <x v="8"/>
    <n v="7"/>
    <s v="Bosnia and Herzegovina 0.20, Bulgaria 0.20, Albania 0.20, North Macedonia 0.20, Kosovo 0.20"/>
    <s v="LOCAL_HERITAGE 0.48, HERITAGE_HERITAGE 0.45, LOCAL_LOCAL 0.05, HERITAGE_LOCAL 0.02"/>
    <s v="Important historical/football spread"/>
    <x v="0"/>
  </r>
  <r>
    <s v="UEFA"/>
    <s v="Turkey"/>
    <x v="26"/>
    <n v="6"/>
    <s v="Georgia 0.30, Azerbaijan 0.30, Armenia 0.15, Russia 0.25"/>
    <s v="LOCAL_HERITAGE 0.48, HERITAGE_HERITAGE 0.45, LOCAL_LOCAL 0.05, HERITAGE_LOCAL 0.02"/>
    <s v="Strong refinement bucket"/>
    <x v="0"/>
  </r>
  <r>
    <s v="UEFA"/>
    <s v="Turkey"/>
    <x v="4"/>
    <n v="5"/>
    <s v="Syria 0.40, Iraq 0.30, Lebanon 0.15, Palestine 0.15"/>
    <s v="LOCAL_HERITAGE 0.44, HERITAGE_HERITAGE 0.51, LOCAL_LOCAL 0.04, HERITAGE_LOCAL 0.01"/>
    <s v="Better kept separate from core Anatolian"/>
    <x v="0"/>
  </r>
  <r>
    <s v="UEFA"/>
    <s v="Turkey"/>
    <x v="5"/>
    <n v="3"/>
    <s v="Iran 0.85, Turkey 0.15"/>
    <s v="LOCAL_HERITAGE 0.44, HERITAGE_HERITAGE 0.51, LOCAL_LOCAL 0.04, HERITAGE_LOCAL 0.01"/>
    <s v="Small but useful eastern spread"/>
    <x v="0"/>
  </r>
  <r>
    <s v="UEFA"/>
    <s v="Turkey"/>
    <x v="17"/>
    <n v="3"/>
    <s v="Turkey 0.55, Greece 0.25, Greek Cypriot 0.20"/>
    <s v="LOCAL_HERITAGE 0.50, HERITAGE_HERITAGE 0.40, LOCAL_LOCAL 0.08, HERITAGE_LOCAL 0.02"/>
    <s v="West-coast Mediterranean spread; replaces invalid EuroSouth row"/>
    <x v="0"/>
  </r>
  <r>
    <s v="UEFA"/>
    <s v="Turkey"/>
    <x v="9"/>
    <n v="3"/>
    <s v="Nigeria 0.35, Ghana 0.25, Senegal 0.20, Mali 0.20"/>
    <s v="LOCAL_HERITAGE 0.38, HERITAGE_HERITAGE 0.57, LOCAL_LOCAL 0.04, HERITAGE_LOCAL 0.01"/>
    <s v="Small football bucket"/>
    <x v="0"/>
  </r>
  <r>
    <s v="UEFA"/>
    <s v="Estonia"/>
    <x v="7"/>
    <n v="53"/>
    <s v="Estonia 0.85, Finland 0.10, Estonia Russian 0.05"/>
    <s v="LOCAL_LOCAL 0.95, DOUBLE_SURNAME_LOCAL_LOCAL 0.03, COMPOUND_GIVEN_LOCAL_LOCAL 0.02"/>
    <s v="Main local pool"/>
    <x v="0"/>
  </r>
  <r>
    <s v="UEFA"/>
    <s v="Estonia"/>
    <x v="1"/>
    <n v="18"/>
    <s v="Estonia 0.56, Finland 0.24, Sweden 0.10, Latvia 0.10"/>
    <s v="LOCAL_LOCAL 0.90, DOUBLE_SURNAME_LOCAL_LOCAL 0.05, COMPOUND_GIVEN_LOCAL_LOCAL 0.05"/>
    <s v="Important secondary local read"/>
    <x v="0"/>
  </r>
  <r>
    <s v="UEFA"/>
    <s v="Estonia"/>
    <x v="10"/>
    <n v="14"/>
    <s v="Estonia 0.45, Russia 0.35, Latvia 0.10, Ukraine 0.10"/>
    <s v="LOCAL_LOCAL 0.88, DOUBLE_SURNAME_LOCAL_LOCAL 0.06, COMPOUND_GIVEN_LOCAL_LOCAL 0.06"/>
    <s v="Important border pressure"/>
    <x v="0"/>
  </r>
  <r>
    <s v="UEFA"/>
    <s v="Estonia"/>
    <x v="0"/>
    <n v="8"/>
    <s v="Estonia 0.60, Finland 0.20, Sweden 0.20"/>
    <s v="LOCAL_LOCAL 0.95, DOUBLE_SURNAME_LOCAL_LOCAL 0.03, COMPOUND_GIVEN_LOCAL_LOCAL 0.02"/>
    <s v="Visual blondness/light-feature boost"/>
    <x v="0"/>
  </r>
  <r>
    <s v="UEFA"/>
    <s v="Estonia"/>
    <x v="16"/>
    <n v="3"/>
    <s v="Germany 0.40, Estonia 0.40, Latvia 0.20"/>
    <s v="LOCAL_HERITAGE 0.50, HERITAGE_HERITAGE 0.40, LOCAL_LOCAL 0.08, HERITAGE_LOCAL 0.02"/>
    <s v="Small refinement bucket"/>
    <x v="0"/>
  </r>
  <r>
    <s v="UEFA"/>
    <s v="Estoni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Estonia"/>
    <x v="4"/>
    <n v="2"/>
    <s v="Syria 0.35, Iraq 0.30, Lebanon 0.20, Palestine 0.15"/>
    <s v="LOCAL_HERITAGE 0.42, HERITAGE_HERITAGE 0.53, LOCAL_LOCAL 0.04, HERITAGE_LOCAL 0.01"/>
    <s v="Small but distinct"/>
    <x v="0"/>
  </r>
  <r>
    <s v="UEFA"/>
    <s v="Latvia"/>
    <x v="10"/>
    <n v="49"/>
    <s v="Latvia 0.89, Lithuania 0.06, Estonia 0.05"/>
    <s v="LOCAL_LOCAL 0.95, DOUBLE_SURNAME_LOCAL_LOCAL 0.03, COMPOUND_GIVEN_LOCAL_LOCAL 0.02"/>
    <s v="Main local pool"/>
    <x v="0"/>
  </r>
  <r>
    <s v="UEFA"/>
    <s v="Latvia"/>
    <x v="1"/>
    <n v="18"/>
    <s v="Latvia 0.56, Estonia 0.20, Lithuania 0.14, Sweden 0.10"/>
    <s v="LOCAL_LOCAL 0.90, DOUBLE_SURNAME_LOCAL_LOCAL 0.05, COMPOUND_GIVEN_LOCAL_LOCAL 0.05"/>
    <s v="Important secondary local read"/>
    <x v="0"/>
  </r>
  <r>
    <s v="UEFA"/>
    <s v="Latvia"/>
    <x v="7"/>
    <n v="8"/>
    <s v="Latvia 0.60, Estonia 0.25, Finland 0.15"/>
    <s v="LOCAL_LOCAL 0.90, DOUBLE_SURNAME_LOCAL_LOCAL 0.05, COMPOUND_GIVEN_LOCAL_LOCAL 0.05"/>
    <s v="Small but useful bridge bucket"/>
    <x v="0"/>
  </r>
  <r>
    <s v="UEFA"/>
    <s v="Latvia"/>
    <x v="16"/>
    <n v="6"/>
    <s v="Latvia 0.45, Germany 0.25, Lithuania 0.20, Poland 0.10"/>
    <s v="LOCAL_HERITAGE 0.50, HERITAGE_HERITAGE 0.40, LOCAL_LOCAL 0.08, HERITAGE_LOCAL 0.02"/>
    <s v="Helps western variance"/>
    <x v="0"/>
  </r>
  <r>
    <s v="UEFA"/>
    <s v="Latvia"/>
    <x v="0"/>
    <n v="6"/>
    <s v="Latvia 0.55, Sweden 0.20, Estonia 0.15, Finland 0.10"/>
    <s v="LOCAL_LOCAL 0.95, DOUBLE_SURNAME_LOCAL_LOCAL 0.03, COMPOUND_GIVEN_LOCAL_LOCAL 0.02"/>
    <s v="Visual boost"/>
    <x v="0"/>
  </r>
  <r>
    <s v="UEFA"/>
    <s v="Latvi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Latvia"/>
    <x v="4"/>
    <n v="2"/>
    <s v="Syria 0.35, Iraq 0.30, Lebanon 0.20, Palestine 0.15"/>
    <s v="LOCAL_HERITAGE 0.42, HERITAGE_HERITAGE 0.53, LOCAL_LOCAL 0.04, HERITAGE_LOCAL 0.01"/>
    <s v="Small but distinct"/>
    <x v="0"/>
  </r>
  <r>
    <s v="UEFA"/>
    <s v="Latvia"/>
    <x v="8"/>
    <n v="3"/>
    <s v="Croatia 0.25, Serbia 0.25, Romania 0.20, Bosnia and Herzegovina 0.15, Albania 0.15"/>
    <s v="LOCAL_HERITAGE 0.44, HERITAGE_HERITAGE 0.51, LOCAL_LOCAL 0.04, HERITAGE_LOCAL 0.01"/>
    <s v="Small southern football adjacency"/>
    <x v="0"/>
  </r>
  <r>
    <s v="UEFA"/>
    <s v="Latvia"/>
    <x v="10"/>
    <n v="6"/>
    <s v="Latvia Russian 0.60, Russia 0.25, Belarus 0.15"/>
    <s v="LOCAL_HERITAGE 0.48, HERITAGE_HERITAGE 0.45, LOCAL_LOCAL 0.05, HERITAGE_LOCAL 0.02"/>
    <s v="Optional if you support Latvia Russian as a sub-pool"/>
    <x v="0"/>
  </r>
  <r>
    <s v="UEFA"/>
    <s v="Lithuania"/>
    <x v="10"/>
    <n v="57"/>
    <s v="Lithuania 0.85, Poland 0.08, Belarus 0.04, Latvia 0.03"/>
    <s v="LOCAL_LOCAL 0.95, DOUBLE_SURNAME_LOCAL_LOCAL 0.03, COMPOUND_GIVEN_LOCAL_LOCAL 0.02"/>
    <s v="Main local pool"/>
    <x v="0"/>
  </r>
  <r>
    <s v="UEFA"/>
    <s v="Lithuania"/>
    <x v="1"/>
    <n v="14"/>
    <s v="Lithuania 0.56, Latvia 0.19, Sweden 0.15, Poland 0.10"/>
    <s v="LOCAL_LOCAL 0.90, DOUBLE_SURNAME_LOCAL_LOCAL 0.05, COMPOUND_GIVEN_LOCAL_LOCAL 0.05"/>
    <s v="Useful secondary local read"/>
    <x v="0"/>
  </r>
  <r>
    <s v="UEFA"/>
    <s v="Lithuania"/>
    <x v="16"/>
    <n v="12"/>
    <s v="Poland 0.45, Lithuania 0.35, Germany 0.10, Czech Republic 0.10"/>
    <s v="LOCAL_LOCAL 0.90, DOUBLE_SURNAME_LOCAL_LOCAL 0.05, COMPOUND_GIVEN_LOCAL_LOCAL 0.05"/>
    <s v="Important western variance"/>
    <x v="0"/>
  </r>
  <r>
    <s v="UEFA"/>
    <s v="Lithuania"/>
    <x v="7"/>
    <n v="4"/>
    <s v="Latvia 0.40, Estonia 0.30, Finland 0.30"/>
    <s v="LOCAL_HERITAGE 0.50, HERITAGE_HERITAGE 0.40, LOCAL_LOCAL 0.08, HERITAGE_LOCAL 0.02"/>
    <s v="Small bridge bucket"/>
    <x v="0"/>
  </r>
  <r>
    <s v="UEFA"/>
    <s v="Lithuania"/>
    <x v="0"/>
    <n v="5"/>
    <s v="Lithuania 0.55, Sweden 0.25, Latvia 0.20"/>
    <s v="LOCAL_LOCAL 0.95, DOUBLE_SURNAME_LOCAL_LOCAL 0.03, COMPOUND_GIVEN_LOCAL_LOCAL 0.02"/>
    <s v="Visual boost"/>
    <x v="0"/>
  </r>
  <r>
    <s v="UEFA"/>
    <s v="Lithuania"/>
    <x v="8"/>
    <n v="2"/>
    <s v="Poland 0.30, Croatia 0.25, Serbia 0.20, Romania 0.15, Bosnia and Herzegovina 0.10"/>
    <s v="LOCAL_HERITAGE 0.44, HERITAGE_HERITAGE 0.51, LOCAL_LOCAL 0.04, HERITAGE_LOCAL 0.01"/>
    <s v="Small but useful"/>
    <x v="0"/>
  </r>
  <r>
    <s v="UEFA"/>
    <s v="Lithuania"/>
    <x v="9"/>
    <n v="3"/>
    <s v="Nigeria 0.35, Ghana 0.25, Senegal 0.20, Mali 0.20"/>
    <s v="LOCAL_HERITAGE 0.38, HERITAGE_HERITAGE 0.57, LOCAL_LOCAL 0.04, HERITAGE_LOCAL 0.01"/>
    <s v="Small football bucket"/>
    <x v="0"/>
  </r>
  <r>
    <s v="UEFA"/>
    <s v="Lithuania"/>
    <x v="4"/>
    <n v="3"/>
    <s v="Syria 0.35, Iraq 0.30, Lebanon 0.20, Palestine 0.15"/>
    <s v="LOCAL_HERITAGE 0.42, HERITAGE_HERITAGE 0.53, LOCAL_LOCAL 0.04, HERITAGE_LOCAL 0.01"/>
    <s v="Small but distinct"/>
    <x v="0"/>
  </r>
  <r>
    <s v="UEFA"/>
    <s v="Georgia"/>
    <x v="26"/>
    <n v="76"/>
    <s v="Georgia 0.91, Armenia 0.04, Azerbaijan 0.03, Russia 0.02"/>
    <s v="LOCAL_LOCAL 0.95, DOUBLE_SURNAME_LOCAL_LOCAL 0.03, COMPOUND_GIVEN_LOCAL_LOCAL 0.02"/>
    <s v="Main local pool"/>
    <x v="0"/>
  </r>
  <r>
    <s v="UEFA"/>
    <s v="Georgia"/>
    <x v="10"/>
    <n v="8"/>
    <s v="Georgia 0.56, Russia 0.24, Ukraine 0.10, Armenia 0.10"/>
    <s v="LOCAL_LOCAL 0.90, DOUBLE_SURNAME_LOCAL_LOCAL 0.05, COMPOUND_GIVEN_LOCAL_LOCAL 0.05"/>
    <s v="Useful northern variance"/>
    <x v="0"/>
  </r>
  <r>
    <s v="UEFA"/>
    <s v="Georgia"/>
    <x v="3"/>
    <n v="6"/>
    <s v="Turkey 0.70, Georgia 0.30"/>
    <s v="LOCAL_HERITAGE 0.46, HERITAGE_HERITAGE 0.49, LOCAL_LOCAL 0.04, HERITAGE_LOCAL 0.01"/>
    <s v="Real neighboring pressure"/>
    <x v="0"/>
  </r>
  <r>
    <s v="UEFA"/>
    <s v="Georgia"/>
    <x v="5"/>
    <n v="4"/>
    <s v="Iran 0.70, Georgia 0.30"/>
    <s v="LOCAL_HERITAGE 0.46, HERITAGE_HERITAGE 0.49, LOCAL_LOCAL 0.04, HERITAGE_LOCAL 0.01"/>
    <s v="Small but useful"/>
    <x v="0"/>
  </r>
  <r>
    <s v="UEFA"/>
    <s v="Georgia"/>
    <x v="8"/>
    <n v="2"/>
    <s v="Serbia 0.30, Romania 0.25, Bulgaria 0.25, Turkey 0.20"/>
    <s v="LOCAL_HERITAGE 0.44, HERITAGE_HERITAGE 0.51, LOCAL_LOCAL 0.04, HERITAGE_LOCAL 0.01"/>
    <s v="Small refinement bucket"/>
    <x v="0"/>
  </r>
  <r>
    <s v="UEFA"/>
    <s v="Georgia"/>
    <x v="9"/>
    <n v="2"/>
    <s v="Nigeria 0.35, Ghana 0.25, Senegal 0.20, Mali 0.20"/>
    <s v="LOCAL_HERITAGE 0.38, HERITAGE_HERITAGE 0.57, LOCAL_LOCAL 0.04, HERITAGE_LOCAL 0.01"/>
    <s v="Small football bucket"/>
    <x v="0"/>
  </r>
  <r>
    <s v="UEFA"/>
    <s v="Georgia"/>
    <x v="4"/>
    <n v="2"/>
    <s v="Syria 0.35, Iraq 0.30, Lebanon 0.20, Palestine 0.15"/>
    <s v="LOCAL_HERITAGE 0.42, HERITAGE_HERITAGE 0.53, LOCAL_LOCAL 0.04, HERITAGE_LOCAL 0.01"/>
    <s v="Small but distinct"/>
    <x v="0"/>
  </r>
  <r>
    <s v="UEFA"/>
    <s v="Israel"/>
    <x v="4"/>
    <n v="34"/>
    <s v="Israel Hebrew 0.70, Palestine 0.12, Lebanon 0.08, Syria 0.05, Jordan 0.05"/>
    <s v="LOCAL_LOCAL 0.95, DOUBLE_SURNAME_LOCAL_LOCAL 0.03, COMPOUND_GIVEN_LOCAL_LOCAL 0.02"/>
    <s v="Main local eastern-med anchor"/>
    <x v="0"/>
  </r>
  <r>
    <s v="UEFA"/>
    <s v="Israel"/>
    <x v="16"/>
    <n v="18"/>
    <s v="Israel Hebrew 0.62, Germany 0.16, Poland 0.12, Austria 0.05, Hungary 0.05"/>
    <s v="LOCAL_LOCAL 0.90, DOUBLE_SURNAME_LOCAL_LOCAL 0.05, COMPOUND_GIVEN_LOCAL_LOCAL 0.05"/>
    <s v="Main Ashkenazi-leaning continental anchor"/>
    <x v="0"/>
  </r>
  <r>
    <s v="UEFA"/>
    <s v="Israel"/>
    <x v="1"/>
    <n v="8"/>
    <s v="Israel Hebrew 0.55, Russia 0.15, Ukraine 0.10, Germany 0.10, Poland 0.10"/>
    <s v="LOCAL_LOCAL 0.90, DOUBLE_SURNAME_LOCAL_LOCAL 0.05, COMPOUND_GIVEN_LOCAL_LOCAL 0.05"/>
    <s v="Lighter-feature European spill"/>
    <x v="0"/>
  </r>
  <r>
    <s v="UEFA"/>
    <s v="Israel"/>
    <x v="27"/>
    <n v="12"/>
    <s v="Israel Hebrew 0.48, Iraq 0.16, Yemen 0.14, Saudi Arabia 0.12, Jordan 0.10"/>
    <s v="LOCAL_HERITAGE 0.46, HERITAGE_HERITAGE 0.49, LOCAL_LOCAL 0.04, HERITAGE_LOCAL 0.01"/>
    <s v="Mizrahi/Arab-adjacent spill"/>
    <x v="0"/>
  </r>
  <r>
    <s v="UEFA"/>
    <s v="Israel"/>
    <x v="5"/>
    <n v="8"/>
    <s v="Israel Hebrew 0.52, Iran 0.30, Afghanistan Dari 0.10, Tajikistan 0.08"/>
    <s v="LOCAL_HERITAGE 0.44, HERITAGE_HERITAGE 0.51, LOCAL_LOCAL 0.04, HERITAGE_LOCAL 0.01"/>
    <s v="Iranian-family / Persian-adjacent spill"/>
    <x v="0"/>
  </r>
  <r>
    <s v="UEFA"/>
    <s v="Israel"/>
    <x v="26"/>
    <n v="6"/>
    <s v="Israel Hebrew 0.48, Georgia 0.22, Azerbaijan 0.18, Armenia 0.12"/>
    <s v="LOCAL_HERITAGE 0.44, HERITAGE_HERITAGE 0.51, LOCAL_LOCAL 0.04, HERITAGE_LOCAL 0.01"/>
    <s v="Caucasus bridge/refinement spill"/>
    <x v="0"/>
  </r>
  <r>
    <s v="UEFA"/>
    <s v="Israel"/>
    <x v="28"/>
    <n v="4"/>
    <s v="Israel Hebrew 0.55, Egypt 0.45"/>
    <s v="LOCAL_HERITAGE 0.45, HERITAGE_HERITAGE 0.50, LOCAL_LOCAL 0.04, HERITAGE_LOCAL 0.01"/>
    <s v="South-eastern Mediterranean bridge"/>
    <x v="0"/>
  </r>
  <r>
    <s v="UEFA"/>
    <s v="Israel"/>
    <x v="10"/>
    <n v="4"/>
    <s v="Israel Hebrew 0.46, Russia 0.24, Ukraine 0.18, Belarus 0.12"/>
    <s v="LOCAL_HERITAGE 0.44, HERITAGE_HERITAGE 0.51, LOCAL_LOCAL 0.04, HERITAGE_LOCAL 0.01"/>
    <s v="Eastern European spill"/>
    <x v="0"/>
  </r>
  <r>
    <s v="UEFA"/>
    <s v="Israel"/>
    <x v="13"/>
    <n v="4"/>
    <s v="Israel Hebrew 0.50, Morocco 0.22, Algeria 0.16, Tunisia 0.12"/>
    <s v="LOCAL_HERITAGE 0.44, HERITAGE_HERITAGE 0.51, LOCAL_LOCAL 0.04, HERITAGE_LOCAL 0.01"/>
    <s v="North African Jewish / Maghrebi-adjacent spill"/>
    <x v="0"/>
  </r>
  <r>
    <s v="UEFA"/>
    <s v="Israel"/>
    <x v="4"/>
    <n v="2"/>
    <s v="Israel Hebrew 0.55, Palestine 0.20, Lebanon 0.10, Syria 0.10, Jordan 0.05"/>
    <s v="LOCAL_HERITAGE 0.55, HERITAGE_HERITAGE 0.30, LOCAL_LOCAL 0.10, HERITAGE_LOCAL 0.05"/>
    <s v="Mixed local row"/>
    <x v="0"/>
  </r>
  <r>
    <s v="UEFA"/>
    <s v="Luxembourg"/>
    <x v="16"/>
    <n v="65"/>
    <s v="Luxembourg Local 0.45, France 0.20, Germany 0.20, Belgium French 0.15"/>
    <s v="LOCAL_LOCAL 0.95, DOUBLE_SURNAME_LOCAL_LOCAL 0.03, COMPOUND_GIVEN_LOCAL_LOCAL 0.02"/>
    <s v="Main local base"/>
    <x v="1"/>
  </r>
  <r>
    <s v="UEFA"/>
    <s v="Luxembourg"/>
    <x v="19"/>
    <n v="19"/>
    <s v="Portugal 0.82, Luxembourg Local 0.18"/>
    <s v="LOCAL_HERITAGE 0.42, HERITAGE_HERITAGE 0.53, LOCAL_LOCAL 0.04, HERITAGE_LOCAL 0.01"/>
    <s v="Very visible and football-relevant"/>
    <x v="1"/>
  </r>
  <r>
    <s v="UEFA"/>
    <s v="Luxembourg"/>
    <x v="13"/>
    <n v="5"/>
    <s v="Morocco 0.60, Algeria 0.25, Tunisia 0.15"/>
    <s v="LOCAL_HERITAGE 0.44, HERITAGE_HERITAGE 0.51, LOCAL_LOCAL 0.04, HERITAGE_LOCAL 0.01"/>
    <s v="Small but worthwhile"/>
    <x v="1"/>
  </r>
  <r>
    <s v="UEFA"/>
    <s v="Luxembourg"/>
    <x v="9"/>
    <n v="4"/>
    <s v="Cape Verde 0.35, Guinea-Bissau 0.20, Senegal 0.20, Mali 0.15, Ivory Coast 0.10"/>
    <s v="LOCAL_HERITAGE 0.38, HERITAGE_HERITAGE 0.57, LOCAL_LOCAL 0.04, HERITAGE_LOCAL 0.01"/>
    <s v="Small but useful"/>
    <x v="1"/>
  </r>
  <r>
    <s v="UEFA"/>
    <s v="Luxembourg"/>
    <x v="8"/>
    <n v="4"/>
    <s v="Kosovo 0.35, Bosnia and Herzegovina 0.25, Serbia 0.15, Albania 0.15, Croatia 0.10"/>
    <s v="LOCAL_HERITAGE 0.38, HERITAGE_HERITAGE 0.57, LOCAL_LOCAL 0.04, HERITAGE_LOCAL 0.01"/>
    <s v="Football-relevant"/>
    <x v="1"/>
  </r>
  <r>
    <s v="UEFA"/>
    <s v="Luxembourg"/>
    <x v="3"/>
    <n v="3"/>
    <s v="Turkey 0.85, Luxembourg Local 0.15"/>
    <s v="LOCAL_HERITAGE 0.40, HERITAGE_HERITAGE 0.55, LOCAL_LOCAL 0.04, HERITAGE_LOCAL 0.01"/>
    <s v="Threshold but valid"/>
    <x v="1"/>
  </r>
  <r>
    <s v="UEFA"/>
    <s v="Cyprus"/>
    <x v="4"/>
    <n v="42"/>
    <s v="Greek Cypriot 0.46, Turkish Cypriot 0.22, Greece 0.20, Lebanon 0.12"/>
    <s v="LOCAL_LOCAL 0.92, DOUBLE_SURNAME_LOCAL_LOCAL 0.05, COMPOUND_GIVEN_LOCAL_LOCAL 0.03"/>
    <s v="Main local/eastern-med pool"/>
    <x v="1"/>
  </r>
  <r>
    <s v="UEFA"/>
    <s v="Cyprus"/>
    <x v="17"/>
    <n v="20"/>
    <s v="Greek Cypriot 0.52, Greece 0.28, Italy 0.20"/>
    <s v="LOCAL_LOCAL 0.92, DOUBLE_SURNAME_LOCAL_LOCAL 0.05, COMPOUND_GIVEN_LOCAL_LOCAL 0.03"/>
    <s v="South-mediterranean overlap"/>
    <x v="1"/>
  </r>
  <r>
    <s v="UEFA"/>
    <s v="Cyprus"/>
    <x v="3"/>
    <n v="14"/>
    <s v="Turkish Cypriot 0.45, Turkey 0.40, Cyprus 0.15"/>
    <s v="LOCAL_HERITAGE 0.48, HERITAGE_HERITAGE 0.45, LOCAL_LOCAL 0.05, HERITAGE_LOCAL 0.02"/>
    <s v="Important non-local-but-native-feeling component"/>
    <x v="1"/>
  </r>
  <r>
    <s v="UEFA"/>
    <s v="Cyprus"/>
    <x v="8"/>
    <n v="6"/>
    <s v="Greece 0.35, Bulgaria 0.20, Serbia 0.15, Greek Cypriot 0.15, Turkish Cypriot 0.15"/>
    <s v="LOCAL_HERITAGE 0.46, HERITAGE_HERITAGE 0.49, LOCAL_LOCAL 0.04, HERITAGE_LOCAL 0.01"/>
    <s v="Useful southeast-European spread"/>
    <x v="1"/>
  </r>
  <r>
    <s v="UEFA"/>
    <s v="Cyprus"/>
    <x v="13"/>
    <n v="4"/>
    <s v="Egypt 0.35, Libya 0.25, Lebanon 0.20, Tunisia 0.20"/>
    <s v="LOCAL_HERITAGE 0.42, HERITAGE_HERITAGE 0.53, LOCAL_LOCAL 0.04, HERITAGE_LOCAL 0.01"/>
    <s v="Regional spill"/>
    <x v="1"/>
  </r>
  <r>
    <s v="UEFA"/>
    <s v="Cyprus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Cyprus"/>
    <x v="4"/>
    <n v="6"/>
    <s v="Lebanon 0.35, Syria 0.25, Palestine 0.20, Iraq 0.20"/>
    <s v="LOCAL_HERITAGE 0.46, HERITAGE_HERITAGE 0.49, LOCAL_LOCAL 0.04, HERITAGE_LOCAL 0.01"/>
    <s v="Useful eastern-med minority/refinement row"/>
    <x v="1"/>
  </r>
  <r>
    <s v="UEFA"/>
    <s v="Cyprus"/>
    <x v="17"/>
    <n v="6"/>
    <s v="Greek Cypriot 0.45, Malta 0.25, Greece 0.20, Italy 0.10"/>
    <s v="LOCAL_HERITAGE 0.48, HERITAGE_HERITAGE 0.45, LOCAL_LOCAL 0.05, HERITAGE_LOCAL 0.02"/>
    <s v="Optional island-mediterranean refinement"/>
    <x v="1"/>
  </r>
  <r>
    <s v="UEFA"/>
    <s v="Armenia"/>
    <x v="26"/>
    <n v="79"/>
    <s v="Armenia 0.93, Georgia 0.04, Russia 0.03"/>
    <s v="LOCAL_LOCAL 0.95, DOUBLE_SURNAME_LOCAL_LOCAL 0.03, COMPOUND_GIVEN_LOCAL_LOCAL 0.02"/>
    <s v="Main local pool"/>
    <x v="1"/>
  </r>
  <r>
    <s v="UEFA"/>
    <s v="Armenia"/>
    <x v="5"/>
    <n v="7"/>
    <s v="Iran 0.75, Armenia 0.25"/>
    <s v="LOCAL_HERITAGE 0.46, HERITAGE_HERITAGE 0.49, LOCAL_LOCAL 0.04, HERITAGE_LOCAL 0.01"/>
    <s v="Important southern refinement"/>
    <x v="1"/>
  </r>
  <r>
    <s v="UEFA"/>
    <s v="Armenia"/>
    <x v="3"/>
    <n v="5"/>
    <s v="Turkey 0.65, Armenia 0.35"/>
    <s v="LOCAL_HERITAGE 0.46, HERITAGE_HERITAGE 0.49, LOCAL_LOCAL 0.04, HERITAGE_LOCAL 0.01"/>
    <s v="Small but worth preserving visually"/>
    <x v="1"/>
  </r>
  <r>
    <s v="UEFA"/>
    <s v="Armenia"/>
    <x v="10"/>
    <n v="4"/>
    <s v="Russia 0.45, Georgia 0.25, Ukraine 0.15, Armenia 0.15"/>
    <s v="LOCAL_LOCAL 0.90, DOUBLE_SURNAME_LOCAL_LOCAL 0.05, COMPOUND_GIVEN_LOCAL_LOCAL 0.05"/>
    <s v="Minor northern variance"/>
    <x v="1"/>
  </r>
  <r>
    <s v="UEFA"/>
    <s v="Armenia"/>
    <x v="4"/>
    <n v="3"/>
    <s v="Lebanon 0.45, Syria 0.25, Iraq 0.20, Palestine 0.10"/>
    <s v="LOCAL_HERITAGE 0.44, HERITAGE_HERITAGE 0.51, LOCAL_LOCAL 0.04, HERITAGE_LOCAL 0.01"/>
    <s v="Small but believable"/>
    <x v="1"/>
  </r>
  <r>
    <s v="UEFA"/>
    <s v="Armenia"/>
    <x v="9"/>
    <n v="2"/>
    <s v="Nigeria 0.35, Ghana 0.25, Senegal 0.20, Mali 0.20"/>
    <s v="LOCAL_HERITAGE 0.38, HERITAGE_HERITAGE 0.57, LOCAL_LOCAL 0.04, HERITAGE_LOCAL 0.01"/>
    <s v="Threshold but useful"/>
    <x v="1"/>
  </r>
  <r>
    <s v="UEFA"/>
    <s v="Azerbaijan"/>
    <x v="26"/>
    <n v="62"/>
    <s v="Azerbaijan 0.91, Georgia 0.05, Russia 0.04"/>
    <s v="LOCAL_LOCAL 0.95, DOUBLE_SURNAME_LOCAL_LOCAL 0.03, COMPOUND_GIVEN_LOCAL_LOCAL 0.02"/>
    <s v="Main local pool"/>
    <x v="1"/>
  </r>
  <r>
    <s v="UEFA"/>
    <s v="Azerbaijan"/>
    <x v="3"/>
    <n v="18"/>
    <s v="Turkey 0.75, Azerbaijan 0.25"/>
    <s v="LOCAL_LOCAL 0.90, DOUBLE_SURNAME_LOCAL_LOCAL 0.05, COMPOUND_GIVEN_LOCAL_LOCAL 0.05"/>
    <s v="Very important secondary bucket"/>
    <x v="1"/>
  </r>
  <r>
    <s v="UEFA"/>
    <s v="Azerbaijan"/>
    <x v="5"/>
    <n v="10"/>
    <s v="Iran 0.80, Azerbaijan 0.20"/>
    <s v="LOCAL_HERITAGE 0.46, HERITAGE_HERITAGE 0.49, LOCAL_LOCAL 0.04, HERITAGE_LOCAL 0.01"/>
    <s v="Stronger here than in Georgia/Armenia"/>
    <x v="1"/>
  </r>
  <r>
    <s v="UEFA"/>
    <s v="Azerbaijan"/>
    <x v="10"/>
    <n v="4"/>
    <s v="Russia 0.50, Georgia 0.20, Ukraine 0.15, Azerbaijan 0.15"/>
    <s v="LOCAL_LOCAL 0.90, DOUBLE_SURNAME_LOCAL_LOCAL 0.05, COMPOUND_GIVEN_LOCAL_LOCAL 0.05"/>
    <s v="Small but useful"/>
    <x v="1"/>
  </r>
  <r>
    <s v="UEFA"/>
    <s v="Azerbaijan"/>
    <x v="4"/>
    <n v="3"/>
    <s v="Iraq 0.35, Syria 0.25, Lebanon 0.20, Palestine 0.20"/>
    <s v="LOCAL_HERITAGE 0.44, HERITAGE_HERITAGE 0.51, LOCAL_LOCAL 0.04, HERITAGE_LOCAL 0.01"/>
    <s v="Minor refinement bucket"/>
    <x v="1"/>
  </r>
  <r>
    <s v="UEFA"/>
    <s v="Azerbaijan"/>
    <x v="9"/>
    <n v="3"/>
    <s v="Nigeria 0.35, Ghana 0.25, Senegal 0.20, Mali 0.20"/>
    <s v="LOCAL_HERITAGE 0.38, HERITAGE_HERITAGE 0.57, LOCAL_LOCAL 0.04, HERITAGE_LOCAL 0.01"/>
    <s v="Small football bucket"/>
    <x v="1"/>
  </r>
  <r>
    <s v="UEFA"/>
    <s v="Russia"/>
    <x v="10"/>
    <n v="64"/>
    <s v="Russia 0.91, Belarus 0.03, Ukraine 0.03, Kazakhstan 0.03"/>
    <s v="LOCAL_LOCAL 0.95, DOUBLE_SURNAME_LOCAL_LOCAL 0.03, COMPOUND_GIVEN_LOCAL_LOCAL 0.02"/>
    <s v="Main local playable base"/>
    <x v="1"/>
  </r>
  <r>
    <s v="UEFA"/>
    <s v="Russia"/>
    <x v="1"/>
    <n v="10"/>
    <s v="Russia 0.70, Belarus 0.15, Finland 0.10, Estonia 0.05"/>
    <s v="LOCAL_LOCAL 0.90, DOUBLE_SURNAME_LOCAL_LOCAL 0.05, COMPOUND_GIVEN_LOCAL_LOCAL 0.05"/>
    <s v="Important spread bucket"/>
    <x v="1"/>
  </r>
  <r>
    <s v="UEFA"/>
    <s v="Russia"/>
    <x v="7"/>
    <n v="6"/>
    <s v="Russia 0.60, Finland 0.20, Estonia 0.10, Komi/Karelian 0.10"/>
    <s v="LOCAL_HERITAGE 0.50, HERITAGE_HERITAGE 0.40, LOCAL_LOCAL 0.08, HERITAGE_LOCAL 0.02"/>
    <s v="Real refinement bucket for long-run spread; custom sub-pool if supported"/>
    <x v="1"/>
  </r>
  <r>
    <s v="UEFA"/>
    <s v="Russia"/>
    <x v="26"/>
    <n v="7"/>
    <s v="Georgia 0.20, Armenia 0.15, Azerbaijan 0.20, Russia 0.45"/>
    <s v="LOCAL_HERITAGE 0.46, HERITAGE_HERITAGE 0.49, LOCAL_LOCAL 0.04, HERITAGE_LOCAL 0.01"/>
    <s v="Important football refinement bucket"/>
    <x v="1"/>
  </r>
  <r>
    <s v="UEFA"/>
    <s v="Russia"/>
    <x v="3"/>
    <n v="4"/>
    <s v="Tatar/Bashkir 0.50, Turkey 0.35, Azerbaijan 0.15"/>
    <s v="LOCAL_HERITAGE 0.46, HERITAGE_HERITAGE 0.49, LOCAL_LOCAL 0.04, HERITAGE_LOCAL 0.01"/>
    <s v="Operational proxy for Turkic-facing minority spread"/>
    <x v="1"/>
  </r>
  <r>
    <s v="UEFA"/>
    <s v="Russia"/>
    <x v="29"/>
    <n v="2"/>
    <s v="Uzbekistan 0.70, Kazakhstan 0.15, Russia 0.15"/>
    <s v="LOCAL_HERITAGE 0.42, HERITAGE_HERITAGE 0.53, LOCAL_LOCAL 0.04, HERITAGE_LOCAL 0.01"/>
    <s v="Keep distinct from Caucasus"/>
    <x v="1"/>
  </r>
  <r>
    <s v="UEFA"/>
    <s v="Russia"/>
    <x v="30"/>
    <n v="2"/>
    <s v="Tajikistan 0.70, Kyrgyzstan 0.15, Russia 0.15"/>
    <s v="LOCAL_HERITAGE 0.42, HERITAGE_HERITAGE 0.53, LOCAL_LOCAL 0.04, HERITAGE_LOCAL 0.01"/>
    <s v="Useful refinement split"/>
    <x v="1"/>
  </r>
  <r>
    <s v="UEFA"/>
    <s v="Russia"/>
    <x v="4"/>
    <n v="2"/>
    <s v="Syria 0.35, Iraq 0.30, Lebanon 0.20, Palestine 0.15"/>
    <s v="LOCAL_HERITAGE 0.42, HERITAGE_HERITAGE 0.53, LOCAL_LOCAL 0.04, HERITAGE_LOCAL 0.01"/>
    <s v="Small but distinct"/>
    <x v="1"/>
  </r>
  <r>
    <s v="UEFA"/>
    <s v="Russia"/>
    <x v="9"/>
    <n v="3"/>
    <s v="Nigeria 0.35, Ghana 0.25, Senegal 0.20, Mali 0.20"/>
    <s v="LOCAL_HERITAGE 0.38, HERITAGE_HERITAGE 0.57, LOCAL_LOCAL 0.04, HERITAGE_LOCAL 0.01"/>
    <s v="Small football bucket"/>
    <x v="1"/>
  </r>
  <r>
    <s v="UEFA"/>
    <s v="Andorra"/>
    <x v="19"/>
    <n v="81"/>
    <s v="Andorra Local 0.42, Spain 0.38, France 0.20"/>
    <s v="LOCAL_LOCAL 0.95, DOUBLE_SURNAME_LOCAL_LOCAL 0.03, COMPOUND_GIVEN_LOCAL_LOCAL 0.02"/>
    <s v="Main local pool; Catalan/French influence folded into Andorra local/Spain/France"/>
    <x v="1"/>
  </r>
  <r>
    <s v="UEFA"/>
    <s v="Andorra"/>
    <x v="16"/>
    <n v="10"/>
    <s v="France 0.60, Spain 0.25, Andorra Local 0.15"/>
    <s v="LOCAL_HERITAGE 0.50, HERITAGE_HERITAGE 0.40, LOCAL_LOCAL 0.08, HERITAGE_LOCAL 0.02"/>
    <s v="Cross-border local pressure"/>
    <x v="1"/>
  </r>
  <r>
    <s v="UEFA"/>
    <s v="Andorra"/>
    <x v="13"/>
    <n v="5"/>
    <s v="Morocco 0.75, Algeria 0.15, Tunisia 0.10"/>
    <s v="LOCAL_HERITAGE 0.42, HERITAGE_HERITAGE 0.53, LOCAL_LOCAL 0.04, HERITAGE_LOCAL 0.01"/>
    <s v="Small but useful"/>
    <x v="1"/>
  </r>
  <r>
    <s v="UEFA"/>
    <s v="Andorra"/>
    <x v="20"/>
    <n v="4"/>
    <s v="Colombia 0.30, Venezuela 0.30, Argentina 0.20, Ecuador 0.20"/>
    <s v="LOCAL_HERITAGE 0.42, HERITAGE_HERITAGE 0.53, LOCAL_LOCAL 0.04, HERITAGE_LOCAL 0.01"/>
    <s v="Small but worthwhile"/>
    <x v="1"/>
  </r>
  <r>
    <s v="UEFA"/>
    <s v="San Marino"/>
    <x v="17"/>
    <n v="90"/>
    <s v="San Marino Local 0.35, Italy 0.65"/>
    <s v="LOCAL_LOCAL 0.95, DOUBLE_SURNAME_LOCAL_LOCAL 0.03, COMPOUND_GIVEN_LOCAL_LOCAL 0.02"/>
    <s v="Main local pool"/>
    <x v="1"/>
  </r>
  <r>
    <s v="UEFA"/>
    <s v="San Marino"/>
    <x v="16"/>
    <n v="6"/>
    <s v="Italy 0.80, San Marino Local 0.20"/>
    <s v="LOCAL_HERITAGE 0.55, HERITAGE_HERITAGE 0.35, LOCAL_LOCAL 0.08, HERITAGE_LOCAL 0.02"/>
    <s v="Mostly local northern variance"/>
    <x v="1"/>
  </r>
  <r>
    <s v="UEFA"/>
    <s v="San Marino"/>
    <x v="13"/>
    <n v="2"/>
    <s v="Morocco 0.60, Tunisia 0.25, Algeria 0.15"/>
    <s v="LOCAL_HERITAGE 0.42, HERITAGE_HERITAGE 0.53, LOCAL_LOCAL 0.04, HERITAGE_LOCAL 0.01"/>
    <s v="Threshold inclusion"/>
    <x v="1"/>
  </r>
  <r>
    <s v="UEFA"/>
    <s v="San Marino"/>
    <x v="8"/>
    <n v="2"/>
    <s v="Albania 0.30, Croatia 0.25, Serbia 0.20, Bosnia and Herzegovina 0.15, Kosovo 0.10"/>
    <s v="LOCAL_HERITAGE 0.40, HERITAGE_HERITAGE 0.55, LOCAL_LOCAL 0.04, HERITAGE_LOCAL 0.01"/>
    <s v="Threshold inclusion"/>
    <x v="1"/>
  </r>
  <r>
    <s v="UEFA"/>
    <s v="Malta"/>
    <x v="17"/>
    <n v="74"/>
    <s v="Malta 0.84, Italy 0.10, England 0.06"/>
    <s v="LOCAL_LOCAL 0.95, DOUBLE_SURNAME_LOCAL_LOCAL 0.03, COMPOUND_GIVEN_LOCAL_LOCAL 0.02"/>
    <s v="Main local pool"/>
    <x v="1"/>
  </r>
  <r>
    <s v="UEFA"/>
    <s v="Malta"/>
    <x v="4"/>
    <n v="10"/>
    <s v="Malta 0.50, Lebanon 0.20, Palestine 0.12, Syria 0.10, Greek Cypriot 0.08"/>
    <s v="LOCAL_HERITAGE 0.50, HERITAGE_HERITAGE 0.40, LOCAL_LOCAL 0.08, HERITAGE_LOCAL 0.02"/>
    <s v="Better fit than flattening all into EuroItaMed"/>
    <x v="1"/>
  </r>
  <r>
    <s v="UEFA"/>
    <s v="Malta"/>
    <x v="13"/>
    <n v="8"/>
    <s v="Libya 0.35, Tunisia 0.30, Morocco 0.20, Algeria 0.15"/>
    <s v="LOCAL_HERITAGE 0.42, HERITAGE_HERITAGE 0.53, LOCAL_LOCAL 0.04, HERITAGE_LOCAL 0.01"/>
    <s v="Distinct and regionally believable"/>
    <x v="1"/>
  </r>
  <r>
    <s v="UEFA"/>
    <s v="Malta"/>
    <x v="11"/>
    <n v="4"/>
    <s v="Malta 0.60, England 0.30, Ireland 0.10"/>
    <s v="LOCAL_HERITAGE 0.52, HERITAGE_HERITAGE 0.38, LOCAL_LOCAL 0.08, HERITAGE_LOCAL 0.02"/>
    <s v="Historical naming spillover"/>
    <x v="1"/>
  </r>
  <r>
    <s v="UEFA"/>
    <s v="Malta"/>
    <x v="9"/>
    <n v="2"/>
    <s v="Nigeria 0.35, Ghana 0.25, Senegal 0.20, Mali 0.20"/>
    <s v="LOCAL_HERITAGE 0.38, HERITAGE_HERITAGE 0.57, LOCAL_LOCAL 0.04, HERITAGE_LOCAL 0.01"/>
    <s v="Threshold inclusion"/>
    <x v="1"/>
  </r>
  <r>
    <s v="UEFA"/>
    <s v="Malta"/>
    <x v="3"/>
    <n v="2"/>
    <s v="Turkey 0.75, Turkish Cypriot 0.25"/>
    <s v="LOCAL_HERITAGE 0.42, HERITAGE_HERITAGE 0.53, LOCAL_LOCAL 0.04, HERITAGE_LOCAL 0.01"/>
    <s v="Small but distinct from Levant"/>
    <x v="1"/>
  </r>
  <r>
    <s v="UEFA"/>
    <s v="Moldova"/>
    <x v="10"/>
    <n v="81"/>
    <s v="Moldova 0.73, Romania 0.19, Ukraine 0.08"/>
    <s v="LOCAL_LOCAL 0.95, DOUBLE_SURNAME_LOCAL_LOCAL 0.03, COMPOUND_GIVEN_LOCAL_LOCAL 0.02"/>
    <s v="Main local pool"/>
    <x v="1"/>
  </r>
  <r>
    <s v="UEFA"/>
    <s v="Moldova"/>
    <x v="8"/>
    <n v="5"/>
    <s v="Romania 0.35, Bulgaria 0.25, Serbia 0.20, Albania 0.10, North Macedonia 0.10"/>
    <s v="LOCAL_HERITAGE 0.44, HERITAGE_HERITAGE 0.51, LOCAL_LOCAL 0.04, HERITAGE_LOCAL 0.01"/>
    <s v="Mild southern pressure"/>
    <x v="1"/>
  </r>
  <r>
    <s v="UEFA"/>
    <s v="Moldova"/>
    <x v="16"/>
    <n v="4"/>
    <s v="Romania 0.55, Hungary 0.20, Slovakia 0.15, Austria 0.10"/>
    <s v="LOCAL_HERITAGE 0.50, HERITAGE_HERITAGE 0.40, LOCAL_LOCAL 0.08, HERITAGE_LOCAL 0.02"/>
    <s v="Small but useful"/>
    <x v="1"/>
  </r>
  <r>
    <s v="UEFA"/>
    <s v="Moldova"/>
    <x v="3"/>
    <n v="3"/>
    <s v="Turkey 0.60, Moldova 0.40"/>
    <s v="LOCAL_HERITAGE 0.40, HERITAGE_HERITAGE 0.55, LOCAL_LOCAL 0.04, HERITAGE_LOCAL 0.01"/>
    <s v="Better kept than flattened away"/>
    <x v="1"/>
  </r>
  <r>
    <s v="UEFA"/>
    <s v="Moldova"/>
    <x v="26"/>
    <n v="3"/>
    <s v="Armenia 0.40, Georgia 0.35, Azerbaijan 0.25"/>
    <s v="LOCAL_HERITAGE 0.44, HERITAGE_HERITAGE 0.51, LOCAL_LOCAL 0.04, HERITAGE_LOCAL 0.01"/>
    <s v="Bridge/refinement bucket"/>
    <x v="1"/>
  </r>
  <r>
    <s v="UEFA"/>
    <s v="Moldova"/>
    <x v="9"/>
    <n v="2"/>
    <s v="Nigeria 0.35, Ghana 0.25, Senegal 0.20, Ivory Coast 0.20"/>
    <s v="LOCAL_HERITAGE 0.38, HERITAGE_HERITAGE 0.57, LOCAL_LOCAL 0.04, HERITAGE_LOCAL 0.01"/>
    <s v="Small football bucket"/>
    <x v="1"/>
  </r>
  <r>
    <s v="UEFA"/>
    <s v="Moldova"/>
    <x v="1"/>
    <n v="2"/>
    <s v="Moldova 0.70, Ukraine 0.20, Belarus 0.10"/>
    <s v="LOCAL_LOCAL 0.95, DOUBLE_SURNAME_LOCAL_LOCAL 0.03, COMPOUND_GIVEN_LOCAL_LOCAL 0.02"/>
    <s v="Small visual spread row"/>
    <x v="1"/>
  </r>
  <r>
    <s v="UEFA"/>
    <s v="Belarus"/>
    <x v="10"/>
    <n v="87"/>
    <s v="Belarus 0.91, Russia 0.05, Ukraine 0.04"/>
    <s v="LOCAL_LOCAL 0.95, DOUBLE_SURNAME_LOCAL_LOCAL 0.03, COMPOUND_GIVEN_LOCAL_LOCAL 0.02"/>
    <s v="Main local pool"/>
    <x v="1"/>
  </r>
  <r>
    <s v="UEFA"/>
    <s v="Belarus"/>
    <x v="16"/>
    <n v="4"/>
    <s v="Poland 0.40, Lithuania 0.25, Belarus 0.20, Ukraine 0.15"/>
    <s v="LOCAL_HERITAGE 0.50, HERITAGE_HERITAGE 0.40, LOCAL_LOCAL 0.08, HERITAGE_LOCAL 0.02"/>
    <s v="Western variance"/>
    <x v="1"/>
  </r>
  <r>
    <s v="UEFA"/>
    <s v="Belarus"/>
    <x v="1"/>
    <n v="3"/>
    <s v="Belarus 0.65, Lithuania 0.20, Latvia 0.15"/>
    <s v="LOCAL_LOCAL 0.95, DOUBLE_SURNAME_LOCAL_LOCAL 0.03, COMPOUND_GIVEN_LOCAL_LOCAL 0.02"/>
    <s v="Visual spread"/>
    <x v="1"/>
  </r>
  <r>
    <s v="UEFA"/>
    <s v="Belarus"/>
    <x v="8"/>
    <n v="2"/>
    <s v="Ukraine 0.35, Romania 0.25, Serbia 0.20, Bulgaria 0.20"/>
    <s v="LOCAL_HERITAGE 0.44, HERITAGE_HERITAGE 0.51, LOCAL_LOCAL 0.04, HERITAGE_LOCAL 0.01"/>
    <s v="Small refinement bucket"/>
    <x v="1"/>
  </r>
  <r>
    <s v="UEFA"/>
    <s v="Belarus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Belarus"/>
    <x v="26"/>
    <n v="2"/>
    <s v="Armenia 0.40, Georgia 0.35, Azerbaijan 0.25"/>
    <s v="LOCAL_HERITAGE 0.44, HERITAGE_HERITAGE 0.51, LOCAL_LOCAL 0.04, HERITAGE_LOCAL 0.01"/>
    <s v="Small bridge/refinement bucket"/>
    <x v="1"/>
  </r>
  <r>
    <s v="UEFA"/>
    <s v="Montenegro"/>
    <x v="8"/>
    <n v="84"/>
    <s v="Serbia 0.50, Croatia 0.25, Bosnia and Herzegovina 0.25"/>
    <s v="LOCAL_LOCAL 0.94, DOUBLE_SURNAME_LOCAL_LOCAL 0.04, COMPOUND_GIVEN_LOCAL_LOCAL 0.02"/>
    <s v="Main local South Slavic anchor using proxy naming"/>
    <x v="1"/>
  </r>
  <r>
    <s v="UEFA"/>
    <s v="Montenegro"/>
    <x v="10"/>
    <n v="6"/>
    <s v="Serbia 0.55, Bosnia and Herzegovina 0.25, Croatia 0.20"/>
    <s v="LOCAL_LOCAL 0.94, DOUBLE_SURNAME_LOCAL_LOCAL 0.04, COMPOUND_GIVEN_LOCAL_LOCAL 0.02"/>
    <s v="Slight inland/eastern spill"/>
    <x v="1"/>
  </r>
  <r>
    <s v="UEFA"/>
    <s v="Montenegro"/>
    <x v="17"/>
    <n v="4"/>
    <s v="Croatia 0.40, Serbia 0.40, Bosnia and Herzegovina 0.20"/>
    <s v="LOCAL_LOCAL 0.94, DOUBLE_SURNAME_LOCAL_LOCAL 0.04, COMPOUND_GIVEN_LOCAL_LOCAL 0.02"/>
    <s v="Small Adriatic accent"/>
    <x v="1"/>
  </r>
  <r>
    <s v="UEFA"/>
    <s v="Montenegro"/>
    <x v="8"/>
    <n v="2"/>
    <s v="Albania 0.70, Serbia 0.30"/>
    <s v="LOCAL_HERITAGE 0.46, HERITAGE_HERITAGE 0.49, LOCAL_LOCAL 0.04, HERITAGE_LOCAL 0.01"/>
    <s v="Optional Albanian-linked row if desired"/>
    <x v="1"/>
  </r>
  <r>
    <s v="UEFA"/>
    <s v="Montenegro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Montenegro"/>
    <x v="3"/>
    <n v="2"/>
    <s v="Turkey 0.75, Montenegro Proxy 0.25"/>
    <s v="LOCAL_HERITAGE 0.40, HERITAGE_HERITAGE 0.55, LOCAL_LOCAL 0.04, HERITAGE_LOCAL 0.01"/>
    <s v="Small but plausible"/>
    <x v="1"/>
  </r>
  <r>
    <s v="UEFA"/>
    <s v="Kosovo"/>
    <x v="8"/>
    <n v="78"/>
    <s v="Albania 0.44, Kosovo 0.28, Serbia 0.14, North Macedonia 0.08, Montenegro 0.06"/>
    <s v="LOCAL_LOCAL 0.95, DOUBLE_SURNAME_LOCAL_LOCAL 0.03, COMPOUND_GIVEN_LOCAL_LOCAL 0.02"/>
    <s v="Main local pool; Kosovo likely needs custom/proxy naming support"/>
    <x v="1"/>
  </r>
  <r>
    <s v="UEFA"/>
    <s v="Kosovo"/>
    <x v="10"/>
    <n v="4"/>
    <s v="Serbia 0.35, Kosovo 0.30, Albania 0.20, North Macedonia 0.15"/>
    <s v="LOCAL_HERITAGE 0.48, HERITAGE_HERITAGE 0.45, LOCAL_LOCAL 0.05, HERITAGE_LOCAL 0.02"/>
    <s v="Small inland spread"/>
    <x v="1"/>
  </r>
  <r>
    <s v="UEFA"/>
    <s v="Kosovo"/>
    <x v="3"/>
    <n v="4"/>
    <s v="Turkey 0.70, Kosovo 0.30"/>
    <s v="LOCAL_HERITAGE 0.40, HERITAGE_HERITAGE 0.55, LOCAL_LOCAL 0.04, HERITAGE_LOCAL 0.01"/>
    <s v="Plausible and football-relevant"/>
    <x v="1"/>
  </r>
  <r>
    <s v="UEFA"/>
    <s v="Kosovo"/>
    <x v="8"/>
    <n v="8"/>
    <s v="Albania 0.55, North Macedonia 0.20, Serbia 0.15, Montenegro 0.10"/>
    <s v="LOCAL_HERITAGE 0.42, HERITAGE_HERITAGE 0.53, LOCAL_LOCAL 0.04, HERITAGE_LOCAL 0.01"/>
    <s v="Albanoid-regional spread"/>
    <x v="1"/>
  </r>
  <r>
    <s v="UEFA"/>
    <s v="Kosovo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Kosovo"/>
    <x v="4"/>
    <n v="2"/>
    <s v="Syria 0.35, Iraq 0.30, Lebanon 0.20, Palestine 0.15"/>
    <s v="LOCAL_HERITAGE 0.42, HERITAGE_HERITAGE 0.53, LOCAL_LOCAL 0.04, HERITAGE_LOCAL 0.01"/>
    <s v="Threshold but useful"/>
    <x v="1"/>
  </r>
  <r>
    <s v="UEFA"/>
    <s v="Kosovo"/>
    <x v="8"/>
    <n v="2"/>
    <s v="Serbia 0.45, Bosnia and Herzegovina 0.30, Croatia 0.25"/>
    <s v="LOCAL_HERITAGE 0.44, HERITAGE_HERITAGE 0.51, LOCAL_LOCAL 0.04, HERITAGE_LOCAL 0.01"/>
    <s v="Optional mixed ex-Yugo football refinement"/>
    <x v="1"/>
  </r>
  <r>
    <s v="UEFA"/>
    <s v="Albania"/>
    <x v="8"/>
    <n v="76"/>
    <s v="Albania 0.90, Kosovo 0.05, North Macedonia 0.03, Montenegro 0.02"/>
    <s v="LOCAL_LOCAL 0.95, DOUBLE_SURNAME_LOCAL_LOCAL 0.03, COMPOUND_GIVEN_LOCAL_LOCAL 0.02"/>
    <s v="Main local pool"/>
    <x v="1"/>
  </r>
  <r>
    <s v="UEFA"/>
    <s v="Albania"/>
    <x v="17"/>
    <n v="8"/>
    <s v="Italy 0.45, Albania 0.35, Greece 0.20"/>
    <s v="LOCAL_HERITAGE 0.50, HERITAGE_HERITAGE 0.40, LOCAL_LOCAL 0.08, HERITAGE_LOCAL 0.02"/>
    <s v="Adriatic/Mediterranean spread"/>
    <x v="1"/>
  </r>
  <r>
    <s v="UEFA"/>
    <s v="Albania"/>
    <x v="3"/>
    <n v="4"/>
    <s v="Turkey 0.70, Albania 0.30"/>
    <s v="LOCAL_HERITAGE 0.40, HERITAGE_HERITAGE 0.55, LOCAL_LOCAL 0.04, HERITAGE_LOCAL 0.01"/>
    <s v="Small but plausible"/>
    <x v="1"/>
  </r>
  <r>
    <s v="UEFA"/>
    <s v="Albania"/>
    <x v="10"/>
    <n v="4"/>
    <s v="North Macedonia 0.35, Serbia 0.25, Albania 0.20, Kosovo 0.20"/>
    <s v="LOCAL_HERITAGE 0.48, HERITAGE_HERITAGE 0.45, LOCAL_LOCAL 0.05, HERITAGE_LOCAL 0.02"/>
    <s v="Small inland spread"/>
    <x v="1"/>
  </r>
  <r>
    <s v="UEFA"/>
    <s v="Albania"/>
    <x v="4"/>
    <n v="2"/>
    <s v="Albania Muslim 0.55, Turkey 0.25, Albania 0.20"/>
    <s v="LOCAL_HERITAGE 0.46, HERITAGE_HERITAGE 0.49, LOCAL_LOCAL 0.04, HERITAGE_LOCAL 0.01"/>
    <s v="Optional only if you support Albania Muslim as a sub-pool"/>
    <x v="1"/>
  </r>
  <r>
    <s v="UEFA"/>
    <s v="Albania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Albania"/>
    <x v="8"/>
    <n v="4"/>
    <s v="Kosovo 0.40, North Macedonia 0.25, Montenegro 0.20, Serbia 0.15"/>
    <s v="LOCAL_HERITAGE 0.42, HERITAGE_HERITAGE 0.53, LOCAL_LOCAL 0.04, HERITAGE_LOCAL 0.01"/>
    <s v="Useful regional football spread"/>
    <x v="1"/>
  </r>
  <r>
    <s v="UEFA"/>
    <s v="North Macedonia"/>
    <x v="8"/>
    <n v="72"/>
    <s v="North Macedonia 0.54, Bulgaria 0.14, Serbia 0.12, Albania 0.10, Kosovo 0.10"/>
    <s v="LOCAL_LOCAL 0.95, DOUBLE_SURNAME_LOCAL_LOCAL 0.03, COMPOUND_GIVEN_LOCAL_LOCAL 0.02"/>
    <s v="Main local pool"/>
    <x v="1"/>
  </r>
  <r>
    <s v="UEFA"/>
    <s v="North Macedonia"/>
    <x v="10"/>
    <n v="6"/>
    <s v="Bulgaria 0.30, Serbia 0.25, North Macedonia 0.25, Albania 0.20"/>
    <s v="LOCAL_HERITAGE 0.48, HERITAGE_HERITAGE 0.45, LOCAL_LOCAL 0.05, HERITAGE_LOCAL 0.02"/>
    <s v="Inland/eastern spread"/>
    <x v="1"/>
  </r>
  <r>
    <s v="UEFA"/>
    <s v="North Macedonia"/>
    <x v="3"/>
    <n v="4"/>
    <s v="Turkey 0.70, North Macedonia 0.30"/>
    <s v="LOCAL_HERITAGE 0.40, HERITAGE_HERITAGE 0.55, LOCAL_LOCAL 0.04, HERITAGE_LOCAL 0.01"/>
    <s v="Plausible and football-relevant"/>
    <x v="1"/>
  </r>
  <r>
    <s v="UEFA"/>
    <s v="North Macedonia"/>
    <x v="8"/>
    <n v="10"/>
    <s v="Albania 0.40, Kosovo 0.25, North Macedonia 0.20, Serbia 0.15"/>
    <s v="LOCAL_HERITAGE 0.42, HERITAGE_HERITAGE 0.53, LOCAL_LOCAL 0.04, HERITAGE_LOCAL 0.01"/>
    <s v="Albanoid-regional spread"/>
    <x v="1"/>
  </r>
  <r>
    <s v="UEFA"/>
    <s v="North Macedonia"/>
    <x v="17"/>
    <n v="4"/>
    <s v="Greece 0.40, Albania 0.30, North Macedonia 0.30"/>
    <s v="LOCAL_HERITAGE 0.50, HERITAGE_HERITAGE 0.40, LOCAL_LOCAL 0.08, HERITAGE_LOCAL 0.02"/>
    <s v="Southern/Mediterranean spill"/>
    <x v="1"/>
  </r>
  <r>
    <s v="UEFA"/>
    <s v="North Macedonia"/>
    <x v="9"/>
    <n v="2"/>
    <s v="Nigeria 0.35, Ghana 0.25, Senegal 0.20, Mali 0.20"/>
    <s v="LOCAL_HERITAGE 0.38, HERITAGE_HERITAGE 0.57, LOCAL_LOCAL 0.04, HERITAGE_LOCAL 0.01"/>
    <s v="Small football bucket"/>
    <x v="1"/>
  </r>
  <r>
    <s v="UEFA"/>
    <s v="North Macedonia"/>
    <x v="4"/>
    <n v="2"/>
    <s v="Syria 0.35, Iraq 0.30, Lebanon 0.20, Palestine 0.15"/>
    <s v="LOCAL_HERITAGE 0.42, HERITAGE_HERITAGE 0.53, LOCAL_LOCAL 0.04, HERITAGE_LOCAL 0.01"/>
    <s v="Threshold but useful"/>
    <x v="1"/>
  </r>
  <r>
    <s v="CONCACAF"/>
    <s v="United States"/>
    <x v="1"/>
    <n v="18"/>
    <s v="United States 0.45, Germany 0.20, Netherlands 0.10, Norway 0.10, Sweden 0.10, Denmark 0.05"/>
    <s v="LOCAL_LOCAL 0.95, DOUBLE_SURNAME_LOCAL_LOCAL 0.03, COMPOUND_GIVEN_LOCAL_LOCAL 0.02"/>
    <s v="Broad lighter-feature white local anchor"/>
    <x v="0"/>
  </r>
  <r>
    <s v="CONCACAF"/>
    <s v="United States"/>
    <x v="11"/>
    <n v="16"/>
    <s v="United States 0.42, England 0.26, Ireland 0.16, Scotland 0.10, Wales 0.06"/>
    <s v="LOCAL_LOCAL 0.95, DOUBLE_SURNAME_LOCAL_LOCAL 0.03, COMPOUND_GIVEN_LOCAL_LOCAL 0.02"/>
    <s v="Anglo-Celtic local anchor"/>
    <x v="0"/>
  </r>
  <r>
    <s v="CONCACAF"/>
    <s v="United States"/>
    <x v="16"/>
    <n v="10"/>
    <s v="United States 0.40, Germany 0.24, Italy 0.10, France 0.10, Poland 0.08, Austria 0.08"/>
    <s v="LOCAL_LOCAL 0.95, DOUBLE_SURNAME_LOCAL_LOCAL 0.03, COMPOUND_GIVEN_LOCAL_LOCAL 0.02"/>
    <s v="Broad continental white anchor"/>
    <x v="0"/>
  </r>
  <r>
    <s v="CONCACAF"/>
    <s v="United States"/>
    <x v="9"/>
    <n v="13"/>
    <s v="United States 0.40, Nigeria 0.20, Ghana 0.15, Jamaica 0.15, Senegal 0.10"/>
    <s v="LOCAL_LOCAL 0.90, DOUBLE_SURNAME_LOCAL_LOCAL 0.05, COMPOUND_GIVEN_LOCAL_LOCAL 0.05"/>
    <s v="Major football-use Black American anchor; naming kept broad US-local"/>
    <x v="0"/>
  </r>
  <r>
    <s v="CONCACAF"/>
    <s v="United States"/>
    <x v="12"/>
    <n v="5"/>
    <s v="Jamaica 0.32, Haiti 0.20, Trinidad and Tobago 0.20, Dominican Republic 0.16, Cuba 0.12"/>
    <s v="LOCAL_HERITAGE 0.46, HERITAGE_HERITAGE 0.49, LOCAL_LOCAL 0.04, HERITAGE_LOCAL 0.01"/>
    <s v="Caribbean black/mixed spill; removed unsupported Puerto Rico"/>
    <x v="0"/>
  </r>
  <r>
    <s v="CONCACAF"/>
    <s v="United States"/>
    <x v="22"/>
    <n v="16"/>
    <s v="Mexico 0.52, El Salvador 0.14, Guatemala 0.10, Honduras 0.10, Dominican Republic 0.08, United States 0.06"/>
    <s v="LOCAL_LOCAL 0.90, DOUBLE_SURNAME_LOCAL_LOCAL 0.05, COMPOUND_GIVEN_LOCAL_LOCAL 0.05"/>
    <s v="Major Hispanic football anchor; naming kept broad US-local"/>
    <x v="0"/>
  </r>
  <r>
    <s v="CONCACAF"/>
    <s v="United States"/>
    <x v="20"/>
    <n v="6"/>
    <s v="Colombia 0.32, Venezuela 0.24, Ecuador 0.16, Peru 0.12, Dominican Republic 0.10, United States 0.06"/>
    <s v="LOCAL_HERITAGE 0.44, HERITAGE_HERITAGE 0.51, LOCAL_LOCAL 0.04, HERITAGE_LOCAL 0.01"/>
    <s v="Pan-Latin spill"/>
    <x v="0"/>
  </r>
  <r>
    <s v="CONCACAF"/>
    <s v="United States"/>
    <x v="31"/>
    <n v="3"/>
    <s v="India South 0.36, India Gangetic 0.22, Pakistan Punjabi 0.18, Bangladesh 0.12, United States 0.12"/>
    <s v="LOCAL_HERITAGE 0.40, HERITAGE_HERITAGE 0.55, LOCAL_LOCAL 0.04, HERITAGE_LOCAL 0.01"/>
    <s v="South Asian spill; naming kept broad US-local"/>
    <x v="0"/>
  </r>
  <r>
    <s v="CONCACAF"/>
    <s v="United States"/>
    <x v="4"/>
    <n v="2"/>
    <s v="Lebanon 0.30, Syria 0.20, Palestine 0.20, Iraq 0.15, Jordan 0.15"/>
    <s v="LOCAL_HERITAGE 0.42, HERITAGE_HERITAGE 0.53, LOCAL_LOCAL 0.04, HERITAGE_LOCAL 0.01"/>
    <s v="Arab-American spill"/>
    <x v="0"/>
  </r>
  <r>
    <s v="CONCACAF"/>
    <s v="United States"/>
    <x v="32"/>
    <n v="2"/>
    <s v="China 0.70, Taiwan 0.15, United States 0.15"/>
    <s v="LOCAL_HERITAGE 0.40, HERITAGE_HERITAGE 0.55, LOCAL_LOCAL 0.04, HERITAGE_LOCAL 0.01"/>
    <s v="East Asian spill; removed China North/South custom split"/>
    <x v="0"/>
  </r>
  <r>
    <s v="CONCACAF"/>
    <s v="United States"/>
    <x v="33"/>
    <n v="2"/>
    <s v="Samoa 0.34, Tonga 0.24, Fiji 0.18, New Zealand 0.12, United States 0.12"/>
    <s v="LOCAL_HERITAGE 0.44, HERITAGE_HERITAGE 0.51, LOCAL_LOCAL 0.04, HERITAGE_LOCAL 0.01"/>
    <s v="Pacific/Island spill; removed Hawaii and Māori custom pools"/>
    <x v="0"/>
  </r>
  <r>
    <s v="CONCACAF"/>
    <s v="United States"/>
    <x v="2"/>
    <n v="2"/>
    <s v="United States 0.50, Ireland 0.25, Scotland 0.15, England 0.10"/>
    <s v="LOCAL_LOCAL 0.95, DOUBLE_SURNAME_LOCAL_LOCAL 0.03, COMPOUND_GIVEN_LOCAL_LOCAL 0.02"/>
    <s v="Optional ginger injection, naming stays local"/>
    <x v="0"/>
  </r>
  <r>
    <s v="CONCACAF"/>
    <s v="United States"/>
    <x v="0"/>
    <n v="2"/>
    <s v="United States 0.40, Sweden 0.20, Norway 0.20, Denmark 0.20"/>
    <s v="LOCAL_LOCAL 0.95, DOUBLE_SURNAME_LOCAL_LOCAL 0.03, COMPOUND_GIVEN_LOCAL_LOCAL 0.02"/>
    <s v="Optional blondness boost, naming stays local"/>
    <x v="0"/>
  </r>
  <r>
    <s v="CONCACAF"/>
    <s v="United States"/>
    <x v="11"/>
    <n v="3"/>
    <s v="United States 0.50, England 0.18, Ireland 0.12, Scotland 0.06, Mexico 0.06, Nigeria 0.04, Jamaica 0.04"/>
    <s v="LOCAL_HERITAGE 0.55, HERITAGE_HERITAGE 0.30, LOCAL_LOCAL 0.10, HERITAGE_LOCAL 0.05"/>
    <s v="Mixed modern US row"/>
    <x v="0"/>
  </r>
  <r>
    <s v="CONCACAF"/>
    <s v="Canada"/>
    <x v="11"/>
    <n v="24"/>
    <s v="Canada 0.40, England 0.24, Ireland 0.14, Scotland 0.14, Wales 0.08"/>
    <s v="LOCAL_LOCAL 0.95, DOUBLE_SURNAME_LOCAL_LOCAL 0.03, COMPOUND_GIVEN_LOCAL_LOCAL 0.02"/>
    <s v="Anglo-Celtic local anchor"/>
    <x v="0"/>
  </r>
  <r>
    <s v="CONCACAF"/>
    <s v="Canada"/>
    <x v="1"/>
    <n v="16"/>
    <s v="Canada 0.42, England 0.18, Germany 0.14, Netherlands 0.10, Norway 0.08, Sweden 0.08"/>
    <s v="LOCAL_LOCAL 0.95, DOUBLE_SURNAME_LOCAL_LOCAL 0.03, COMPOUND_GIVEN_LOCAL_LOCAL 0.02"/>
    <s v="Lighter-feature white anchor"/>
    <x v="0"/>
  </r>
  <r>
    <s v="CONCACAF"/>
    <s v="Canada"/>
    <x v="16"/>
    <n v="12"/>
    <s v="Canada 0.40, France 0.18, Germany 0.18, Italy 0.10, Poland 0.08, Belgium 0.06"/>
    <s v="LOCAL_LOCAL 0.95, DOUBLE_SURNAME_LOCAL_LOCAL 0.03, COMPOUND_GIVEN_LOCAL_LOCAL 0.02"/>
    <s v="Continental white anchor"/>
    <x v="0"/>
  </r>
  <r>
    <s v="CONCACAF"/>
    <s v="Canada"/>
    <x v="9"/>
    <n v="8"/>
    <s v="Canada 0.40, Nigeria 0.20, Ghana 0.16, Jamaica 0.14, Haiti 0.10"/>
    <s v="LOCAL_LOCAL 0.90, DOUBLE_SURNAME_LOCAL_LOCAL 0.05, COMPOUND_GIVEN_LOCAL_LOCAL 0.05"/>
    <s v="Black Canadian football anchor; naming kept broad Canada-local"/>
    <x v="0"/>
  </r>
  <r>
    <s v="CONCACAF"/>
    <s v="Canada"/>
    <x v="12"/>
    <n v="6"/>
    <s v="Jamaica 0.32, Haiti 0.24, Trinidad and Tobago 0.20, Dominican Republic 0.14, Cuba 0.10"/>
    <s v="LOCAL_HERITAGE 0.46, HERITAGE_HERITAGE 0.49, LOCAL_LOCAL 0.04, HERITAGE_LOCAL 0.01"/>
    <s v="Caribbean spill; removed unsupported Barbados"/>
    <x v="0"/>
  </r>
  <r>
    <s v="CONCACAF"/>
    <s v="Canada"/>
    <x v="22"/>
    <n v="6"/>
    <s v="Mexico 0.46, El Salvador 0.14, Colombia 0.12, Guatemala 0.10, Honduras 0.10, Canada 0.08"/>
    <s v="LOCAL_HERITAGE 0.44, HERITAGE_HERITAGE 0.51, LOCAL_LOCAL 0.04, HERITAGE_LOCAL 0.01"/>
    <s v="Hispanic spill; naming kept broad Canada-local"/>
    <x v="0"/>
  </r>
  <r>
    <s v="CONCACAF"/>
    <s v="Canada"/>
    <x v="20"/>
    <n v="4"/>
    <s v="Colombia 0.30, Venezuela 0.22, Ecuador 0.16, Peru 0.12, Dominican Republic 0.10, Canada 0.10"/>
    <s v="LOCAL_HERITAGE 0.44, HERITAGE_HERITAGE 0.51, LOCAL_LOCAL 0.04, HERITAGE_LOCAL 0.01"/>
    <s v="Pan-Latin spill"/>
    <x v="0"/>
  </r>
  <r>
    <s v="CONCACAF"/>
    <s v="Canada"/>
    <x v="4"/>
    <n v="4"/>
    <s v="Lebanon 0.34, Syria 0.20, Palestine 0.16, Iraq 0.15, Jordan 0.15"/>
    <s v="LOCAL_HERITAGE 0.42, HERITAGE_HERITAGE 0.53, LOCAL_LOCAL 0.04, HERITAGE_LOCAL 0.01"/>
    <s v="Arab spill"/>
    <x v="0"/>
  </r>
  <r>
    <s v="CONCACAF"/>
    <s v="Canada"/>
    <x v="31"/>
    <n v="4"/>
    <s v="India South 0.34, India Gangetic 0.24, Pakistan Punjabi 0.20, Bangladesh 0.10, Canada 0.12"/>
    <s v="LOCAL_HERITAGE 0.40, HERITAGE_HERITAGE 0.55, LOCAL_LOCAL 0.04, HERITAGE_LOCAL 0.01"/>
    <s v="South Asian spill; naming kept broad Canada-local"/>
    <x v="0"/>
  </r>
  <r>
    <s v="CONCACAF"/>
    <s v="Canada"/>
    <x v="32"/>
    <n v="3"/>
    <s v="China 0.56, Hong Kong 0.16, Taiwan 0.12, Canada 0.16"/>
    <s v="LOCAL_HERITAGE 0.40, HERITAGE_HERITAGE 0.55, LOCAL_LOCAL 0.04, HERITAGE_LOCAL 0.01"/>
    <s v="East Asian spill; removed China North/South custom split"/>
    <x v="0"/>
  </r>
  <r>
    <s v="CONCACAF"/>
    <s v="Canada"/>
    <x v="34"/>
    <n v="2"/>
    <s v="Philippines 1.00"/>
    <s v="LOCAL_HERITAGE 0.40, HERITAGE_HERITAGE 0.55, LOCAL_LOCAL 0.04, HERITAGE_LOCAL 0.01"/>
    <s v="Filipino spill; removed Tagalog/Visayan custom split"/>
    <x v="0"/>
  </r>
  <r>
    <s v="CONCACAF"/>
    <s v="Canada"/>
    <x v="35"/>
    <n v="2"/>
    <s v="Ethiopia 0.25, Somalia 0.20, Eritrea 0.15, Kenya 0.20, Uganda 0.20"/>
    <s v="LOCAL_HERITAGE 0.42, HERITAGE_HERITAGE 0.53, LOCAL_LOCAL 0.04, HERITAGE_LOCAL 0.01"/>
    <s v="East African spill"/>
    <x v="0"/>
  </r>
  <r>
    <s v="CONCACAF"/>
    <s v="Canada"/>
    <x v="2"/>
    <n v="2"/>
    <s v="Canada 0.50, Ireland 0.25, Scotland 0.15, England 0.10"/>
    <s v="LOCAL_LOCAL 0.95, DOUBLE_SURNAME_LOCAL_LOCAL 0.03, COMPOUND_GIVEN_LOCAL_LOCAL 0.02"/>
    <s v="Optional ginger injection, naming stays local"/>
    <x v="0"/>
  </r>
  <r>
    <s v="CONCACAF"/>
    <s v="Canada"/>
    <x v="0"/>
    <n v="2"/>
    <s v="Canada 0.40, Sweden 0.20, Norway 0.20, Denmark 0.20"/>
    <s v="LOCAL_LOCAL 0.95, DOUBLE_SURNAME_LOCAL_LOCAL 0.03, COMPOUND_GIVEN_LOCAL_LOCAL 0.02"/>
    <s v="Optional blondness boost, naming stays local"/>
    <x v="0"/>
  </r>
  <r>
    <s v="CONCACAF"/>
    <s v="Canada"/>
    <x v="11"/>
    <n v="5"/>
    <s v="Canada 0.44, England 0.18, France 0.10, Nigeria 0.08, Jamaica 0.08, India South 0.06, Lebanon 0.03, China 0.03"/>
    <s v="LOCAL_HERITAGE 0.55, HERITAGE_HERITAGE 0.30, LOCAL_LOCAL 0.10, HERITAGE_LOCAL 0.05"/>
    <s v="Mixed modern Canadian row"/>
    <x v="0"/>
  </r>
  <r>
    <s v="CONCACAF"/>
    <s v="Mexico"/>
    <x v="22"/>
    <n v="62"/>
    <s v="Mexico 0.88, Guatemala 0.06, Honduras 0.03, El Salvador 0.03"/>
    <s v="LOCAL_LOCAL 0.95, DOUBLE_SURNAME_LOCAL_LOCAL 0.03, COMPOUND_GIVEN_LOCAL_LOCAL 0.02"/>
    <s v="Main local anchor"/>
    <x v="0"/>
  </r>
  <r>
    <s v="CONCACAF"/>
    <s v="Mexico"/>
    <x v="36"/>
    <n v="20"/>
    <s v="Mexico 0.78, Guatemala 0.12, Bolivia 0.05, Peru 0.05"/>
    <s v="LOCAL_LOCAL 0.90, DOUBLE_SURNAME_LOCAL_LOCAL 0.05, COMPOUND_GIVEN_LOCAL_LOCAL 0.05"/>
    <s v="Indigenous-leaning local read"/>
    <x v="0"/>
  </r>
  <r>
    <s v="CONCACAF"/>
    <s v="Mexico"/>
    <x v="20"/>
    <n v="5"/>
    <s v="Colombia 0.35, Venezuela 0.30, Ecuador 0.20, Dominican Republic 0.15"/>
    <s v="LOCAL_HERITAGE 0.42, HERITAGE_HERITAGE 0.53, LOCAL_LOCAL 0.04, HERITAGE_LOCAL 0.01"/>
    <s v="Pan-Latin spill"/>
    <x v="0"/>
  </r>
  <r>
    <s v="CONCACAF"/>
    <s v="Mexico"/>
    <x v="12"/>
    <n v="4"/>
    <s v="Cuba 0.35, Dominican Republic 0.35, Jamaica 0.30"/>
    <s v="LOCAL_HERITAGE 0.42, HERITAGE_HERITAGE 0.53, LOCAL_LOCAL 0.04, HERITAGE_LOCAL 0.01"/>
    <s v="Caribbean spill without unsupported Puerto Rico"/>
    <x v="0"/>
  </r>
  <r>
    <s v="CONCACAF"/>
    <s v="Mexico"/>
    <x v="21"/>
    <n v="4"/>
    <s v="Peru 0.35, Ecuador 0.30, Bolivia 0.20, Colombia 0.15"/>
    <s v="LOCAL_HERITAGE 0.42, HERITAGE_HERITAGE 0.53, LOCAL_LOCAL 0.04, HERITAGE_LOCAL 0.01"/>
    <s v="Southward spill"/>
    <x v="0"/>
  </r>
  <r>
    <s v="CONCACAF"/>
    <s v="Mexico"/>
    <x v="19"/>
    <n v="3"/>
    <s v="Spain 0.75, Portugal 0.25"/>
    <s v="LOCAL_HERITAGE 0.48, HERITAGE_HERITAGE 0.45, LOCAL_LOCAL 0.05, HERITAGE_LOCAL 0.02"/>
    <s v="Iberian spill"/>
    <x v="0"/>
  </r>
  <r>
    <s v="CONCACAF"/>
    <s v="Mexico"/>
    <x v="9"/>
    <n v="2"/>
    <s v="Nigeria 0.35, Ghana 0.25, Senegal 0.20, Ivory Coast 0.20"/>
    <s v="LOCAL_HERITAGE 0.38, HERITAGE_HERITAGE 0.57, LOCAL_LOCAL 0.04, HERITAGE_LOCAL 0.01"/>
    <s v="Small football spill"/>
    <x v="0"/>
  </r>
  <r>
    <s v="CONCACAF"/>
    <s v="Jamaica"/>
    <x v="12"/>
    <n v="88"/>
    <s v="Jamaica 0.88, Trinidad and Tobago 0.07, Dominican Republic 0.05"/>
    <s v="LOCAL_LOCAL 0.95, DOUBLE_SURNAME_LOCAL_LOCAL 0.03, COMPOUND_GIVEN_LOCAL_LOCAL 0.02"/>
    <s v="Main local pool"/>
    <x v="0"/>
  </r>
  <r>
    <s v="CONCACAF"/>
    <s v="Jamaica"/>
    <x v="9"/>
    <n v="6"/>
    <s v="Nigeria 0.35, Ghana 0.25, Senegal 0.20, Ivory Coast 0.20"/>
    <s v="LOCAL_HERITAGE 0.38, HERITAGE_HERITAGE 0.57, LOCAL_LOCAL 0.04, HERITAGE_LOCAL 0.01"/>
    <s v="Atlantic/Afro spill"/>
    <x v="0"/>
  </r>
  <r>
    <s v="CONCACAF"/>
    <s v="Jamaica"/>
    <x v="20"/>
    <n v="2"/>
    <s v="Colombia 0.35, Venezuela 0.30, Ecuador 0.20, Dominican Republic 0.15"/>
    <s v="LOCAL_HERITAGE 0.42, HERITAGE_HERITAGE 0.53, LOCAL_LOCAL 0.04, HERITAGE_LOCAL 0.01"/>
    <s v="Regional spill"/>
    <x v="0"/>
  </r>
  <r>
    <s v="CONCACAF"/>
    <s v="Jamaica"/>
    <x v="22"/>
    <n v="2"/>
    <s v="Mexico 0.40, Honduras 0.30, Jamaica 0.30"/>
    <s v="LOCAL_HERITAGE 0.46, HERITAGE_HERITAGE 0.49, LOCAL_LOCAL 0.04, HERITAGE_LOCAL 0.01"/>
    <s v="Regional spill"/>
    <x v="0"/>
  </r>
  <r>
    <s v="CONCACAF"/>
    <s v="Jamaica"/>
    <x v="19"/>
    <n v="1"/>
    <s v="England 0.60, Spain 0.25, Portugal 0.15"/>
    <s v="LOCAL_HERITAGE 0.48, HERITAGE_HERITAGE 0.45, LOCAL_LOCAL 0.05, HERITAGE_LOCAL 0.02"/>
    <s v="Colonial spill"/>
    <x v="0"/>
  </r>
  <r>
    <s v="CONCACAF"/>
    <s v="Jamaica"/>
    <x v="12"/>
    <n v="1"/>
    <s v="Jamaica 0.60, Trinidad and Tobago 0.25, Dominican Republic 0.15"/>
    <s v="LOCAL_HERITAGE 0.55, HERITAGE_HERITAGE 0.30, LOCAL_LOCAL 0.10, HERITAGE_LOCAL 0.05"/>
    <s v="Mixed Caribbean row"/>
    <x v="0"/>
  </r>
  <r>
    <s v="CONCACAF"/>
    <s v="Cuba"/>
    <x v="12"/>
    <n v="68"/>
    <s v="Cuba 0.88, Dominican Republic 0.12"/>
    <s v="LOCAL_LOCAL 0.95, DOUBLE_SURNAME_LOCAL_LOCAL 0.03, COMPOUND_GIVEN_LOCAL_LOCAL 0.02"/>
    <s v="Main local anchor"/>
    <x v="0"/>
  </r>
  <r>
    <s v="CONCACAF"/>
    <s v="Cuba"/>
    <x v="22"/>
    <n v="10"/>
    <s v="Mexico 0.45, Cuba 0.30, Dominican Republic 0.25"/>
    <s v="LOCAL_HERITAGE 0.46, HERITAGE_HERITAGE 0.49, LOCAL_LOCAL 0.04, HERITAGE_LOCAL 0.01"/>
    <s v="Hispanic-Caribbean bridge"/>
    <x v="0"/>
  </r>
  <r>
    <s v="CONCACAF"/>
    <s v="Cuba"/>
    <x v="20"/>
    <n v="8"/>
    <s v="Colombia 0.40, Venezuela 0.30, Dominican Republic 0.20, Ecuador 0.10"/>
    <s v="LOCAL_HERITAGE 0.42, HERITAGE_HERITAGE 0.53, LOCAL_LOCAL 0.04, HERITAGE_LOCAL 0.01"/>
    <s v="Latin spill"/>
    <x v="0"/>
  </r>
  <r>
    <s v="CONCACAF"/>
    <s v="Cuba"/>
    <x v="9"/>
    <n v="7"/>
    <s v="Nigeria 0.35, Ghana 0.25, Senegal 0.20, Ivory Coast 0.20"/>
    <s v="LOCAL_HERITAGE 0.38, HERITAGE_HERITAGE 0.57, LOCAL_LOCAL 0.04, HERITAGE_LOCAL 0.01"/>
    <s v="Atlantic/Afro spill"/>
    <x v="0"/>
  </r>
  <r>
    <s v="CONCACAF"/>
    <s v="Cuba"/>
    <x v="19"/>
    <n v="4"/>
    <s v="Spain 0.75, Portugal 0.25"/>
    <s v="LOCAL_HERITAGE 0.48, HERITAGE_HERITAGE 0.45, LOCAL_LOCAL 0.05, HERITAGE_LOCAL 0.02"/>
    <s v="Iberian spill"/>
    <x v="0"/>
  </r>
  <r>
    <s v="CONCACAF"/>
    <s v="Cuba"/>
    <x v="24"/>
    <n v="1"/>
    <s v="Brazil 1.00"/>
    <s v="LOCAL_HERITAGE 0.42, HERITAGE_HERITAGE 0.53, LOCAL_LOCAL 0.04, HERITAGE_LOCAL 0.01"/>
    <s v="Small Atlantic spill"/>
    <x v="0"/>
  </r>
  <r>
    <s v="CONCACAF"/>
    <s v="Cuba"/>
    <x v="12"/>
    <n v="2"/>
    <s v="Cuba 0.60, Dominican Republic 0.40"/>
    <s v="LOCAL_HERITAGE 0.55, HERITAGE_HERITAGE 0.30, LOCAL_LOCAL 0.10, HERITAGE_LOCAL 0.05"/>
    <s v="Mixed Caribbean row"/>
    <x v="0"/>
  </r>
  <r>
    <s v="CONCACAF"/>
    <s v="Dominican Republic"/>
    <x v="12"/>
    <n v="76"/>
    <s v="Dominican Republic 0.90, Cuba 0.10"/>
    <s v="LOCAL_LOCAL 0.95, DOUBLE_SURNAME_LOCAL_LOCAL 0.03, COMPOUND_GIVEN_LOCAL_LOCAL 0.02"/>
    <s v="Main local anchor"/>
    <x v="0"/>
  </r>
  <r>
    <s v="CONCACAF"/>
    <s v="Dominican Republic"/>
    <x v="20"/>
    <n v="8"/>
    <s v="Colombia 0.35, Venezuela 0.30, Ecuador 0.20, Dominican Republic 0.15"/>
    <s v="LOCAL_HERITAGE 0.42, HERITAGE_HERITAGE 0.53, LOCAL_LOCAL 0.04, HERITAGE_LOCAL 0.01"/>
    <s v="Latin spill"/>
    <x v="0"/>
  </r>
  <r>
    <s v="CONCACAF"/>
    <s v="Dominican Republic"/>
    <x v="22"/>
    <n v="6"/>
    <s v="Mexico 0.40, Dominican Republic 0.35, Honduras 0.25"/>
    <s v="LOCAL_HERITAGE 0.46, HERITAGE_HERITAGE 0.49, LOCAL_LOCAL 0.04, HERITAGE_LOCAL 0.01"/>
    <s v="Hispanic-Caribbean bridge"/>
    <x v="0"/>
  </r>
  <r>
    <s v="CONCACAF"/>
    <s v="Dominican Republic"/>
    <x v="9"/>
    <n v="6"/>
    <s v="Nigeria 0.35, Ghana 0.25, Senegal 0.20, Ivory Coast 0.20"/>
    <s v="LOCAL_HERITAGE 0.38, HERITAGE_HERITAGE 0.57, LOCAL_LOCAL 0.04, HERITAGE_LOCAL 0.01"/>
    <s v="Atlantic/Afro spill"/>
    <x v="0"/>
  </r>
  <r>
    <s v="CONCACAF"/>
    <s v="Dominican Republic"/>
    <x v="19"/>
    <n v="2"/>
    <s v="Spain 0.75, Portugal 0.25"/>
    <s v="LOCAL_HERITAGE 0.48, HERITAGE_HERITAGE 0.45, LOCAL_LOCAL 0.05, HERITAGE_LOCAL 0.02"/>
    <s v="Iberian spill"/>
    <x v="0"/>
  </r>
  <r>
    <s v="CONCACAF"/>
    <s v="Dominican Republic"/>
    <x v="24"/>
    <n v="1"/>
    <s v="Brazil 1.00"/>
    <s v="LOCAL_HERITAGE 0.42, HERITAGE_HERITAGE 0.53, LOCAL_LOCAL 0.04, HERITAGE_LOCAL 0.01"/>
    <s v="Small Atlantic spill"/>
    <x v="0"/>
  </r>
  <r>
    <s v="CONCACAF"/>
    <s v="Dominican Republic"/>
    <x v="12"/>
    <n v="1"/>
    <s v="Dominican Republic 0.60, Cuba 0.40"/>
    <s v="LOCAL_HERITAGE 0.55, HERITAGE_HERITAGE 0.30, LOCAL_LOCAL 0.10, HERITAGE_LOCAL 0.05"/>
    <s v="Mixed Caribbean row"/>
    <x v="0"/>
  </r>
  <r>
    <s v="CONCACAF"/>
    <s v="Puerto Rico"/>
    <x v="12"/>
    <n v="74"/>
    <s v="Dominican Republic 0.45, Cuba 0.30, Spain 0.15, Jamaica 0.10"/>
    <s v="LOCAL_LOCAL 0.95, DOUBLE_SURNAME_LOCAL_LOCAL 0.03, COMPOUND_GIVEN_LOCAL_LOCAL 0.02"/>
    <s v="Proxy local anchor; no direct supported Puerto Rico dataset"/>
    <x v="0"/>
  </r>
  <r>
    <s v="CONCACAF"/>
    <s v="Puerto Rico"/>
    <x v="20"/>
    <n v="6"/>
    <s v="Colombia 0.35, Venezuela 0.30, Ecuador 0.20, Dominican Republic 0.15"/>
    <s v="LOCAL_HERITAGE 0.42, HERITAGE_HERITAGE 0.53, LOCAL_LOCAL 0.04, HERITAGE_LOCAL 0.01"/>
    <s v="Latin spill"/>
    <x v="0"/>
  </r>
  <r>
    <s v="CONCACAF"/>
    <s v="Puerto Rico"/>
    <x v="22"/>
    <n v="6"/>
    <s v="Mexico 0.40, Dominican Republic 0.35, Honduras 0.25"/>
    <s v="LOCAL_HERITAGE 0.46, HERITAGE_HERITAGE 0.49, LOCAL_LOCAL 0.04, HERITAGE_LOCAL 0.01"/>
    <s v="Hispanic-Caribbean bridge"/>
    <x v="0"/>
  </r>
  <r>
    <s v="CONCACAF"/>
    <s v="Puerto Rico"/>
    <x v="9"/>
    <n v="6"/>
    <s v="Nigeria 0.35, Ghana 0.25, Senegal 0.20, Ivory Coast 0.20"/>
    <s v="LOCAL_HERITAGE 0.38, HERITAGE_HERITAGE 0.57, LOCAL_LOCAL 0.04, HERITAGE_LOCAL 0.01"/>
    <s v="Atlantic/Afro spill"/>
    <x v="0"/>
  </r>
  <r>
    <s v="CONCACAF"/>
    <s v="Puerto Rico"/>
    <x v="19"/>
    <n v="4"/>
    <s v="Spain 0.75, Portugal 0.25"/>
    <s v="LOCAL_HERITAGE 0.48, HERITAGE_HERITAGE 0.45, LOCAL_LOCAL 0.05, HERITAGE_LOCAL 0.02"/>
    <s v="Iberian spill"/>
    <x v="0"/>
  </r>
  <r>
    <s v="CONCACAF"/>
    <s v="Puerto Rico"/>
    <x v="12"/>
    <n v="4"/>
    <s v="Dominican Republic 0.45, Cuba 0.35, Jamaica 0.20"/>
    <s v="LOCAL_HERITAGE 0.55, HERITAGE_HERITAGE 0.30, LOCAL_LOCAL 0.10, HERITAGE_LOCAL 0.05"/>
    <s v="Mixed proxy row"/>
    <x v="0"/>
  </r>
  <r>
    <s v="CONCACAF"/>
    <s v="Costa Rica"/>
    <x v="22"/>
    <n v="80"/>
    <s v="Costa Rica 0.82, Nicaragua 0.08, Honduras 0.06, Panama 0.04"/>
    <s v="LOCAL_LOCAL 0.95, DOUBLE_SURNAME_LOCAL_LOCAL 0.03, COMPOUND_GIVEN_LOCAL_LOCAL 0.02"/>
    <s v="Main local anchor"/>
    <x v="0"/>
  </r>
  <r>
    <s v="CONCACAF"/>
    <s v="Costa Rica"/>
    <x v="12"/>
    <n v="8"/>
    <s v="Jamaica 0.35, Dominican Republic 0.35, Cuba 0.30"/>
    <s v="LOCAL_HERITAGE 0.42, HERITAGE_HERITAGE 0.53, LOCAL_LOCAL 0.04, HERITAGE_LOCAL 0.01"/>
    <s v="Caribbean spill without unsupported Puerto Rico"/>
    <x v="0"/>
  </r>
  <r>
    <s v="CONCACAF"/>
    <s v="Costa Rica"/>
    <x v="36"/>
    <n v="4"/>
    <s v="Guatemala 0.35, Mexico 0.35, Costa Rica 0.30"/>
    <s v="LOCAL_LOCAL 0.90, DOUBLE_SURNAME_LOCAL_LOCAL 0.05, COMPOUND_GIVEN_LOCAL_LOCAL 0.05"/>
    <s v="Small indigenous-facing spill"/>
    <x v="0"/>
  </r>
  <r>
    <s v="CONCACAF"/>
    <s v="Costa Rica"/>
    <x v="20"/>
    <n v="3"/>
    <s v="Colombia 0.35, Venezuela 0.30, Ecuador 0.20, Dominican Republic 0.15"/>
    <s v="LOCAL_HERITAGE 0.42, HERITAGE_HERITAGE 0.53, LOCAL_LOCAL 0.04, HERITAGE_LOCAL 0.01"/>
    <s v="Latin spill"/>
    <x v="0"/>
  </r>
  <r>
    <s v="CONCACAF"/>
    <s v="Costa Rica"/>
    <x v="19"/>
    <n v="3"/>
    <s v="Spain 0.75, Portugal 0.25"/>
    <s v="LOCAL_HERITAGE 0.48, HERITAGE_HERITAGE 0.45, LOCAL_LOCAL 0.05, HERITAGE_LOCAL 0.02"/>
    <s v="Iberian spill"/>
    <x v="0"/>
  </r>
  <r>
    <s v="CONCACAF"/>
    <s v="Costa Rica"/>
    <x v="9"/>
    <n v="2"/>
    <s v="Nigeria 0.35, Ghana 0.25, Senegal 0.20, Ivory Coast 0.20"/>
    <s v="LOCAL_HERITAGE 0.38, HERITAGE_HERITAGE 0.57, LOCAL_LOCAL 0.04, HERITAGE_LOCAL 0.01"/>
    <s v="Small football spill"/>
    <x v="0"/>
  </r>
  <r>
    <s v="CONCACAF"/>
    <s v="Trinidad and Tobago"/>
    <x v="12"/>
    <n v="64"/>
    <s v="Trinidad and Tobago 0.74, Jamaica 0.12, Dominican Republic 0.08, Cuba 0.06"/>
    <s v="LOCAL_LOCAL 0.95, DOUBLE_SURNAME_LOCAL_LOCAL 0.03, COMPOUND_GIVEN_LOCAL_LOCAL 0.02"/>
    <s v="Main local anchor"/>
    <x v="0"/>
  </r>
  <r>
    <s v="CONCACAF"/>
    <s v="Trinidad and Tobago"/>
    <x v="31"/>
    <n v="10"/>
    <s v="India South 0.50, India Gangetic 0.20, Trinidad and Tobago 0.30"/>
    <s v="LOCAL_HERITAGE 0.42, HERITAGE_HERITAGE 0.53, LOCAL_LOCAL 0.04, HERITAGE_LOCAL 0.01"/>
    <s v="Indo-Caribbean spill without unsupported Guyana/Suriname sub-pools"/>
    <x v="0"/>
  </r>
  <r>
    <s v="CONCACAF"/>
    <s v="Trinidad and Tobago"/>
    <x v="20"/>
    <n v="8"/>
    <s v="Venezuela 0.40, Colombia 0.30, Brazil 0.15, Dominican Republic 0.15"/>
    <s v="LOCAL_HERITAGE 0.42, HERITAGE_HERITAGE 0.53, LOCAL_LOCAL 0.04, HERITAGE_LOCAL 0.01"/>
    <s v="South American spill"/>
    <x v="0"/>
  </r>
  <r>
    <s v="CONCACAF"/>
    <s v="Trinidad and Tobago"/>
    <x v="9"/>
    <n v="8"/>
    <s v="Nigeria 0.35, Ghana 0.25, Senegal 0.20, Ivory Coast 0.20"/>
    <s v="LOCAL_HERITAGE 0.38, HERITAGE_HERITAGE 0.57, LOCAL_LOCAL 0.04, HERITAGE_LOCAL 0.01"/>
    <s v="Atlantic/Afro spill"/>
    <x v="0"/>
  </r>
  <r>
    <s v="CONCACAF"/>
    <s v="Trinidad and Tobago"/>
    <x v="19"/>
    <n v="3"/>
    <s v="England 0.45, Spain 0.30, Portugal 0.25"/>
    <s v="LOCAL_HERITAGE 0.48, HERITAGE_HERITAGE 0.45, LOCAL_LOCAL 0.05, HERITAGE_LOCAL 0.02"/>
    <s v="Colonial spill"/>
    <x v="0"/>
  </r>
  <r>
    <s v="CONCACAF"/>
    <s v="Trinidad and Tobago"/>
    <x v="22"/>
    <n v="3"/>
    <s v="Mexico 0.35, Honduras 0.35, Trinidad and Tobago 0.30"/>
    <s v="LOCAL_HERITAGE 0.46, HERITAGE_HERITAGE 0.49, LOCAL_LOCAL 0.04, HERITAGE_LOCAL 0.01"/>
    <s v="Regional spill"/>
    <x v="0"/>
  </r>
  <r>
    <s v="CONCACAF"/>
    <s v="Trinidad and Tobago"/>
    <x v="12"/>
    <n v="4"/>
    <s v="Trinidad and Tobago 0.50, Jamaica 0.25, Dominican Republic 0.15, Cuba 0.10"/>
    <s v="LOCAL_HERITAGE 0.55, HERITAGE_HERITAGE 0.30, LOCAL_LOCAL 0.10, HERITAGE_LOCAL 0.05"/>
    <s v="Mixed local row"/>
    <x v="0"/>
  </r>
  <r>
    <s v="CONCACAF"/>
    <s v="Haiti"/>
    <x v="12"/>
    <n v="88"/>
    <s v="Haiti 0.92, Dominican Republic 0.08"/>
    <s v="LOCAL_LOCAL 0.95, DOUBLE_SURNAME_LOCAL_LOCAL 0.03, COMPOUND_GIVEN_LOCAL_LOCAL 0.02"/>
    <s v="Main local pool"/>
    <x v="0"/>
  </r>
  <r>
    <s v="CONCACAF"/>
    <s v="Haiti"/>
    <x v="9"/>
    <n v="6"/>
    <s v="Nigeria 0.35, Ghana 0.25, Senegal 0.20, Ivory Coast 0.20"/>
    <s v="LOCAL_HERITAGE 0.38, HERITAGE_HERITAGE 0.57, LOCAL_LOCAL 0.04, HERITAGE_LOCAL 0.01"/>
    <s v="Atlantic/Afro spill"/>
    <x v="0"/>
  </r>
  <r>
    <s v="CONCACAF"/>
    <s v="Haiti"/>
    <x v="20"/>
    <n v="3"/>
    <s v="Dominican Republic 0.35, Colombia 0.25, Venezuela 0.20, Ecuador 0.20"/>
    <s v="LOCAL_HERITAGE 0.42, HERITAGE_HERITAGE 0.53, LOCAL_LOCAL 0.04, HERITAGE_LOCAL 0.01"/>
    <s v="Regional spill"/>
    <x v="0"/>
  </r>
  <r>
    <s v="CONCACAF"/>
    <s v="Haiti"/>
    <x v="19"/>
    <n v="1"/>
    <s v="France 0.60, Spain 0.20, Portugal 0.20"/>
    <s v="LOCAL_HERITAGE 0.48, HERITAGE_HERITAGE 0.45, LOCAL_LOCAL 0.05, HERITAGE_LOCAL 0.02"/>
    <s v="Colonial spill"/>
    <x v="0"/>
  </r>
  <r>
    <s v="CONCACAF"/>
    <s v="Haiti"/>
    <x v="12"/>
    <n v="2"/>
    <s v="Haiti 0.60, Dominican Republic 0.25, Cuba 0.15"/>
    <s v="LOCAL_HERITAGE 0.55, HERITAGE_HERITAGE 0.30, LOCAL_LOCAL 0.10, HERITAGE_LOCAL 0.05"/>
    <s v="Mixed Caribbean row"/>
    <x v="0"/>
  </r>
  <r>
    <s v="CONCACAF"/>
    <s v="Suriname"/>
    <x v="12"/>
    <n v="38"/>
    <s v="Trinidad and Tobago 0.30, Jamaica 0.20, Guyana Proxy 0.20, Brazil 0.15, Netherlands 0.15"/>
    <s v="LOCAL_LOCAL 0.95, DOUBLE_SURNAME_LOCAL_LOCAL 0.03, COMPOUND_GIVEN_LOCAL_LOCAL 0.02"/>
    <s v="Proxy Creole-facing anchor; no direct supported Suriname dataset"/>
    <x v="1"/>
  </r>
  <r>
    <s v="CONCACAF"/>
    <s v="Suriname"/>
    <x v="20"/>
    <n v="20"/>
    <s v="Brazil 0.30, Guyana Proxy 0.25, Venezuela 0.20, Colombia 0.15, Trinidad and Tobago 0.10"/>
    <s v="LOCAL_LOCAL 0.90, DOUBLE_SURNAME_LOCAL_LOCAL 0.05, COMPOUND_GIVEN_LOCAL_LOCAL 0.05"/>
    <s v="Main Guiana-facing anchor via proxy"/>
    <x v="1"/>
  </r>
  <r>
    <s v="CONCACAF"/>
    <s v="Suriname"/>
    <x v="15"/>
    <n v="14"/>
    <s v="India Gangetic 0.45, India South 0.20, Trinidad and Tobago 0.20, Guyana Proxy 0.15"/>
    <s v="LOCAL_LOCAL 0.90, DOUBLE_SURNAME_LOCAL_LOCAL 0.05, COMPOUND_GIVEN_LOCAL_LOCAL 0.05"/>
    <s v="Indo-Surinamese proxy anchor without custom Hindustani sub-pool"/>
    <x v="1"/>
  </r>
  <r>
    <s v="CONCACAF"/>
    <s v="Suriname"/>
    <x v="24"/>
    <n v="8"/>
    <s v="Brazil 1.00"/>
    <s v="LOCAL_HERITAGE 0.42, HERITAGE_HERITAGE 0.53, LOCAL_LOCAL 0.04, HERITAGE_LOCAL 0.01"/>
    <s v="Brazil-facing spill"/>
    <x v="1"/>
  </r>
  <r>
    <s v="CONCACAF"/>
    <s v="Suriname"/>
    <x v="37"/>
    <n v="4"/>
    <s v="Brazil 1.00"/>
    <s v="LOCAL_HERITAGE 0.42, HERITAGE_HERITAGE 0.53, LOCAL_LOCAL 0.04, HERITAGE_LOCAL 0.01"/>
    <s v="Atlantic spill"/>
    <x v="1"/>
  </r>
  <r>
    <s v="CONCACAF"/>
    <s v="Suriname"/>
    <x v="22"/>
    <n v="4"/>
    <s v="Trinidad and Tobago 0.30, Mexico 0.25, Panama 0.25, Guyana Proxy 0.20"/>
    <s v="LOCAL_HERITAGE 0.42, HERITAGE_HERITAGE 0.53, LOCAL_LOCAL 0.04, HERITAGE_LOCAL 0.01"/>
    <s v="Regional spill"/>
    <x v="1"/>
  </r>
  <r>
    <s v="CONCACAF"/>
    <s v="Suriname"/>
    <x v="19"/>
    <n v="2"/>
    <s v="Netherlands 0.50, Portugal 0.25, Spain 0.25"/>
    <s v="LOCAL_HERITAGE 0.48, HERITAGE_HERITAGE 0.45, LOCAL_LOCAL 0.05, HERITAGE_LOCAL 0.02"/>
    <s v="Colonial spill"/>
    <x v="1"/>
  </r>
  <r>
    <s v="CONCACAF"/>
    <s v="Suriname"/>
    <x v="12"/>
    <n v="10"/>
    <s v="Trinidad and Tobago 0.25, Jamaica 0.20, Brazil 0.20, Guyana Proxy 0.20, Netherlands 0.15"/>
    <s v="LOCAL_HERITAGE 0.55, HERITAGE_HERITAGE 0.30, LOCAL_LOCAL 0.10, HERITAGE_LOCAL 0.05"/>
    <s v="Mixed Suriname proxy row"/>
    <x v="1"/>
  </r>
  <r>
    <s v="CONCACAF"/>
    <s v="Guyana"/>
    <x v="20"/>
    <n v="28"/>
    <s v="Brazil 0.25, Trinidad and Tobago 0.20, Venezuela 0.20, Colombia 0.15, India Gangetic 0.10, India South 0.10"/>
    <s v="LOCAL_LOCAL 0.95, DOUBLE_SURNAME_LOCAL_LOCAL 0.03, COMPOUND_GIVEN_LOCAL_LOCAL 0.02"/>
    <s v="Main Guiana anchor via proxy; no direct supported Guyana dataset"/>
    <x v="1"/>
  </r>
  <r>
    <s v="CONCACAF"/>
    <s v="Guyana"/>
    <x v="12"/>
    <n v="30"/>
    <s v="Trinidad and Tobago 0.30, Jamaica 0.20, Barbados Proxy 0.20, Brazil 0.15, England 0.15"/>
    <s v="LOCAL_LOCAL 0.90, DOUBLE_SURNAME_LOCAL_LOCAL 0.05, COMPOUND_GIVEN_LOCAL_LOCAL 0.05"/>
    <s v="Main Afro-Caribbean-facing anchor"/>
    <x v="1"/>
  </r>
  <r>
    <s v="CONCACAF"/>
    <s v="Guyana"/>
    <x v="15"/>
    <n v="18"/>
    <s v="India Gangetic 0.45, India South 0.20, Trinidad and Tobago 0.20, Brazil 0.15"/>
    <s v="LOCAL_LOCAL 0.90, DOUBLE_SURNAME_LOCAL_LOCAL 0.05, COMPOUND_GIVEN_LOCAL_LOCAL 0.05"/>
    <s v="Main Indo-Guyanese proxy anchor without custom Guyana Indo sub-pool"/>
    <x v="1"/>
  </r>
  <r>
    <s v="CONCACAF"/>
    <s v="Guyana"/>
    <x v="24"/>
    <n v="8"/>
    <s v="Brazil 1.00"/>
    <s v="LOCAL_HERITAGE 0.42, HERITAGE_HERITAGE 0.53, LOCAL_LOCAL 0.04, HERITAGE_LOCAL 0.01"/>
    <s v="Brazil-facing spill"/>
    <x v="1"/>
  </r>
  <r>
    <s v="CONCACAF"/>
    <s v="Guyana"/>
    <x v="22"/>
    <n v="4"/>
    <s v="Trinidad and Tobago 0.30, Mexico 0.25, Panama 0.25, Brazil 0.20"/>
    <s v="LOCAL_HERITAGE 0.42, HERITAGE_HERITAGE 0.53, LOCAL_LOCAL 0.04, HERITAGE_LOCAL 0.01"/>
    <s v="Regional spill"/>
    <x v="1"/>
  </r>
  <r>
    <s v="CONCACAF"/>
    <s v="Guyana"/>
    <x v="9"/>
    <n v="6"/>
    <s v="Nigeria 0.35, Ghana 0.25, Senegal 0.20, Ivory Coast 0.20"/>
    <s v="LOCAL_HERITAGE 0.38, HERITAGE_HERITAGE 0.57, LOCAL_LOCAL 0.04, HERITAGE_LOCAL 0.01"/>
    <s v="Atlantic spill"/>
    <x v="1"/>
  </r>
  <r>
    <s v="CONCACAF"/>
    <s v="Guyana"/>
    <x v="19"/>
    <n v="2"/>
    <s v="England 0.50, Portugal 0.25, Spain 0.25"/>
    <s v="LOCAL_HERITAGE 0.48, HERITAGE_HERITAGE 0.45, LOCAL_LOCAL 0.05, HERITAGE_LOCAL 0.02"/>
    <s v="Colonial spill"/>
    <x v="1"/>
  </r>
  <r>
    <s v="CONCACAF"/>
    <s v="Guyana"/>
    <x v="20"/>
    <n v="4"/>
    <s v="Brazil 0.25, Trinidad and Tobago 0.20, Venezuela 0.20, Colombia 0.20, India Gangetic 0.15"/>
    <s v="LOCAL_HERITAGE 0.55, HERITAGE_HERITAGE 0.30, LOCAL_LOCAL 0.10, HERITAGE_LOCAL 0.05"/>
    <s v="Mixed Guyana proxy row"/>
    <x v="1"/>
  </r>
  <r>
    <s v="CONCACAF"/>
    <s v="Curaçao"/>
    <x v="12"/>
    <n v="74"/>
    <s v="Netherlands 0.25, Dominican Republic 0.20, Trinidad and Tobago 0.20, Venezuela 0.20, Aruba Proxy 0.15"/>
    <s v="LOCAL_LOCAL 0.95, DOUBLE_SURNAME_LOCAL_LOCAL 0.03, COMPOUND_GIVEN_LOCAL_LOCAL 0.02"/>
    <s v="Proxy local anchor; no direct supported Curaçao dataset"/>
    <x v="1"/>
  </r>
  <r>
    <s v="CONCACAF"/>
    <s v="Curaçao"/>
    <x v="20"/>
    <n v="12"/>
    <s v="Venezuela 0.35, Colombia 0.30, Brazil 0.20, Trinidad and Tobago 0.15"/>
    <s v="LOCAL_HERITAGE 0.42, HERITAGE_HERITAGE 0.53, LOCAL_LOCAL 0.04, HERITAGE_LOCAL 0.01"/>
    <s v="Regional spill"/>
    <x v="1"/>
  </r>
  <r>
    <s v="CONCACAF"/>
    <s v="Curaçao"/>
    <x v="9"/>
    <n v="5"/>
    <s v="Nigeria 0.35, Ghana 0.25, Senegal 0.20, Ivory Coast 0.20"/>
    <s v="LOCAL_HERITAGE 0.38, HERITAGE_HERITAGE 0.57, LOCAL_LOCAL 0.04, HERITAGE_LOCAL 0.01"/>
    <s v="Atlantic spill"/>
    <x v="1"/>
  </r>
  <r>
    <s v="CONCACAF"/>
    <s v="Curaçao"/>
    <x v="22"/>
    <n v="3"/>
    <s v="Panama 0.35, Mexico 0.25, Dominican Republic 0.20, Honduras 0.20"/>
    <s v="LOCAL_HERITAGE 0.42, HERITAGE_HERITAGE 0.53, LOCAL_LOCAL 0.04, HERITAGE_LOCAL 0.01"/>
    <s v="Regional spill"/>
    <x v="1"/>
  </r>
  <r>
    <s v="CONCACAF"/>
    <s v="Curaçao"/>
    <x v="19"/>
    <n v="3"/>
    <s v="Netherlands 0.50, Spain 0.25, Portugal 0.25"/>
    <s v="LOCAL_HERITAGE 0.48, HERITAGE_HERITAGE 0.45, LOCAL_LOCAL 0.05, HERITAGE_LOCAL 0.02"/>
    <s v="Colonial spill"/>
    <x v="1"/>
  </r>
  <r>
    <s v="CONCACAF"/>
    <s v="Curaçao"/>
    <x v="24"/>
    <n v="1"/>
    <s v="Brazil 1.00"/>
    <s v="LOCAL_HERITAGE 0.42, HERITAGE_HERITAGE 0.53, LOCAL_LOCAL 0.04, HERITAGE_LOCAL 0.01"/>
    <s v="Small Brazilian spill"/>
    <x v="1"/>
  </r>
  <r>
    <s v="CONCACAF"/>
    <s v="Curaçao"/>
    <x v="12"/>
    <n v="2"/>
    <s v="Netherlands 0.20, Dominican Republic 0.20, Trinidad and Tobago 0.20, Venezuela 0.20, Brazil 0.20"/>
    <s v="LOCAL_HERITAGE 0.55, HERITAGE_HERITAGE 0.30, LOCAL_LOCAL 0.10, HERITAGE_LOCAL 0.05"/>
    <s v="Mixed proxy row"/>
    <x v="1"/>
  </r>
  <r>
    <s v="CONCACAF"/>
    <s v="Aruba"/>
    <x v="12"/>
    <n v="72"/>
    <s v="Netherlands 0.25, Dominican Republic 0.20, Venezuela 0.20, Colombia 0.20, Curaçao Proxy 0.15"/>
    <s v="LOCAL_LOCAL 0.95, DOUBLE_SURNAME_LOCAL_LOCAL 0.03, COMPOUND_GIVEN_LOCAL_LOCAL 0.02"/>
    <s v="Proxy local anchor; no direct supported Aruba dataset"/>
    <x v="1"/>
  </r>
  <r>
    <s v="CONCACAF"/>
    <s v="Aruba"/>
    <x v="20"/>
    <n v="12"/>
    <s v="Venezuela 0.35, Colombia 0.30, Brazil 0.20, Trinidad and Tobago 0.15"/>
    <s v="LOCAL_HERITAGE 0.42, HERITAGE_HERITAGE 0.53, LOCAL_LOCAL 0.04, HERITAGE_LOCAL 0.01"/>
    <s v="Regional spill"/>
    <x v="1"/>
  </r>
  <r>
    <s v="CONCACAF"/>
    <s v="Aruba"/>
    <x v="9"/>
    <n v="5"/>
    <s v="Nigeria 0.35, Ghana 0.25, Senegal 0.20, Ivory Coast 0.20"/>
    <s v="LOCAL_HERITAGE 0.38, HERITAGE_HERITAGE 0.57, LOCAL_LOCAL 0.04, HERITAGE_LOCAL 0.01"/>
    <s v="Atlantic spill"/>
    <x v="1"/>
  </r>
  <r>
    <s v="CONCACAF"/>
    <s v="Aruba"/>
    <x v="22"/>
    <n v="3"/>
    <s v="Panama 0.35, Mexico 0.25, Dominican Republic 0.20, Honduras 0.20"/>
    <s v="LOCAL_HERITAGE 0.42, HERITAGE_HERITAGE 0.53, LOCAL_LOCAL 0.04, HERITAGE_LOCAL 0.01"/>
    <s v="Regional spill"/>
    <x v="1"/>
  </r>
  <r>
    <s v="CONCACAF"/>
    <s v="Aruba"/>
    <x v="19"/>
    <n v="3"/>
    <s v="Netherlands 0.50, Spain 0.25, Portugal 0.25"/>
    <s v="LOCAL_HERITAGE 0.48, HERITAGE_HERITAGE 0.45, LOCAL_LOCAL 0.05, HERITAGE_LOCAL 0.02"/>
    <s v="Colonial spill"/>
    <x v="1"/>
  </r>
  <r>
    <s v="CONCACAF"/>
    <s v="Aruba"/>
    <x v="24"/>
    <n v="3"/>
    <s v="Brazil 1.00"/>
    <s v="LOCAL_HERITAGE 0.42, HERITAGE_HERITAGE 0.53, LOCAL_LOCAL 0.04, HERITAGE_LOCAL 0.01"/>
    <s v="Brazilian spill"/>
    <x v="1"/>
  </r>
  <r>
    <s v="CONCACAF"/>
    <s v="Aruba"/>
    <x v="12"/>
    <n v="2"/>
    <s v="Netherlands 0.20, Dominican Republic 0.20, Venezuela 0.20, Colombia 0.20, Brazil 0.20"/>
    <s v="LOCAL_HERITAGE 0.55, HERITAGE_HERITAGE 0.30, LOCAL_LOCAL 0.10, HERITAGE_LOCAL 0.05"/>
    <s v="Mixed proxy row"/>
    <x v="1"/>
  </r>
  <r>
    <s v="CONCACAF"/>
    <s v="Guadeloupe"/>
    <x v="12"/>
    <n v="86"/>
    <s v="France 0.35, Haiti 0.20, Dominican Republic 0.20, Trinidad and Tobago 0.15, Jamaica 0.10"/>
    <s v="LOCAL_LOCAL 0.95, DOUBLE_SURNAME_LOCAL_LOCAL 0.03, COMPOUND_GIVEN_LOCAL_LOCAL 0.02"/>
    <s v="Proxy local anchor; no direct supported Guadeloupe dataset"/>
    <x v="1"/>
  </r>
  <r>
    <s v="CONCACAF"/>
    <s v="Guadeloupe"/>
    <x v="9"/>
    <n v="6"/>
    <s v="Nigeria 0.35, Ghana 0.25, Senegal 0.20, Ivory Coast 0.20"/>
    <s v="LOCAL_HERITAGE 0.38, HERITAGE_HERITAGE 0.57, LOCAL_LOCAL 0.04, HERITAGE_LOCAL 0.01"/>
    <s v="Atlantic spill"/>
    <x v="1"/>
  </r>
  <r>
    <s v="CONCACAF"/>
    <s v="Guadeloupe"/>
    <x v="20"/>
    <n v="3"/>
    <s v="Venezuela 0.35, Colombia 0.30, Brazil 0.20, Dominican Republic 0.15"/>
    <s v="LOCAL_HERITAGE 0.42, HERITAGE_HERITAGE 0.53, LOCAL_LOCAL 0.04, HERITAGE_LOCAL 0.01"/>
    <s v="Regional spill"/>
    <x v="1"/>
  </r>
  <r>
    <s v="CONCACAF"/>
    <s v="Guadeloupe"/>
    <x v="19"/>
    <n v="1"/>
    <s v="France 0.60, Spain 0.20, Portugal 0.20"/>
    <s v="LOCAL_HERITAGE 0.48, HERITAGE_HERITAGE 0.45, LOCAL_LOCAL 0.05, HERITAGE_LOCAL 0.02"/>
    <s v="Colonial spill"/>
    <x v="1"/>
  </r>
  <r>
    <s v="CONCACAF"/>
    <s v="Guadeloupe"/>
    <x v="12"/>
    <n v="4"/>
    <s v="France 0.25, Haiti 0.25, Dominican Republic 0.20, Trinidad and Tobago 0.15, Jamaica 0.15"/>
    <s v="LOCAL_HERITAGE 0.55, HERITAGE_HERITAGE 0.30, LOCAL_LOCAL 0.10, HERITAGE_LOCAL 0.05"/>
    <s v="Mixed proxy row"/>
    <x v="1"/>
  </r>
  <r>
    <s v="CONCACAF"/>
    <s v="Martinique"/>
    <x v="12"/>
    <n v="86"/>
    <s v="France 0.35, Haiti 0.20, Dominican Republic 0.20, Trinidad and Tobago 0.15, Jamaica 0.10"/>
    <s v="LOCAL_LOCAL 0.95, DOUBLE_SURNAME_LOCAL_LOCAL 0.03, COMPOUND_GIVEN_LOCAL_LOCAL 0.02"/>
    <s v="Proxy local anchor; no direct supported Martinique dataset"/>
    <x v="1"/>
  </r>
  <r>
    <s v="CONCACAF"/>
    <s v="Martinique"/>
    <x v="9"/>
    <n v="6"/>
    <s v="Nigeria 0.35, Ghana 0.25, Senegal 0.20, Ivory Coast 0.20"/>
    <s v="LOCAL_HERITAGE 0.38, HERITAGE_HERITAGE 0.57, LOCAL_LOCAL 0.04, HERITAGE_LOCAL 0.01"/>
    <s v="Atlantic spill"/>
    <x v="1"/>
  </r>
  <r>
    <s v="CONCACAF"/>
    <s v="Martinique"/>
    <x v="20"/>
    <n v="3"/>
    <s v="Venezuela 0.35, Colombia 0.30, Brazil 0.20, Dominican Republic 0.15"/>
    <s v="LOCAL_HERITAGE 0.42, HERITAGE_HERITAGE 0.53, LOCAL_LOCAL 0.04, HERITAGE_LOCAL 0.01"/>
    <s v="Regional spill"/>
    <x v="1"/>
  </r>
  <r>
    <s v="CONCACAF"/>
    <s v="Martinique"/>
    <x v="19"/>
    <n v="1"/>
    <s v="France 0.60, Spain 0.20, Portugal 0.20"/>
    <s v="LOCAL_HERITAGE 0.48, HERITAGE_HERITAGE 0.45, LOCAL_LOCAL 0.05, HERITAGE_LOCAL 0.02"/>
    <s v="Colonial spill"/>
    <x v="1"/>
  </r>
  <r>
    <s v="CONCACAF"/>
    <s v="Martinique"/>
    <x v="12"/>
    <n v="4"/>
    <s v="France 0.25, Haiti 0.25, Dominican Republic 0.20, Trinidad and Tobago 0.15, Jamaica 0.15"/>
    <s v="LOCAL_HERITAGE 0.55, HERITAGE_HERITAGE 0.30, LOCAL_LOCAL 0.10, HERITAGE_LOCAL 0.05"/>
    <s v="Mixed proxy row"/>
    <x v="1"/>
  </r>
  <r>
    <s v="CONCACAF"/>
    <s v="French Guiana"/>
    <x v="20"/>
    <n v="38"/>
    <s v="Brazil 0.30, Colombia 0.25, Venezuela 0.20, France 0.15, Suriname Proxy 0.10"/>
    <s v="LOCAL_LOCAL 0.95, DOUBLE_SURNAME_LOCAL_LOCAL 0.03, COMPOUND_GIVEN_LOCAL_LOCAL 0.02"/>
    <s v="Proxy local anchor; no direct supported French Guiana dataset"/>
    <x v="1"/>
  </r>
  <r>
    <s v="CONCACAF"/>
    <s v="French Guiana"/>
    <x v="12"/>
    <n v="24"/>
    <s v="France 0.25, Haiti 0.20, Dominican Republic 0.20, Trinidad and Tobago 0.20, Jamaica 0.15"/>
    <s v="LOCAL_LOCAL 0.90, DOUBLE_SURNAME_LOCAL_LOCAL 0.05, COMPOUND_GIVEN_LOCAL_LOCAL 0.05"/>
    <s v="Caribbean-facing anchor"/>
    <x v="1"/>
  </r>
  <r>
    <s v="CONCACAF"/>
    <s v="French Guiana"/>
    <x v="24"/>
    <n v="10"/>
    <s v="Brazil 1.00"/>
    <s v="LOCAL_HERITAGE 0.42, HERITAGE_HERITAGE 0.53, LOCAL_LOCAL 0.04, HERITAGE_LOCAL 0.01"/>
    <s v="Brazil-facing spill"/>
    <x v="1"/>
  </r>
  <r>
    <s v="CONCACAF"/>
    <s v="French Guiana"/>
    <x v="21"/>
    <n v="8"/>
    <s v="Colombia 0.35, Ecuador 0.30, Peru 0.20, Bolivia 0.15"/>
    <s v="LOCAL_HERITAGE 0.42, HERITAGE_HERITAGE 0.53, LOCAL_LOCAL 0.04, HERITAGE_LOCAL 0.01"/>
    <s v="Southward spill"/>
    <x v="1"/>
  </r>
  <r>
    <s v="CONCACAF"/>
    <s v="French Guiana"/>
    <x v="9"/>
    <n v="6"/>
    <s v="Nigeria 0.35, Ghana 0.25, Senegal 0.20, Ivory Coast 0.20"/>
    <s v="LOCAL_HERITAGE 0.38, HERITAGE_HERITAGE 0.57, LOCAL_LOCAL 0.04, HERITAGE_LOCAL 0.01"/>
    <s v="Atlantic spill"/>
    <x v="1"/>
  </r>
  <r>
    <s v="CONCACAF"/>
    <s v="French Guiana"/>
    <x v="19"/>
    <n v="4"/>
    <s v="France 0.60, Portugal 0.20, Spain 0.20"/>
    <s v="LOCAL_HERITAGE 0.48, HERITAGE_HERITAGE 0.45, LOCAL_LOCAL 0.05, HERITAGE_LOCAL 0.02"/>
    <s v="Colonial spill"/>
    <x v="1"/>
  </r>
  <r>
    <s v="CONCACAF"/>
    <s v="French Guiana"/>
    <x v="20"/>
    <n v="10"/>
    <s v="Brazil 0.30, Colombia 0.25, Venezuela 0.20, France 0.15, Suriname Proxy 0.10"/>
    <s v="LOCAL_HERITAGE 0.55, HERITAGE_HERITAGE 0.30, LOCAL_LOCAL 0.10, HERITAGE_LOCAL 0.05"/>
    <s v="Mixed Guiana row"/>
    <x v="1"/>
  </r>
  <r>
    <s v="CONCACAF"/>
    <s v="Barbados"/>
    <x v="12"/>
    <n v="90"/>
    <s v="Jamaica 0.45, Trinidad and Tobago 0.30, Dominican Republic 0.15, England 0.10"/>
    <s v="LOCAL_LOCAL 0.95, DOUBLE_SURNAME_LOCAL_LOCAL 0.03, COMPOUND_GIVEN_LOCAL_LOCAL 0.02"/>
    <s v="Proxy local pool; no direct supported Barbados dataset"/>
    <x v="1"/>
  </r>
  <r>
    <s v="CONCACAF"/>
    <s v="Barbados"/>
    <x v="9"/>
    <n v="5"/>
    <s v="Nigeria 0.35, Ghana 0.25, Senegal 0.20, Ivory Coast 0.20"/>
    <s v="LOCAL_HERITAGE 0.38, HERITAGE_HERITAGE 0.57, LOCAL_LOCAL 0.04, HERITAGE_LOCAL 0.01"/>
    <s v="Atlantic spill"/>
    <x v="1"/>
  </r>
  <r>
    <s v="CONCACAF"/>
    <s v="Barbados"/>
    <x v="20"/>
    <n v="2"/>
    <s v="Venezuela 0.35, Colombia 0.30, Brazil 0.20, Dominican Republic 0.15"/>
    <s v="LOCAL_HERITAGE 0.42, HERITAGE_HERITAGE 0.53, LOCAL_LOCAL 0.04, HERITAGE_LOCAL 0.01"/>
    <s v="Regional spill"/>
    <x v="1"/>
  </r>
  <r>
    <s v="CONCACAF"/>
    <s v="Barbados"/>
    <x v="19"/>
    <n v="1"/>
    <s v="England 0.60, Portugal 0.20, Spain 0.20"/>
    <s v="LOCAL_HERITAGE 0.48, HERITAGE_HERITAGE 0.45, LOCAL_LOCAL 0.05, HERITAGE_LOCAL 0.02"/>
    <s v="Colonial spill"/>
    <x v="1"/>
  </r>
  <r>
    <s v="CONCACAF"/>
    <s v="Barbados"/>
    <x v="12"/>
    <n v="2"/>
    <s v="Jamaica 0.50, Trinidad and Tobago 0.30, Dominican Republic 0.20"/>
    <s v="LOCAL_HERITAGE 0.55, HERITAGE_HERITAGE 0.30, LOCAL_LOCAL 0.10, HERITAGE_LOCAL 0.05"/>
    <s v="Mixed proxy row"/>
    <x v="1"/>
  </r>
  <r>
    <s v="CONCACAF"/>
    <s v="Saint Lucia"/>
    <x v="12"/>
    <n v="88"/>
    <s v="France 0.30, Trinidad and Tobago 0.25, Jamaica 0.20, Dominican Republic 0.15, Haiti 0.10"/>
    <s v="LOCAL_LOCAL 0.95, DOUBLE_SURNAME_LOCAL_LOCAL 0.03, COMPOUND_GIVEN_LOCAL_LOCAL 0.02"/>
    <s v="Proxy local anchor; no direct supported Saint Lucia dataset"/>
    <x v="1"/>
  </r>
  <r>
    <s v="CONCACAF"/>
    <s v="Saint Lucia"/>
    <x v="9"/>
    <n v="5"/>
    <s v="Nigeria 0.35, Ghana 0.25, Senegal 0.20, Ivory Coast 0.20"/>
    <s v="LOCAL_HERITAGE 0.38, HERITAGE_HERITAGE 0.57, LOCAL_LOCAL 0.04, HERITAGE_LOCAL 0.01"/>
    <s v="Atlantic spill"/>
    <x v="1"/>
  </r>
  <r>
    <s v="CONCACAF"/>
    <s v="Saint Lucia"/>
    <x v="20"/>
    <n v="2"/>
    <s v="Venezuela 0.35, Colombia 0.30, Brazil 0.20, Dominican Republic 0.15"/>
    <s v="LOCAL_HERITAGE 0.42, HERITAGE_HERITAGE 0.53, LOCAL_LOCAL 0.04, HERITAGE_LOCAL 0.01"/>
    <s v="Regional spill"/>
    <x v="1"/>
  </r>
  <r>
    <s v="CONCACAF"/>
    <s v="Saint Lucia"/>
    <x v="19"/>
    <n v="1"/>
    <s v="France 0.50, England 0.30, Spain 0.20"/>
    <s v="LOCAL_HERITAGE 0.48, HERITAGE_HERITAGE 0.45, LOCAL_LOCAL 0.05, HERITAGE_LOCAL 0.02"/>
    <s v="Colonial spill"/>
    <x v="1"/>
  </r>
  <r>
    <s v="CONCACAF"/>
    <s v="Saint Lucia"/>
    <x v="12"/>
    <n v="4"/>
    <s v="Trinidad and Tobago 0.35, Jamaica 0.25, Haiti 0.20, Dominican Republic 0.20"/>
    <s v="LOCAL_HERITAGE 0.55, HERITAGE_HERITAGE 0.30, LOCAL_LOCAL 0.10, HERITAGE_LOCAL 0.05"/>
    <s v="Mixed proxy row"/>
    <x v="1"/>
  </r>
  <r>
    <s v="CONCACAF"/>
    <s v="Grenada"/>
    <x v="12"/>
    <n v="90"/>
    <s v="Trinidad and Tobago 0.45, Jamaica 0.30, Barbados Proxy 0.15, England 0.10"/>
    <s v="LOCAL_LOCAL 0.95, DOUBLE_SURNAME_LOCAL_LOCAL 0.03, COMPOUND_GIVEN_LOCAL_LOCAL 0.02"/>
    <s v="Proxy local anchor; no direct supported Grenada dataset"/>
    <x v="1"/>
  </r>
  <r>
    <s v="CONCACAF"/>
    <s v="Grenada"/>
    <x v="9"/>
    <n v="5"/>
    <s v="Nigeria 0.35, Ghana 0.25, Senegal 0.20, Ivory Coast 0.20"/>
    <s v="LOCAL_HERITAGE 0.38, HERITAGE_HERITAGE 0.57, LOCAL_LOCAL 0.04, HERITAGE_LOCAL 0.01"/>
    <s v="Atlantic spill"/>
    <x v="1"/>
  </r>
  <r>
    <s v="CONCACAF"/>
    <s v="Grenada"/>
    <x v="20"/>
    <n v="2"/>
    <s v="Venezuela 0.35, Colombia 0.30, Brazil 0.20, Dominican Republic 0.15"/>
    <s v="LOCAL_HERITAGE 0.42, HERITAGE_HERITAGE 0.53, LOCAL_LOCAL 0.04, HERITAGE_LOCAL 0.01"/>
    <s v="Regional spill"/>
    <x v="1"/>
  </r>
  <r>
    <s v="CONCACAF"/>
    <s v="Grenada"/>
    <x v="19"/>
    <n v="1"/>
    <s v="England 0.60, Spain 0.20, Portugal 0.20"/>
    <s v="LOCAL_HERITAGE 0.48, HERITAGE_HERITAGE 0.45, LOCAL_LOCAL 0.05, HERITAGE_LOCAL 0.02"/>
    <s v="Colonial spill"/>
    <x v="1"/>
  </r>
  <r>
    <s v="CONCACAF"/>
    <s v="Grenada"/>
    <x v="12"/>
    <n v="2"/>
    <s v="Trinidad and Tobago 0.45, Jamaica 0.35, Barbados Proxy 0.20"/>
    <s v="LOCAL_HERITAGE 0.55, HERITAGE_HERITAGE 0.30, LOCAL_LOCAL 0.10, HERITAGE_LOCAL 0.05"/>
    <s v="Mixed proxy row"/>
    <x v="1"/>
  </r>
  <r>
    <s v="CONCACAF"/>
    <s v="Panama"/>
    <x v="22"/>
    <n v="60"/>
    <s v="Panama 0.68, Costa Rica 0.12, Colombia 0.10, Nicaragua 0.10"/>
    <s v="LOCAL_LOCAL 0.95, DOUBLE_SURNAME_LOCAL_LOCAL 0.03, COMPOUND_GIVEN_LOCAL_LOCAL 0.02"/>
    <s v="Main local anchor"/>
    <x v="1"/>
  </r>
  <r>
    <s v="CONCACAF"/>
    <s v="Panama"/>
    <x v="12"/>
    <n v="14"/>
    <s v="Jamaica 0.35, Dominican Republic 0.35, Cuba 0.30"/>
    <s v="LOCAL_HERITAGE 0.42, HERITAGE_HERITAGE 0.53, LOCAL_LOCAL 0.04, HERITAGE_LOCAL 0.01"/>
    <s v="Strong Caribbean spill without unsupported Puerto Rico"/>
    <x v="1"/>
  </r>
  <r>
    <s v="CONCACAF"/>
    <s v="Panama"/>
    <x v="20"/>
    <n v="12"/>
    <s v="Colombia 0.40, Venezuela 0.30, Ecuador 0.20, Dominican Republic 0.10"/>
    <s v="LOCAL_HERITAGE 0.42, HERITAGE_HERITAGE 0.53, LOCAL_LOCAL 0.04, HERITAGE_LOCAL 0.01"/>
    <s v="Strong northern South American spill"/>
    <x v="1"/>
  </r>
  <r>
    <s v="CONCACAF"/>
    <s v="Panama"/>
    <x v="36"/>
    <n v="4"/>
    <s v="Guatemala 0.35, Mexico 0.35, Panama 0.30"/>
    <s v="LOCAL_LOCAL 0.90, DOUBLE_SURNAME_LOCAL_LOCAL 0.05, COMPOUND_GIVEN_LOCAL_LOCAL 0.05"/>
    <s v="Indigenous-facing spill"/>
    <x v="1"/>
  </r>
  <r>
    <s v="CONCACAF"/>
    <s v="Panama"/>
    <x v="19"/>
    <n v="4"/>
    <s v="Spain 0.75, Portugal 0.25"/>
    <s v="LOCAL_HERITAGE 0.48, HERITAGE_HERITAGE 0.45, LOCAL_LOCAL 0.05, HERITAGE_LOCAL 0.02"/>
    <s v="Iberian spill"/>
    <x v="1"/>
  </r>
  <r>
    <s v="CONCACAF"/>
    <s v="Panama"/>
    <x v="9"/>
    <n v="3"/>
    <s v="Nigeria 0.35, Ghana 0.25, Senegal 0.20, Ivory Coast 0.20"/>
    <s v="LOCAL_HERITAGE 0.38, HERITAGE_HERITAGE 0.57, LOCAL_LOCAL 0.04, HERITAGE_LOCAL 0.01"/>
    <s v="Football spill"/>
    <x v="1"/>
  </r>
  <r>
    <s v="CONCACAF"/>
    <s v="Panama"/>
    <x v="21"/>
    <n v="3"/>
    <s v="Colombia 0.40, Ecuador 0.30, Peru 0.20, Bolivia 0.10"/>
    <s v="LOCAL_HERITAGE 0.42, HERITAGE_HERITAGE 0.53, LOCAL_LOCAL 0.04, HERITAGE_LOCAL 0.01"/>
    <s v="Southward spill"/>
    <x v="1"/>
  </r>
  <r>
    <s v="CONCACAF"/>
    <s v="Guatemala"/>
    <x v="22"/>
    <n v="46"/>
    <s v="Guatemala 0.68, Mexico 0.18, Honduras 0.08, El Salvador 0.06"/>
    <s v="LOCAL_LOCAL 0.95, DOUBLE_SURNAME_LOCAL_LOCAL 0.03, COMPOUND_GIVEN_LOCAL_LOCAL 0.02"/>
    <s v="Main local mestizo-facing anchor"/>
    <x v="1"/>
  </r>
  <r>
    <s v="CONCACAF"/>
    <s v="Guatemala"/>
    <x v="36"/>
    <n v="36"/>
    <s v="Guatemala 0.76, Mexico 0.16, Bolivia 0.08"/>
    <s v="LOCAL_LOCAL 0.95, DOUBLE_SURNAME_LOCAL_LOCAL 0.03, COMPOUND_GIVEN_LOCAL_LOCAL 0.02"/>
    <s v="Main local indigenous-facing anchor"/>
    <x v="1"/>
  </r>
  <r>
    <s v="CONCACAF"/>
    <s v="Guatemala"/>
    <x v="20"/>
    <n v="4"/>
    <s v="Colombia 0.35, Venezuela 0.30, Ecuador 0.20, Dominican Republic 0.15"/>
    <s v="LOCAL_HERITAGE 0.42, HERITAGE_HERITAGE 0.53, LOCAL_LOCAL 0.04, HERITAGE_LOCAL 0.01"/>
    <s v="Latin spill"/>
    <x v="1"/>
  </r>
  <r>
    <s v="CONCACAF"/>
    <s v="Guatemala"/>
    <x v="12"/>
    <n v="4"/>
    <s v="Cuba 0.35, Dominican Republic 0.35, Jamaica 0.30"/>
    <s v="LOCAL_HERITAGE 0.42, HERITAGE_HERITAGE 0.53, LOCAL_LOCAL 0.04, HERITAGE_LOCAL 0.01"/>
    <s v="Caribbean spill without unsupported Puerto Rico"/>
    <x v="1"/>
  </r>
  <r>
    <s v="CONCACAF"/>
    <s v="Guatemala"/>
    <x v="21"/>
    <n v="4"/>
    <s v="Peru 0.35, Ecuador 0.30, Bolivia 0.20, Colombia 0.15"/>
    <s v="LOCAL_HERITAGE 0.42, HERITAGE_HERITAGE 0.53, LOCAL_LOCAL 0.04, HERITAGE_LOCAL 0.01"/>
    <s v="Southward spill"/>
    <x v="1"/>
  </r>
  <r>
    <s v="CONCACAF"/>
    <s v="Guatemala"/>
    <x v="19"/>
    <n v="2"/>
    <s v="Spain 0.75, Portugal 0.25"/>
    <s v="LOCAL_HERITAGE 0.48, HERITAGE_HERITAGE 0.45, LOCAL_LOCAL 0.05, HERITAGE_LOCAL 0.02"/>
    <s v="Iberian spill"/>
    <x v="1"/>
  </r>
  <r>
    <s v="CONCACAF"/>
    <s v="Guatemala"/>
    <x v="22"/>
    <n v="4"/>
    <s v="Guatemala 0.45, Mexico 0.25, Honduras 0.15, El Salvador 0.15"/>
    <s v="LOCAL_HERITAGE 0.55, HERITAGE_HERITAGE 0.30, LOCAL_LOCAL 0.10, HERITAGE_LOCAL 0.05"/>
    <s v="Mixed local row"/>
    <x v="1"/>
  </r>
  <r>
    <s v="CONCACAF"/>
    <s v="Honduras"/>
    <x v="22"/>
    <n v="73"/>
    <s v="Honduras 0.80, El Salvador 0.10, Nicaragua 0.05, Mexico 0.05"/>
    <s v="LOCAL_LOCAL 0.95, DOUBLE_SURNAME_LOCAL_LOCAL 0.03, COMPOUND_GIVEN_LOCAL_LOCAL 0.02"/>
    <s v="Main local anchor"/>
    <x v="1"/>
  </r>
  <r>
    <s v="CONCACAF"/>
    <s v="Honduras"/>
    <x v="36"/>
    <n v="11"/>
    <s v="Honduras 0.60, Guatemala 0.25, Mexico 0.15"/>
    <s v="LOCAL_LOCAL 0.90, DOUBLE_SURNAME_LOCAL_LOCAL 0.05, COMPOUND_GIVEN_LOCAL_LOCAL 0.05"/>
    <s v="Indigenous-facing spill"/>
    <x v="1"/>
  </r>
  <r>
    <s v="CONCACAF"/>
    <s v="Honduras"/>
    <x v="12"/>
    <n v="8"/>
    <s v="Jamaica 0.35, Dominican Republic 0.35, Cuba 0.30"/>
    <s v="LOCAL_HERITAGE 0.42, HERITAGE_HERITAGE 0.53, LOCAL_LOCAL 0.04, HERITAGE_LOCAL 0.01"/>
    <s v="Caribbean spill without unsupported Puerto Rico"/>
    <x v="1"/>
  </r>
  <r>
    <s v="CONCACAF"/>
    <s v="Honduras"/>
    <x v="20"/>
    <n v="3"/>
    <s v="Colombia 0.35, Venezuela 0.30, Ecuador 0.20, Dominican Republic 0.15"/>
    <s v="LOCAL_HERITAGE 0.42, HERITAGE_HERITAGE 0.53, LOCAL_LOCAL 0.04, HERITAGE_LOCAL 0.01"/>
    <s v="Latin spill"/>
    <x v="1"/>
  </r>
  <r>
    <s v="CONCACAF"/>
    <s v="Honduras"/>
    <x v="19"/>
    <n v="3"/>
    <s v="Spain 0.75, Portugal 0.25"/>
    <s v="LOCAL_HERITAGE 0.48, HERITAGE_HERITAGE 0.45, LOCAL_LOCAL 0.05, HERITAGE_LOCAL 0.02"/>
    <s v="Iberian spill"/>
    <x v="1"/>
  </r>
  <r>
    <s v="CONCACAF"/>
    <s v="Honduras"/>
    <x v="9"/>
    <n v="2"/>
    <s v="Nigeria 0.35, Ghana 0.25, Senegal 0.20, Ivory Coast 0.20"/>
    <s v="LOCAL_HERITAGE 0.38, HERITAGE_HERITAGE 0.57, LOCAL_LOCAL 0.04, HERITAGE_LOCAL 0.01"/>
    <s v="Small football spill"/>
    <x v="1"/>
  </r>
  <r>
    <s v="CONCACAF"/>
    <s v="El Salvador"/>
    <x v="22"/>
    <n v="74"/>
    <s v="El Salvador 0.78, Honduras 0.10, Guatemala 0.07, Mexico 0.05"/>
    <s v="LOCAL_LOCAL 0.95, DOUBLE_SURNAME_LOCAL_LOCAL 0.03, COMPOUND_GIVEN_LOCAL_LOCAL 0.02"/>
    <s v="Main local anchor"/>
    <x v="1"/>
  </r>
  <r>
    <s v="CONCACAF"/>
    <s v="El Salvador"/>
    <x v="36"/>
    <n v="12"/>
    <s v="Guatemala 0.35, Mexico 0.35, El Salvador 0.30"/>
    <s v="LOCAL_LOCAL 0.90, DOUBLE_SURNAME_LOCAL_LOCAL 0.05, COMPOUND_GIVEN_LOCAL_LOCAL 0.05"/>
    <s v="Indigenous-facing spill"/>
    <x v="1"/>
  </r>
  <r>
    <s v="CONCACAF"/>
    <s v="El Salvador"/>
    <x v="12"/>
    <n v="6"/>
    <s v="Jamaica 0.35, Dominican Republic 0.35, Cuba 0.30"/>
    <s v="LOCAL_HERITAGE 0.42, HERITAGE_HERITAGE 0.53, LOCAL_LOCAL 0.04, HERITAGE_LOCAL 0.01"/>
    <s v="Caribbean spill without unsupported Puerto Rico"/>
    <x v="1"/>
  </r>
  <r>
    <s v="CONCACAF"/>
    <s v="El Salvador"/>
    <x v="20"/>
    <n v="3"/>
    <s v="Colombia 0.35, Venezuela 0.30, Ecuador 0.20, Dominican Republic 0.15"/>
    <s v="LOCAL_HERITAGE 0.42, HERITAGE_HERITAGE 0.53, LOCAL_LOCAL 0.04, HERITAGE_LOCAL 0.01"/>
    <s v="Latin spill"/>
    <x v="1"/>
  </r>
  <r>
    <s v="CONCACAF"/>
    <s v="El Salvador"/>
    <x v="19"/>
    <n v="3"/>
    <s v="Spain 0.75, Portugal 0.25"/>
    <s v="LOCAL_HERITAGE 0.48, HERITAGE_HERITAGE 0.45, LOCAL_LOCAL 0.05, HERITAGE_LOCAL 0.02"/>
    <s v="Iberian spill"/>
    <x v="1"/>
  </r>
  <r>
    <s v="CONCACAF"/>
    <s v="El Salvador"/>
    <x v="9"/>
    <n v="2"/>
    <s v="Nigeria 0.35, Ghana 0.25, Senegal 0.20, Ivory Coast 0.20"/>
    <s v="LOCAL_HERITAGE 0.38, HERITAGE_HERITAGE 0.57, LOCAL_LOCAL 0.04, HERITAGE_LOCAL 0.01"/>
    <s v="Small football spill"/>
    <x v="1"/>
  </r>
  <r>
    <s v="CONCACAF"/>
    <s v="Nicaragua"/>
    <x v="22"/>
    <n v="76"/>
    <s v="Nicaragua 0.78, Honduras 0.10, Costa Rica 0.07, El Salvador 0.05"/>
    <s v="LOCAL_LOCAL 0.95, DOUBLE_SURNAME_LOCAL_LOCAL 0.03, COMPOUND_GIVEN_LOCAL_LOCAL 0.02"/>
    <s v="Main local anchor"/>
    <x v="1"/>
  </r>
  <r>
    <s v="CONCACAF"/>
    <s v="Nicaragua"/>
    <x v="36"/>
    <n v="10"/>
    <s v="Guatemala 0.35, Mexico 0.35, Nicaragua 0.30"/>
    <s v="LOCAL_LOCAL 0.90, DOUBLE_SURNAME_LOCAL_LOCAL 0.05, COMPOUND_GIVEN_LOCAL_LOCAL 0.05"/>
    <s v="Indigenous-facing spill"/>
    <x v="1"/>
  </r>
  <r>
    <s v="CONCACAF"/>
    <s v="Nicaragua"/>
    <x v="12"/>
    <n v="6"/>
    <s v="Jamaica 0.35, Dominican Republic 0.35, Cuba 0.30"/>
    <s v="LOCAL_HERITAGE 0.42, HERITAGE_HERITAGE 0.53, LOCAL_LOCAL 0.04, HERITAGE_LOCAL 0.01"/>
    <s v="Caribbean spill without unsupported Puerto Rico"/>
    <x v="1"/>
  </r>
  <r>
    <s v="CONCACAF"/>
    <s v="Nicaragua"/>
    <x v="20"/>
    <n v="3"/>
    <s v="Colombia 0.35, Venezuela 0.30, Ecuador 0.20, Dominican Republic 0.15"/>
    <s v="LOCAL_HERITAGE 0.42, HERITAGE_HERITAGE 0.53, LOCAL_LOCAL 0.04, HERITAGE_LOCAL 0.01"/>
    <s v="Latin spill"/>
    <x v="1"/>
  </r>
  <r>
    <s v="CONCACAF"/>
    <s v="Nicaragua"/>
    <x v="19"/>
    <n v="3"/>
    <s v="Spain 0.75, Portugal 0.25"/>
    <s v="LOCAL_HERITAGE 0.48, HERITAGE_HERITAGE 0.45, LOCAL_LOCAL 0.05, HERITAGE_LOCAL 0.02"/>
    <s v="Iberian spill"/>
    <x v="1"/>
  </r>
  <r>
    <s v="CONCACAF"/>
    <s v="Nicaragua"/>
    <x v="9"/>
    <n v="2"/>
    <s v="Nigeria 0.35, Ghana 0.25, Senegal 0.20, Ivory Coast 0.20"/>
    <s v="LOCAL_HERITAGE 0.38, HERITAGE_HERITAGE 0.57, LOCAL_LOCAL 0.04, HERITAGE_LOCAL 0.01"/>
    <s v="Small football spill"/>
    <x v="1"/>
  </r>
  <r>
    <s v="CONMEBOL"/>
    <s v="Colombia"/>
    <x v="20"/>
    <n v="64"/>
    <s v="Colombia 0.80, Venezuela 0.08, Ecuador 0.07, Panama 0.05"/>
    <s v="LOCAL_LOCAL 0.95, DOUBLE_SURNAME_LOCAL_LOCAL 0.03, COMPOUND_GIVEN_LOCAL_LOCAL 0.02"/>
    <s v="Main local anchor"/>
    <x v="0"/>
  </r>
  <r>
    <s v="CONMEBOL"/>
    <s v="Colombia"/>
    <x v="21"/>
    <n v="12"/>
    <s v="Colombia 0.44, Ecuador 0.28, Peru 0.16, Bolivia 0.12"/>
    <s v="LOCAL_LOCAL 0.90, DOUBLE_SURNAME_LOCAL_LOCAL 0.05, COMPOUND_GIVEN_LOCAL_LOCAL 0.05"/>
    <s v="Strong Andean-facing anchor"/>
    <x v="0"/>
  </r>
  <r>
    <s v="CONMEBOL"/>
    <s v="Colombia"/>
    <x v="12"/>
    <n v="12"/>
    <s v="Colombia 0.30, Dominican Republic 0.25, Jamaica 0.20, Cuba 0.15, Trinidad and Tobago 0.10"/>
    <s v="LOCAL_HERITAGE 0.42, HERITAGE_HERITAGE 0.53, LOCAL_LOCAL 0.04, HERITAGE_LOCAL 0.01"/>
    <s v="Caribbean spill"/>
    <x v="0"/>
  </r>
  <r>
    <s v="CONMEBOL"/>
    <s v="Colombia"/>
    <x v="24"/>
    <n v="4"/>
    <s v="Brazil 1.00"/>
    <s v="LOCAL_HERITAGE 0.42, HERITAGE_HERITAGE 0.53, LOCAL_LOCAL 0.04, HERITAGE_LOCAL 0.01"/>
    <s v="Eastern spill"/>
    <x v="0"/>
  </r>
  <r>
    <s v="CONMEBOL"/>
    <s v="Colombia"/>
    <x v="22"/>
    <n v="3"/>
    <s v="Panama 0.40, Mexico 0.25, Honduras 0.20, Costa Rica 0.15"/>
    <s v="LOCAL_HERITAGE 0.42, HERITAGE_HERITAGE 0.53, LOCAL_LOCAL 0.04, HERITAGE_LOCAL 0.01"/>
    <s v="Northward spill"/>
    <x v="0"/>
  </r>
  <r>
    <s v="CONMEBOL"/>
    <s v="Colombia"/>
    <x v="19"/>
    <n v="3"/>
    <s v="Spain 0.75, Portugal 0.25"/>
    <s v="LOCAL_HERITAGE 0.48, HERITAGE_HERITAGE 0.45, LOCAL_LOCAL 0.05, HERITAGE_LOCAL 0.02"/>
    <s v="Iberian spill"/>
    <x v="0"/>
  </r>
  <r>
    <s v="CONMEBOL"/>
    <s v="Colombia"/>
    <x v="9"/>
    <n v="2"/>
    <s v="Nigeria 0.35, Ghana 0.25, Senegal 0.20, Ivory Coast 0.20"/>
    <s v="LOCAL_HERITAGE 0.38, HERITAGE_HERITAGE 0.57, LOCAL_LOCAL 0.04, HERITAGE_LOCAL 0.01"/>
    <s v="Atlantic spill"/>
    <x v="0"/>
  </r>
  <r>
    <s v="CONMEBOL"/>
    <s v="Chile"/>
    <x v="38"/>
    <n v="70"/>
    <s v="Chile 0.88, Argentina 0.07, Uruguay 0.05"/>
    <s v="LOCAL_LOCAL 0.95, DOUBLE_SURNAME_LOCAL_LOCAL 0.03, COMPOUND_GIVEN_LOCAL_LOCAL 0.02"/>
    <s v="Main local anchor"/>
    <x v="0"/>
  </r>
  <r>
    <s v="CONMEBOL"/>
    <s v="Chile"/>
    <x v="21"/>
    <n v="18"/>
    <s v="Peru 0.35, Bolivia 0.35, Ecuador 0.15, Colombia 0.15"/>
    <s v="LOCAL_HERITAGE 0.42, HERITAGE_HERITAGE 0.53, LOCAL_LOCAL 0.04, HERITAGE_LOCAL 0.01"/>
    <s v="Andean spill"/>
    <x v="0"/>
  </r>
  <r>
    <s v="CONMEBOL"/>
    <s v="Chile"/>
    <x v="36"/>
    <n v="4"/>
    <s v="Peru 0.35, Bolivia 0.25, Guatemala 0.20, Mexico 0.20"/>
    <s v="LOCAL_HERITAGE 0.42, HERITAGE_HERITAGE 0.53, LOCAL_LOCAL 0.04, HERITAGE_LOCAL 0.01"/>
    <s v="Indigenous-facing spill"/>
    <x v="0"/>
  </r>
  <r>
    <s v="CONMEBOL"/>
    <s v="Chile"/>
    <x v="20"/>
    <n v="3"/>
    <s v="Colombia 0.35, Ecuador 0.25, Venezuela 0.20, Peru 0.20"/>
    <s v="LOCAL_HERITAGE 0.42, HERITAGE_HERITAGE 0.53, LOCAL_LOCAL 0.04, HERITAGE_LOCAL 0.01"/>
    <s v="Northern spill"/>
    <x v="0"/>
  </r>
  <r>
    <s v="CONMEBOL"/>
    <s v="Chile"/>
    <x v="19"/>
    <n v="3"/>
    <s v="Spain 0.75, Portugal 0.25"/>
    <s v="LOCAL_HERITAGE 0.48, HERITAGE_HERITAGE 0.45, LOCAL_LOCAL 0.05, HERITAGE_LOCAL 0.02"/>
    <s v="Iberian spill"/>
    <x v="0"/>
  </r>
  <r>
    <s v="CONMEBOL"/>
    <s v="Chile"/>
    <x v="9"/>
    <n v="2"/>
    <s v="Nigeria 0.35, Ghana 0.25, Senegal 0.20, Ivory Coast 0.20"/>
    <s v="LOCAL_HERITAGE 0.38, HERITAGE_HERITAGE 0.57, LOCAL_LOCAL 0.04, HERITAGE_LOCAL 0.01"/>
    <s v="Small football spill"/>
    <x v="0"/>
  </r>
  <r>
    <s v="CONMEBOL"/>
    <s v="Argentina"/>
    <x v="38"/>
    <n v="84"/>
    <s v="Argentina 0.90, Uruguay 0.06, Chile 0.04"/>
    <s v="LOCAL_LOCAL 0.95, DOUBLE_SURNAME_LOCAL_LOCAL 0.03, COMPOUND_GIVEN_LOCAL_LOCAL 0.02"/>
    <s v="Main local anchor"/>
    <x v="0"/>
  </r>
  <r>
    <s v="CONMEBOL"/>
    <s v="Argentina"/>
    <x v="20"/>
    <n v="3"/>
    <s v="Colombia 0.35, Venezuela 0.30, Ecuador 0.20, Dominican Republic 0.15"/>
    <s v="LOCAL_HERITAGE 0.42, HERITAGE_HERITAGE 0.53, LOCAL_LOCAL 0.04, HERITAGE_LOCAL 0.01"/>
    <s v="Northern spill"/>
    <x v="0"/>
  </r>
  <r>
    <s v="CONMEBOL"/>
    <s v="Argentina"/>
    <x v="21"/>
    <n v="4"/>
    <s v="Bolivia 0.35, Peru 0.25, Chile 0.20, Ecuador 0.20"/>
    <s v="LOCAL_HERITAGE 0.42, HERITAGE_HERITAGE 0.53, LOCAL_LOCAL 0.04, HERITAGE_LOCAL 0.01"/>
    <s v="Andean spill"/>
    <x v="0"/>
  </r>
  <r>
    <s v="CONMEBOL"/>
    <s v="Argentina"/>
    <x v="19"/>
    <n v="4"/>
    <s v="Spain 0.75, Portugal 0.25"/>
    <s v="LOCAL_HERITAGE 0.48, HERITAGE_HERITAGE 0.45, LOCAL_LOCAL 0.05, HERITAGE_LOCAL 0.02"/>
    <s v="Iberian spill"/>
    <x v="0"/>
  </r>
  <r>
    <s v="CONMEBOL"/>
    <s v="Argentina"/>
    <x v="24"/>
    <n v="3"/>
    <s v="Brazil 1.00"/>
    <s v="LOCAL_HERITAGE 0.42, HERITAGE_HERITAGE 0.53, LOCAL_LOCAL 0.04, HERITAGE_LOCAL 0.01"/>
    <s v="Brazilian spill"/>
    <x v="0"/>
  </r>
  <r>
    <s v="CONMEBOL"/>
    <s v="Argentina"/>
    <x v="9"/>
    <n v="2"/>
    <s v="Nigeria 0.35, Ghana 0.25, Senegal 0.20, Ivory Coast 0.20"/>
    <s v="LOCAL_HERITAGE 0.38, HERITAGE_HERITAGE 0.57, LOCAL_LOCAL 0.04, HERITAGE_LOCAL 0.01"/>
    <s v="Football spill"/>
    <x v="0"/>
  </r>
  <r>
    <s v="CONMEBOL"/>
    <s v="Uruguay"/>
    <x v="38"/>
    <n v="86"/>
    <s v="Uruguay 0.88, Argentina 0.08, Brazil 0.04"/>
    <s v="LOCAL_LOCAL 0.95, DOUBLE_SURNAME_LOCAL_LOCAL 0.03, COMPOUND_GIVEN_LOCAL_LOCAL 0.02"/>
    <s v="Main local anchor"/>
    <x v="0"/>
  </r>
  <r>
    <s v="CONMEBOL"/>
    <s v="Uruguay"/>
    <x v="24"/>
    <n v="4"/>
    <s v="Brazil 1.00"/>
    <s v="LOCAL_HERITAGE 0.42, HERITAGE_HERITAGE 0.53, LOCAL_LOCAL 0.04, HERITAGE_LOCAL 0.01"/>
    <s v="Border spill"/>
    <x v="0"/>
  </r>
  <r>
    <s v="CONMEBOL"/>
    <s v="Uruguay"/>
    <x v="20"/>
    <n v="3"/>
    <s v="Colombia 0.35, Venezuela 0.30, Ecuador 0.20, Dominican Republic 0.15"/>
    <s v="LOCAL_HERITAGE 0.42, HERITAGE_HERITAGE 0.53, LOCAL_LOCAL 0.04, HERITAGE_LOCAL 0.01"/>
    <s v="Northern spill"/>
    <x v="0"/>
  </r>
  <r>
    <s v="CONMEBOL"/>
    <s v="Uruguay"/>
    <x v="19"/>
    <n v="3"/>
    <s v="Spain 0.75, Portugal 0.25"/>
    <s v="LOCAL_HERITAGE 0.48, HERITAGE_HERITAGE 0.45, LOCAL_LOCAL 0.05, HERITAGE_LOCAL 0.02"/>
    <s v="Iberian spill"/>
    <x v="0"/>
  </r>
  <r>
    <s v="CONMEBOL"/>
    <s v="Uruguay"/>
    <x v="9"/>
    <n v="2"/>
    <s v="Nigeria 0.35, Ghana 0.25, Senegal 0.20, Ivory Coast 0.20"/>
    <s v="LOCAL_HERITAGE 0.38, HERITAGE_HERITAGE 0.57, LOCAL_LOCAL 0.04, HERITAGE_LOCAL 0.01"/>
    <s v="Football spill"/>
    <x v="0"/>
  </r>
  <r>
    <s v="CONMEBOL"/>
    <s v="Uruguay"/>
    <x v="21"/>
    <n v="2"/>
    <s v="Bolivia 0.35, Peru 0.25, Chile 0.20, Ecuador 0.20"/>
    <s v="LOCAL_HERITAGE 0.42, HERITAGE_HERITAGE 0.53, LOCAL_LOCAL 0.04, HERITAGE_LOCAL 0.01"/>
    <s v="Minor Andean spill"/>
    <x v="0"/>
  </r>
  <r>
    <s v="CONMEBOL"/>
    <s v="Brazil"/>
    <x v="24"/>
    <n v="46"/>
    <s v="Brazil 1.00"/>
    <s v="LOCAL_LOCAL 0.95, DOUBLE_SURNAME_LOCAL_LOCAL 0.03, COMPOUND_GIVEN_LOCAL_LOCAL 0.02"/>
    <s v="Main anchor; naming kept unified unless custom Brazilian sub-pools are built"/>
    <x v="0"/>
  </r>
  <r>
    <s v="CONMEBOL"/>
    <s v="Brazil"/>
    <x v="37"/>
    <n v="22"/>
    <s v="Brazil 1.00"/>
    <s v="LOCAL_LOCAL 0.90, DOUBLE_SURNAME_LOCAL_LOCAL 0.05, COMPOUND_GIVEN_LOCAL_LOCAL 0.05"/>
    <s v="Main Afro-Brazilian anchor; visual split only"/>
    <x v="0"/>
  </r>
  <r>
    <s v="CONMEBOL"/>
    <s v="Brazil"/>
    <x v="38"/>
    <n v="10"/>
    <s v="Brazil 0.50, Argentina 0.28, Uruguay 0.22"/>
    <s v="LOCAL_HERITAGE 0.42, HERITAGE_HERITAGE 0.53, LOCAL_LOCAL 0.04, HERITAGE_LOCAL 0.01"/>
    <s v="Southern spill"/>
    <x v="0"/>
  </r>
  <r>
    <s v="CONMEBOL"/>
    <s v="Brazil"/>
    <x v="20"/>
    <n v="8"/>
    <s v="Colombia 0.30, Venezuela 0.30, Ecuador 0.20, Dominican Republic 0.20"/>
    <s v="LOCAL_HERITAGE 0.42, HERITAGE_HERITAGE 0.53, LOCAL_LOCAL 0.04, HERITAGE_LOCAL 0.01"/>
    <s v="Northern spill"/>
    <x v="0"/>
  </r>
  <r>
    <s v="CONMEBOL"/>
    <s v="Brazil"/>
    <x v="21"/>
    <n v="4"/>
    <s v="Peru 0.35, Bolivia 0.30, Colombia 0.20, Ecuador 0.15"/>
    <s v="LOCAL_HERITAGE 0.42, HERITAGE_HERITAGE 0.53, LOCAL_LOCAL 0.04, HERITAGE_LOCAL 0.01"/>
    <s v="Western spill"/>
    <x v="0"/>
  </r>
  <r>
    <s v="CONMEBOL"/>
    <s v="Brazil"/>
    <x v="9"/>
    <n v="3"/>
    <s v="Nigeria 0.35, Ghana 0.25, Senegal 0.20, Ivory Coast 0.20"/>
    <s v="LOCAL_HERITAGE 0.38, HERITAGE_HERITAGE 0.57, LOCAL_LOCAL 0.04, HERITAGE_LOCAL 0.01"/>
    <s v="Atlantic/Afro spill"/>
    <x v="0"/>
  </r>
  <r>
    <s v="CONMEBOL"/>
    <s v="Brazil"/>
    <x v="19"/>
    <n v="3"/>
    <s v="Portugal 0.85, Spain 0.15"/>
    <s v="LOCAL_HERITAGE 0.48, HERITAGE_HERITAGE 0.45, LOCAL_LOCAL 0.05, HERITAGE_LOCAL 0.02"/>
    <s v="Lusophone spill"/>
    <x v="0"/>
  </r>
  <r>
    <s v="CONMEBOL"/>
    <s v="Brazil"/>
    <x v="12"/>
    <n v="2"/>
    <s v="Dominican Republic 0.30, Cuba 0.25, Jamaica 0.20, Trinidad and Tobago 0.15, Haiti 0.10"/>
    <s v="LOCAL_HERITAGE 0.42, HERITAGE_HERITAGE 0.53, LOCAL_LOCAL 0.04, HERITAGE_LOCAL 0.01"/>
    <s v="Caribbean spill"/>
    <x v="0"/>
  </r>
  <r>
    <s v="CONMEBOL"/>
    <s v="Brazil"/>
    <x v="22"/>
    <n v="2"/>
    <s v="Mexico 0.35, Honduras 0.25, Panama 0.20, Dominican Republic 0.20"/>
    <s v="LOCAL_HERITAGE 0.42, HERITAGE_HERITAGE 0.53, LOCAL_LOCAL 0.04, HERITAGE_LOCAL 0.01"/>
    <s v="Northern spill"/>
    <x v="0"/>
  </r>
  <r>
    <s v="CONMEBOL"/>
    <s v="Venezuela"/>
    <x v="20"/>
    <n v="66"/>
    <s v="Venezuela 0.82, Colombia 0.10, Ecuador 0.05, Dominican Republic 0.03"/>
    <s v="LOCAL_LOCAL 0.95, DOUBLE_SURNAME_LOCAL_LOCAL 0.03, COMPOUND_GIVEN_LOCAL_LOCAL 0.02"/>
    <s v="Main local anchor"/>
    <x v="0"/>
  </r>
  <r>
    <s v="CONMEBOL"/>
    <s v="Venezuela"/>
    <x v="21"/>
    <n v="10"/>
    <s v="Colombia 0.35, Ecuador 0.30, Peru 0.20, Bolivia 0.15"/>
    <s v="LOCAL_LOCAL 0.90, DOUBLE_SURNAME_LOCAL_LOCAL 0.05, COMPOUND_GIVEN_LOCAL_LOCAL 0.05"/>
    <s v="Andean-facing spill"/>
    <x v="0"/>
  </r>
  <r>
    <s v="CONMEBOL"/>
    <s v="Venezuela"/>
    <x v="12"/>
    <n v="12"/>
    <s v="Dominican Republic 0.25, Cuba 0.25, Jamaica 0.20, Trinidad and Tobago 0.15, Colombia 0.15"/>
    <s v="LOCAL_HERITAGE 0.42, HERITAGE_HERITAGE 0.53, LOCAL_LOCAL 0.04, HERITAGE_LOCAL 0.01"/>
    <s v="Caribbean spill"/>
    <x v="0"/>
  </r>
  <r>
    <s v="CONMEBOL"/>
    <s v="Venezuela"/>
    <x v="24"/>
    <n v="5"/>
    <s v="Brazil 1.00"/>
    <s v="LOCAL_HERITAGE 0.42, HERITAGE_HERITAGE 0.53, LOCAL_LOCAL 0.04, HERITAGE_LOCAL 0.01"/>
    <s v="Eastern spill"/>
    <x v="0"/>
  </r>
  <r>
    <s v="CONMEBOL"/>
    <s v="Venezuela"/>
    <x v="22"/>
    <n v="2"/>
    <s v="Panama 0.40, Mexico 0.25, Honduras 0.20, Costa Rica 0.15"/>
    <s v="LOCAL_HERITAGE 0.42, HERITAGE_HERITAGE 0.53, LOCAL_LOCAL 0.04, HERITAGE_LOCAL 0.01"/>
    <s v="Northward spill"/>
    <x v="0"/>
  </r>
  <r>
    <s v="CONMEBOL"/>
    <s v="Venezuela"/>
    <x v="19"/>
    <n v="3"/>
    <s v="Spain 0.75, Portugal 0.25"/>
    <s v="LOCAL_HERITAGE 0.48, HERITAGE_HERITAGE 0.45, LOCAL_LOCAL 0.05, HERITAGE_LOCAL 0.02"/>
    <s v="Iberian spill"/>
    <x v="0"/>
  </r>
  <r>
    <s v="CONMEBOL"/>
    <s v="Venezuela"/>
    <x v="9"/>
    <n v="2"/>
    <s v="Nigeria 0.35, Ghana 0.25, Senegal 0.20, Ivory Coast 0.20"/>
    <s v="LOCAL_HERITAGE 0.38, HERITAGE_HERITAGE 0.57, LOCAL_LOCAL 0.04, HERITAGE_LOCAL 0.01"/>
    <s v="Atlantic spill"/>
    <x v="0"/>
  </r>
  <r>
    <s v="CONMEBOL"/>
    <s v="Ecuador"/>
    <x v="21"/>
    <n v="64"/>
    <s v="Ecuador 0.78, Peru 0.10, Colombia 0.08, Bolivia 0.04"/>
    <s v="LOCAL_LOCAL 0.95, DOUBLE_SURNAME_LOCAL_LOCAL 0.03, COMPOUND_GIVEN_LOCAL_LOCAL 0.02"/>
    <s v="Main local anchor"/>
    <x v="0"/>
  </r>
  <r>
    <s v="CONMEBOL"/>
    <s v="Ecuador"/>
    <x v="20"/>
    <n v="10"/>
    <s v="Colombia 0.40, Venezuela 0.30, Ecuador 0.20, Dominican Republic 0.10"/>
    <s v="LOCAL_LOCAL 0.90, DOUBLE_SURNAME_LOCAL_LOCAL 0.05, COMPOUND_GIVEN_LOCAL_LOCAL 0.05"/>
    <s v="Northern-facing anchor"/>
    <x v="0"/>
  </r>
  <r>
    <s v="CONMEBOL"/>
    <s v="Ecuador"/>
    <x v="12"/>
    <n v="10"/>
    <s v="Colombia 0.30, Dominican Republic 0.25, Jamaica 0.20, Cuba 0.15, Trinidad and Tobago 0.10"/>
    <s v="LOCAL_HERITAGE 0.42, HERITAGE_HERITAGE 0.53, LOCAL_LOCAL 0.04, HERITAGE_LOCAL 0.01"/>
    <s v="Coastal/caribbean spill"/>
    <x v="0"/>
  </r>
  <r>
    <s v="CONMEBOL"/>
    <s v="Ecuador"/>
    <x v="36"/>
    <n v="5"/>
    <s v="Peru 0.35, Bolivia 0.30, Guatemala 0.20, Mexico 0.15"/>
    <s v="LOCAL_HERITAGE 0.42, HERITAGE_HERITAGE 0.53, LOCAL_LOCAL 0.04, HERITAGE_LOCAL 0.01"/>
    <s v="Indigenous-facing spill"/>
    <x v="0"/>
  </r>
  <r>
    <s v="CONMEBOL"/>
    <s v="Ecuador"/>
    <x v="24"/>
    <n v="4"/>
    <s v="Brazil 1.00"/>
    <s v="LOCAL_HERITAGE 0.42, HERITAGE_HERITAGE 0.53, LOCAL_LOCAL 0.04, HERITAGE_LOCAL 0.01"/>
    <s v="Eastern spill"/>
    <x v="0"/>
  </r>
  <r>
    <s v="CONMEBOL"/>
    <s v="Ecuador"/>
    <x v="19"/>
    <n v="3"/>
    <s v="Spain 0.75, Portugal 0.25"/>
    <s v="LOCAL_HERITAGE 0.48, HERITAGE_HERITAGE 0.45, LOCAL_LOCAL 0.05, HERITAGE_LOCAL 0.02"/>
    <s v="Iberian spill"/>
    <x v="0"/>
  </r>
  <r>
    <s v="CONMEBOL"/>
    <s v="Ecuador"/>
    <x v="9"/>
    <n v="2"/>
    <s v="Nigeria 0.35, Ghana 0.25, Senegal 0.20, Ivory Coast 0.20"/>
    <s v="LOCAL_HERITAGE 0.38, HERITAGE_HERITAGE 0.57, LOCAL_LOCAL 0.04, HERITAGE_LOCAL 0.01"/>
    <s v="Atlantic spill"/>
    <x v="0"/>
  </r>
  <r>
    <s v="CONMEBOL"/>
    <s v="Ecuador"/>
    <x v="21"/>
    <n v="2"/>
    <s v="Ecuador 0.55, Peru 0.25, Colombia 0.20"/>
    <s v="LOCAL_HERITAGE 0.55, HERITAGE_HERITAGE 0.30, LOCAL_LOCAL 0.10, HERITAGE_LOCAL 0.05"/>
    <s v="Mixed Andean row"/>
    <x v="0"/>
  </r>
  <r>
    <s v="CONMEBOL"/>
    <s v="Peru"/>
    <x v="21"/>
    <n v="64"/>
    <s v="Peru 0.82, Bolivia 0.10, Ecuador 0.05, Colombia 0.03"/>
    <s v="LOCAL_LOCAL 0.95, DOUBLE_SURNAME_LOCAL_LOCAL 0.03, COMPOUND_GIVEN_LOCAL_LOCAL 0.02"/>
    <s v="Main local anchor"/>
    <x v="0"/>
  </r>
  <r>
    <s v="CONMEBOL"/>
    <s v="Peru"/>
    <x v="36"/>
    <n v="8"/>
    <s v="Bolivia 0.35, Ecuador 0.25, Guatemala 0.20, Mexico 0.20"/>
    <s v="LOCAL_LOCAL 0.90, DOUBLE_SURNAME_LOCAL_LOCAL 0.05, COMPOUND_GIVEN_LOCAL_LOCAL 0.05"/>
    <s v="Indigenous-facing spill"/>
    <x v="0"/>
  </r>
  <r>
    <s v="CONMEBOL"/>
    <s v="Peru"/>
    <x v="20"/>
    <n v="8"/>
    <s v="Colombia 0.35, Ecuador 0.30, Venezuela 0.20, Dominican Republic 0.15"/>
    <s v="LOCAL_HERITAGE 0.42, HERITAGE_HERITAGE 0.53, LOCAL_LOCAL 0.04, HERITAGE_LOCAL 0.01"/>
    <s v="Northern spill"/>
    <x v="0"/>
  </r>
  <r>
    <s v="CONMEBOL"/>
    <s v="Peru"/>
    <x v="38"/>
    <n v="6"/>
    <s v="Chile 0.40, Argentina 0.35, Uruguay 0.25"/>
    <s v="LOCAL_HERITAGE 0.42, HERITAGE_HERITAGE 0.53, LOCAL_LOCAL 0.04, HERITAGE_LOCAL 0.01"/>
    <s v="Southern spill"/>
    <x v="0"/>
  </r>
  <r>
    <s v="CONMEBOL"/>
    <s v="Peru"/>
    <x v="12"/>
    <n v="8"/>
    <s v="Colombia 0.30, Dominican Republic 0.25, Jamaica 0.20, Cuba 0.15, Trinidad and Tobago 0.10"/>
    <s v="LOCAL_HERITAGE 0.42, HERITAGE_HERITAGE 0.53, LOCAL_LOCAL 0.04, HERITAGE_LOCAL 0.01"/>
    <s v="Coastal spill"/>
    <x v="0"/>
  </r>
  <r>
    <s v="CONMEBOL"/>
    <s v="Peru"/>
    <x v="19"/>
    <n v="3"/>
    <s v="Spain 0.75, Portugal 0.25"/>
    <s v="LOCAL_HERITAGE 0.48, HERITAGE_HERITAGE 0.45, LOCAL_LOCAL 0.05, HERITAGE_LOCAL 0.02"/>
    <s v="Iberian spill"/>
    <x v="0"/>
  </r>
  <r>
    <s v="CONMEBOL"/>
    <s v="Peru"/>
    <x v="24"/>
    <n v="3"/>
    <s v="Brazil 1.00"/>
    <s v="LOCAL_HERITAGE 0.42, HERITAGE_HERITAGE 0.53, LOCAL_LOCAL 0.04, HERITAGE_LOCAL 0.01"/>
    <s v="Eastern spill"/>
    <x v="0"/>
  </r>
  <r>
    <s v="CONMEBOL"/>
    <s v="Bolivia"/>
    <x v="21"/>
    <n v="66"/>
    <s v="Bolivia 0.78, Peru 0.12, Ecuador 0.06, Paraguay 0.04"/>
    <s v="LOCAL_LOCAL 0.95, DOUBLE_SURNAME_LOCAL_LOCAL 0.03, COMPOUND_GIVEN_LOCAL_LOCAL 0.02"/>
    <s v="Main local anchor"/>
    <x v="0"/>
  </r>
  <r>
    <s v="CONMEBOL"/>
    <s v="Bolivia"/>
    <x v="36"/>
    <n v="10"/>
    <s v="Peru 0.35, Ecuador 0.25, Guatemala 0.20, Mexico 0.20"/>
    <s v="LOCAL_LOCAL 0.90, DOUBLE_SURNAME_LOCAL_LOCAL 0.05, COMPOUND_GIVEN_LOCAL_LOCAL 0.05"/>
    <s v="Indigenous-facing spill"/>
    <x v="0"/>
  </r>
  <r>
    <s v="CONMEBOL"/>
    <s v="Bolivia"/>
    <x v="38"/>
    <n v="8"/>
    <s v="Argentina 0.40, Chile 0.35, Paraguay 0.25"/>
    <s v="LOCAL_HERITAGE 0.42, HERITAGE_HERITAGE 0.53, LOCAL_LOCAL 0.04, HERITAGE_LOCAL 0.01"/>
    <s v="Southern spill"/>
    <x v="0"/>
  </r>
  <r>
    <s v="CONMEBOL"/>
    <s v="Bolivia"/>
    <x v="20"/>
    <n v="5"/>
    <s v="Peru 0.35, Colombia 0.25, Ecuador 0.20, Venezuela 0.20"/>
    <s v="LOCAL_HERITAGE 0.42, HERITAGE_HERITAGE 0.53, LOCAL_LOCAL 0.04, HERITAGE_LOCAL 0.01"/>
    <s v="Northern spill"/>
    <x v="0"/>
  </r>
  <r>
    <s v="CONMEBOL"/>
    <s v="Bolivia"/>
    <x v="12"/>
    <n v="3"/>
    <s v="Colombia 0.30, Dominican Republic 0.25, Jamaica 0.20, Cuba 0.15, Trinidad and Tobago 0.10"/>
    <s v="LOCAL_HERITAGE 0.42, HERITAGE_HERITAGE 0.53, LOCAL_LOCAL 0.04, HERITAGE_LOCAL 0.01"/>
    <s v="Coastal/Atlantic spill"/>
    <x v="0"/>
  </r>
  <r>
    <s v="CONMEBOL"/>
    <s v="Bolivia"/>
    <x v="19"/>
    <n v="3"/>
    <s v="Spain 0.75, Portugal 0.25"/>
    <s v="LOCAL_HERITAGE 0.48, HERITAGE_HERITAGE 0.45, LOCAL_LOCAL 0.05, HERITAGE_LOCAL 0.02"/>
    <s v="Iberian spill"/>
    <x v="0"/>
  </r>
  <r>
    <s v="CONMEBOL"/>
    <s v="Bolivia"/>
    <x v="24"/>
    <n v="3"/>
    <s v="Brazil 1.00"/>
    <s v="LOCAL_HERITAGE 0.42, HERITAGE_HERITAGE 0.53, LOCAL_LOCAL 0.04, HERITAGE_LOCAL 0.01"/>
    <s v="Eastern spill"/>
    <x v="0"/>
  </r>
  <r>
    <s v="CONMEBOL"/>
    <s v="Bolivia"/>
    <x v="21"/>
    <n v="2"/>
    <s v="Bolivia 0.55, Peru 0.25, Ecuador 0.20"/>
    <s v="LOCAL_HERITAGE 0.55, HERITAGE_HERITAGE 0.30, LOCAL_LOCAL 0.10, HERITAGE_LOCAL 0.05"/>
    <s v="Mixed Andean row"/>
    <x v="0"/>
  </r>
  <r>
    <s v="CONMEBOL"/>
    <s v="Paraguay"/>
    <x v="38"/>
    <n v="60"/>
    <s v="Paraguay 0.72, Argentina 0.13, Brazil 0.10, Uruguay 0.05"/>
    <s v="LOCAL_LOCAL 0.95, DOUBLE_SURNAME_LOCAL_LOCAL 0.03, COMPOUND_GIVEN_LOCAL_LOCAL 0.02"/>
    <s v="Main local anchor"/>
    <x v="0"/>
  </r>
  <r>
    <s v="CONMEBOL"/>
    <s v="Paraguay"/>
    <x v="24"/>
    <n v="10"/>
    <s v="Brazil 1.00"/>
    <s v="LOCAL_HERITAGE 0.42, HERITAGE_HERITAGE 0.53, LOCAL_LOCAL 0.04, HERITAGE_LOCAL 0.01"/>
    <s v="Strong border spill"/>
    <x v="0"/>
  </r>
  <r>
    <s v="CONMEBOL"/>
    <s v="Paraguay"/>
    <x v="36"/>
    <n v="10"/>
    <s v="Bolivia 0.35, Peru 0.25, Guatemala 0.20, Mexico 0.20"/>
    <s v="LOCAL_HERITAGE 0.42, HERITAGE_HERITAGE 0.53, LOCAL_LOCAL 0.04, HERITAGE_LOCAL 0.01"/>
    <s v="Indigenous-facing spill"/>
    <x v="0"/>
  </r>
  <r>
    <s v="CONMEBOL"/>
    <s v="Paraguay"/>
    <x v="21"/>
    <n v="8"/>
    <s v="Bolivia 0.35, Peru 0.25, Chile 0.20, Ecuador 0.20"/>
    <s v="LOCAL_HERITAGE 0.42, HERITAGE_HERITAGE 0.53, LOCAL_LOCAL 0.04, HERITAGE_LOCAL 0.01"/>
    <s v="Andean spill"/>
    <x v="0"/>
  </r>
  <r>
    <s v="CONMEBOL"/>
    <s v="Paraguay"/>
    <x v="20"/>
    <n v="4"/>
    <s v="Colombia 0.35, Venezuela 0.30, Ecuador 0.20, Dominican Republic 0.15"/>
    <s v="LOCAL_HERITAGE 0.42, HERITAGE_HERITAGE 0.53, LOCAL_LOCAL 0.04, HERITAGE_LOCAL 0.01"/>
    <s v="Northern spill"/>
    <x v="0"/>
  </r>
  <r>
    <s v="CONMEBOL"/>
    <s v="Paraguay"/>
    <x v="19"/>
    <n v="3"/>
    <s v="Spain 0.75, Portugal 0.25"/>
    <s v="LOCAL_HERITAGE 0.48, HERITAGE_HERITAGE 0.45, LOCAL_LOCAL 0.05, HERITAGE_LOCAL 0.02"/>
    <s v="Iberian spill"/>
    <x v="0"/>
  </r>
  <r>
    <s v="CONMEBOL"/>
    <s v="Paraguay"/>
    <x v="9"/>
    <n v="2"/>
    <s v="Nigeria 0.35, Ghana 0.25, Senegal 0.20, Ivory Coast 0.20"/>
    <s v="LOCAL_HERITAGE 0.38, HERITAGE_HERITAGE 0.57, LOCAL_LOCAL 0.04, HERITAGE_LOCAL 0.01"/>
    <s v="Football spill"/>
    <x v="0"/>
  </r>
  <r>
    <s v="CONMEBOL"/>
    <s v="Paraguay"/>
    <x v="38"/>
    <n v="3"/>
    <s v="Paraguay 0.45, Argentina 0.20, Brazil 0.20, Bolivia 0.15"/>
    <s v="LOCAL_HERITAGE 0.55, HERITAGE_HERITAGE 0.30, LOCAL_LOCAL 0.10, HERITAGE_LOCAL 0.05"/>
    <s v="Mixed border row"/>
    <x v="0"/>
  </r>
  <r>
    <s v="CAF"/>
    <s v="Morocco"/>
    <x v="13"/>
    <n v="88"/>
    <s v="Morocco 0.94, Algeria 0.04, Tunisia 0.02"/>
    <s v="LOCAL_LOCAL 0.95, DOUBLE_SURNAME_LOCAL_LOCAL 0.03, COMPOUND_GIVEN_LOCAL_LOCAL 0.02"/>
    <s v="Main local pool"/>
    <x v="0"/>
  </r>
  <r>
    <s v="CAF"/>
    <s v="Morocco"/>
    <x v="9"/>
    <n v="6"/>
    <s v="Senegal 0.30, Mali 0.25, Guinea 0.25, Ivory Coast 0.20"/>
    <s v="LOCAL_HERITAGE 0.45, HERITAGE_HERITAGE 0.50, LOCAL_LOCAL 0.04, HERITAGE_LOCAL 0.01"/>
    <s v="Sahel/West African football adjacency without unsupported pools"/>
    <x v="0"/>
  </r>
  <r>
    <s v="CAF"/>
    <s v="Morocco"/>
    <x v="19"/>
    <n v="4"/>
    <s v="Spain 0.60, Portugal 0.40"/>
    <s v="LOCAL_HERITAGE 0.48, HERITAGE_HERITAGE 0.45, LOCAL_LOCAL 0.05, HERITAGE_LOCAL 0.02"/>
    <s v="Iberian adjacency trace"/>
    <x v="0"/>
  </r>
  <r>
    <s v="CAF"/>
    <s v="Morocco"/>
    <x v="28"/>
    <n v="2"/>
    <s v="Egypt 1.00"/>
    <s v="LOCAL_HERITAGE 0.45, HERITAGE_HERITAGE 0.50, LOCAL_LOCAL 0.04, HERITAGE_LOCAL 0.01"/>
    <s v="Small east-North-African bridge; cleaner than decorative AfricaSouth row"/>
    <x v="0"/>
  </r>
  <r>
    <s v="CAF"/>
    <s v="Algeria"/>
    <x v="13"/>
    <n v="88"/>
    <s v="Algeria 0.94, Morocco 0.04, Tunisia 0.02"/>
    <s v="LOCAL_LOCAL 0.95, DOUBLE_SURNAME_LOCAL_LOCAL 0.03, COMPOUND_GIVEN_LOCAL_LOCAL 0.02"/>
    <s v="Main local pool"/>
    <x v="0"/>
  </r>
  <r>
    <s v="CAF"/>
    <s v="Algeria"/>
    <x v="9"/>
    <n v="5"/>
    <s v="Mali 0.30, Senegal 0.25, Guinea 0.25, Ivory Coast 0.20"/>
    <s v="LOCAL_HERITAGE 0.45, HERITAGE_HERITAGE 0.50, LOCAL_LOCAL 0.04, HERITAGE_LOCAL 0.01"/>
    <s v="Sahel adjacency using supported pools only"/>
    <x v="0"/>
  </r>
  <r>
    <s v="CAF"/>
    <s v="Algeria"/>
    <x v="4"/>
    <n v="3"/>
    <s v="Syria 0.35, Lebanon 0.25, Palestine 0.20, Iraq 0.20"/>
    <s v="LOCAL_HERITAGE 0.42, HERITAGE_HERITAGE 0.53, LOCAL_LOCAL 0.04, HERITAGE_LOCAL 0.01"/>
    <s v="Small West Asian spill"/>
    <x v="0"/>
  </r>
  <r>
    <s v="CAF"/>
    <s v="Algeria"/>
    <x v="19"/>
    <n v="2"/>
    <s v="Spain 0.65, France 0.35"/>
    <s v="LOCAL_HERITAGE 0.48, HERITAGE_HERITAGE 0.45, LOCAL_LOCAL 0.05, HERITAGE_LOCAL 0.02"/>
    <s v="Mediterranean adjacency"/>
    <x v="0"/>
  </r>
  <r>
    <s v="CAF"/>
    <s v="Algeria"/>
    <x v="28"/>
    <n v="2"/>
    <s v="Egypt 1.00"/>
    <s v="LOCAL_HERITAGE 0.45, HERITAGE_HERITAGE 0.50, LOCAL_LOCAL 0.04, HERITAGE_LOCAL 0.01"/>
    <s v="Interior/eastward bridge without unsupported Sahel pools"/>
    <x v="0"/>
  </r>
  <r>
    <s v="CAF"/>
    <s v="Tunisia"/>
    <x v="13"/>
    <n v="88"/>
    <s v="Tunisia 0.90, Algeria 0.05, Libya 0.03, Morocco 0.02"/>
    <s v="LOCAL_LOCAL 0.95, DOUBLE_SURNAME_LOCAL_LOCAL 0.03, COMPOUND_GIVEN_LOCAL_LOCAL 0.02"/>
    <s v="Main local pool"/>
    <x v="0"/>
  </r>
  <r>
    <s v="CAF"/>
    <s v="Tunisia"/>
    <x v="4"/>
    <n v="4"/>
    <s v="Lebanon 0.30, Syria 0.25, Palestine 0.25, Iraq 0.20"/>
    <s v="LOCAL_HERITAGE 0.42, HERITAGE_HERITAGE 0.53, LOCAL_LOCAL 0.04, HERITAGE_LOCAL 0.01"/>
    <s v="Eastward Mediterranean spill"/>
    <x v="0"/>
  </r>
  <r>
    <s v="CAF"/>
    <s v="Tunisia"/>
    <x v="9"/>
    <n v="4"/>
    <s v="Mali 0.30, Senegal 0.25, Guinea 0.25, Ivory Coast 0.20"/>
    <s v="LOCAL_HERITAGE 0.45, HERITAGE_HERITAGE 0.50, LOCAL_LOCAL 0.04, HERITAGE_LOCAL 0.01"/>
    <s v="Sahel adjacency using supported pools"/>
    <x v="0"/>
  </r>
  <r>
    <s v="CAF"/>
    <s v="Tunisia"/>
    <x v="17"/>
    <n v="2"/>
    <s v="Italy 0.70, Malta 0.30"/>
    <s v="LOCAL_HERITAGE 0.48, HERITAGE_HERITAGE 0.45, LOCAL_LOCAL 0.05, HERITAGE_LOCAL 0.02"/>
    <s v="Central Mediterranean trace"/>
    <x v="0"/>
  </r>
  <r>
    <s v="CAF"/>
    <s v="Tunisia"/>
    <x v="28"/>
    <n v="2"/>
    <s v="Egypt 1.00"/>
    <s v="LOCAL_HERITAGE 0.45, HERITAGE_HERITAGE 0.50, LOCAL_LOCAL 0.04, HERITAGE_LOCAL 0.01"/>
    <s v="East North African bridge"/>
    <x v="0"/>
  </r>
  <r>
    <s v="CAF"/>
    <s v="Egypt"/>
    <x v="28"/>
    <n v="78"/>
    <s v="Egypt 0.96, Palestine 0.02, Lebanon 0.02"/>
    <s v="LOCAL_LOCAL 0.95, DOUBLE_SURNAME_LOCAL_LOCAL 0.03, COMPOUND_GIVEN_LOCAL_LOCAL 0.02"/>
    <s v="Main local pool"/>
    <x v="0"/>
  </r>
  <r>
    <s v="CAF"/>
    <s v="Egypt"/>
    <x v="4"/>
    <n v="8"/>
    <s v="Palestine 0.35, Syria 0.25, Lebanon 0.25, Iraq 0.15"/>
    <s v="LOCAL_HERITAGE 0.42, HERITAGE_HERITAGE 0.53, LOCAL_LOCAL 0.04, HERITAGE_LOCAL 0.01"/>
    <s v="Strong east-med overlap"/>
    <x v="0"/>
  </r>
  <r>
    <s v="CAF"/>
    <s v="Egypt"/>
    <x v="13"/>
    <n v="6"/>
    <s v="Libya 0.50, Tunisia 0.25, Algeria 0.15, Morocco 0.10"/>
    <s v="LOCAL_HERITAGE 0.45, HERITAGE_HERITAGE 0.50, LOCAL_LOCAL 0.04, HERITAGE_LOCAL 0.01"/>
    <s v="Western North African spill"/>
    <x v="0"/>
  </r>
  <r>
    <s v="CAF"/>
    <s v="Egypt"/>
    <x v="6"/>
    <n v="4"/>
    <s v="Sudan 0.45, Ethiopia 0.30, Somalia 0.25"/>
    <s v="LOCAL_HERITAGE 0.44, HERITAGE_HERITAGE 0.51, LOCAL_LOCAL 0.04, HERITAGE_LOCAL 0.01"/>
    <s v="Southward Nile/Horn bridge without unsupported Horn pools"/>
    <x v="0"/>
  </r>
  <r>
    <s v="CAF"/>
    <s v="Egypt"/>
    <x v="39"/>
    <n v="4"/>
    <s v="Sudan 0.50, Mali 0.25, Senegal 0.25"/>
    <s v="LOCAL_HERITAGE 0.45, HERITAGE_HERITAGE 0.50, LOCAL_LOCAL 0.04, HERITAGE_LOCAL 0.01"/>
    <s v="Small interior bridge; cleaner than unsupported Chad/Niger use"/>
    <x v="0"/>
  </r>
  <r>
    <s v="CAF"/>
    <s v="Nigeria"/>
    <x v="9"/>
    <n v="82"/>
    <s v="Nigeria 0.88, Ghana 0.06, Benin 0.06"/>
    <s v="LOCAL_LOCAL 0.95, DOUBLE_SURNAME_LOCAL_LOCAL 0.03, COMPOUND_GIVEN_LOCAL_LOCAL 0.02"/>
    <s v="Main local anchor"/>
    <x v="0"/>
  </r>
  <r>
    <s v="CAF"/>
    <s v="Nigeria"/>
    <x v="39"/>
    <n v="10"/>
    <s v="Nigeria 0.55, Mali 0.25, Senegal 0.20"/>
    <s v="LOCAL_HERITAGE 0.46, HERITAGE_HERITAGE 0.49, LOCAL_LOCAL 0.04, HERITAGE_LOCAL 0.01"/>
    <s v="Northern Sahel spill without unsupported pools/sub-pools"/>
    <x v="0"/>
  </r>
  <r>
    <s v="CAF"/>
    <s v="Nigeria"/>
    <x v="18"/>
    <n v="4"/>
    <s v="Cameroon 0.45, DR Congo 0.35, Congo 0.20"/>
    <s v="LOCAL_HERITAGE 0.44, HERITAGE_HERITAGE 0.51, LOCAL_LOCAL 0.04, HERITAGE_LOCAL 0.01"/>
    <s v="Central spill"/>
    <x v="0"/>
  </r>
  <r>
    <s v="CAF"/>
    <s v="Nigeria"/>
    <x v="13"/>
    <n v="2"/>
    <s v="Morocco 0.40, Algeria 0.30, Tunisia 0.30"/>
    <s v="LOCAL_HERITAGE 0.45, HERITAGE_HERITAGE 0.50, LOCAL_LOCAL 0.04, HERITAGE_LOCAL 0.01"/>
    <s v="Northward spill"/>
    <x v="0"/>
  </r>
  <r>
    <s v="CAF"/>
    <s v="Nigeria"/>
    <x v="9"/>
    <n v="2"/>
    <s v="Nigeria 0.60, Ghana 0.20, Benin 0.20"/>
    <s v="LOCAL_HERITAGE 0.55, HERITAGE_HERITAGE 0.30, LOCAL_LOCAL 0.10, HERITAGE_LOCAL 0.05"/>
    <s v="Mixed pan-Gulf-of-Guinea row"/>
    <x v="0"/>
  </r>
  <r>
    <s v="CAF"/>
    <s v="Ghana"/>
    <x v="9"/>
    <n v="88"/>
    <s v="Ghana 0.84, Togo 0.08, Ivory Coast 0.04, Benin 0.04"/>
    <s v="LOCAL_LOCAL 0.95, DOUBLE_SURNAME_LOCAL_LOCAL 0.03, COMPOUND_GIVEN_LOCAL_LOCAL 0.02"/>
    <s v="Main local pool"/>
    <x v="0"/>
  </r>
  <r>
    <s v="CAF"/>
    <s v="Ghana"/>
    <x v="39"/>
    <n v="6"/>
    <s v="Mali 0.35, Burkina Faso 0.35, Nigeria 0.30"/>
    <s v="LOCAL_HERITAGE 0.46, HERITAGE_HERITAGE 0.49, LOCAL_LOCAL 0.04, HERITAGE_LOCAL 0.01"/>
    <s v="Northern spill using supported pools only"/>
    <x v="0"/>
  </r>
  <r>
    <s v="CAF"/>
    <s v="Ghana"/>
    <x v="18"/>
    <n v="4"/>
    <s v="Cameroon 0.45, DR Congo 0.35, Congo 0.20"/>
    <s v="LOCAL_HERITAGE 0.44, HERITAGE_HERITAGE 0.51, LOCAL_LOCAL 0.04, HERITAGE_LOCAL 0.01"/>
    <s v="Central spill"/>
    <x v="0"/>
  </r>
  <r>
    <s v="CAF"/>
    <s v="Ghana"/>
    <x v="9"/>
    <n v="2"/>
    <s v="Ghana 0.60, Togo 0.20, Ivory Coast 0.20"/>
    <s v="LOCAL_HERITAGE 0.55, HERITAGE_HERITAGE 0.30, LOCAL_LOCAL 0.10, HERITAGE_LOCAL 0.05"/>
    <s v="Mixed Gulf-of-Guinea row"/>
    <x v="0"/>
  </r>
  <r>
    <s v="CAF"/>
    <s v="Senegal"/>
    <x v="9"/>
    <n v="82"/>
    <s v="Senegal 0.90, Mali 0.06, Guinea 0.04"/>
    <s v="LOCAL_LOCAL 0.95, DOUBLE_SURNAME_LOCAL_LOCAL 0.03, COMPOUND_GIVEN_LOCAL_LOCAL 0.02"/>
    <s v="Main local pool"/>
    <x v="0"/>
  </r>
  <r>
    <s v="CAF"/>
    <s v="Senegal"/>
    <x v="39"/>
    <n v="9"/>
    <s v="Mali 0.40, Burkina Faso 0.30, Morocco 0.30"/>
    <s v="LOCAL_HERITAGE 0.46, HERITAGE_HERITAGE 0.49, LOCAL_LOCAL 0.04, HERITAGE_LOCAL 0.01"/>
    <s v="Strong Sahel/desert spill without unsupported Mauritania/Niger"/>
    <x v="0"/>
  </r>
  <r>
    <s v="CAF"/>
    <s v="Senegal"/>
    <x v="13"/>
    <n v="5"/>
    <s v="Morocco 0.40, Algeria 0.30, Tunisia 0.30"/>
    <s v="LOCAL_HERITAGE 0.45, HERITAGE_HERITAGE 0.50, LOCAL_LOCAL 0.04, HERITAGE_LOCAL 0.01"/>
    <s v="Northward spill"/>
    <x v="0"/>
  </r>
  <r>
    <s v="CAF"/>
    <s v="Senegal"/>
    <x v="18"/>
    <n v="4"/>
    <s v="Cameroon 0.45, DR Congo 0.35, Congo 0.20"/>
    <s v="LOCAL_HERITAGE 0.44, HERITAGE_HERITAGE 0.51, LOCAL_LOCAL 0.04, HERITAGE_LOCAL 0.01"/>
    <s v="Central spill"/>
    <x v="0"/>
  </r>
  <r>
    <s v="CAF"/>
    <s v="Mali"/>
    <x v="39"/>
    <n v="46"/>
    <s v="Mali 0.78, Senegal 0.12, Burkina Faso 0.10"/>
    <s v="LOCAL_LOCAL 0.95, DOUBLE_SURNAME_LOCAL_LOCAL 0.03, COMPOUND_GIVEN_LOCAL_LOCAL 0.02"/>
    <s v="Main northern/local anchor"/>
    <x v="0"/>
  </r>
  <r>
    <s v="CAF"/>
    <s v="Mali"/>
    <x v="9"/>
    <n v="40"/>
    <s v="Mali 0.55, Senegal 0.20, Guinea 0.15, Ivory Coast 0.10"/>
    <s v="LOCAL_LOCAL 0.90, DOUBLE_SURNAME_LOCAL_LOCAL 0.05, COMPOUND_GIVEN_LOCAL_LOCAL 0.05"/>
    <s v="Main western-facing anchor"/>
    <x v="0"/>
  </r>
  <r>
    <s v="CAF"/>
    <s v="Mali"/>
    <x v="13"/>
    <n v="8"/>
    <s v="Morocco 0.40, Algeria 0.35, Tunisia 0.25"/>
    <s v="LOCAL_HERITAGE 0.45, HERITAGE_HERITAGE 0.50, LOCAL_LOCAL 0.04, HERITAGE_LOCAL 0.01"/>
    <s v="Northward desert spill"/>
    <x v="0"/>
  </r>
  <r>
    <s v="CAF"/>
    <s v="Mali"/>
    <x v="18"/>
    <n v="4"/>
    <s v="Cameroon 0.40, DR Congo 0.30, Congo 0.30"/>
    <s v="LOCAL_HERITAGE 0.44, HERITAGE_HERITAGE 0.51, LOCAL_LOCAL 0.04, HERITAGE_LOCAL 0.01"/>
    <s v="Eastward interior bridge"/>
    <x v="0"/>
  </r>
  <r>
    <s v="CAF"/>
    <s v="Mali"/>
    <x v="9"/>
    <n v="2"/>
    <s v="Mali 0.55, Senegal 0.25, Guinea 0.20"/>
    <s v="LOCAL_HERITAGE 0.55, HERITAGE_HERITAGE 0.30, LOCAL_LOCAL 0.10, HERITAGE_LOCAL 0.05"/>
    <s v="Mixed western row"/>
    <x v="0"/>
  </r>
  <r>
    <s v="CAF"/>
    <s v="Ivory Coast"/>
    <x v="9"/>
    <n v="84"/>
    <s v="Ivory Coast 0.84, Ghana 0.08, Guinea 0.04, Burkina Faso 0.04"/>
    <s v="LOCAL_LOCAL 0.95, DOUBLE_SURNAME_LOCAL_LOCAL 0.03, COMPOUND_GIVEN_LOCAL_LOCAL 0.02"/>
    <s v="Main local pool"/>
    <x v="0"/>
  </r>
  <r>
    <s v="CAF"/>
    <s v="Ivory Coast"/>
    <x v="39"/>
    <n v="7"/>
    <s v="Burkina Faso 0.35, Mali 0.35, Nigeria 0.30"/>
    <s v="LOCAL_HERITAGE 0.46, HERITAGE_HERITAGE 0.49, LOCAL_LOCAL 0.04, HERITAGE_LOCAL 0.01"/>
    <s v="Northern spill using supported pools only"/>
    <x v="0"/>
  </r>
  <r>
    <s v="CAF"/>
    <s v="Ivory Coast"/>
    <x v="18"/>
    <n v="5"/>
    <s v="Cameroon 0.45, DR Congo 0.35, Congo 0.20"/>
    <s v="LOCAL_HERITAGE 0.44, HERITAGE_HERITAGE 0.51, LOCAL_LOCAL 0.04, HERITAGE_LOCAL 0.01"/>
    <s v="Central spill"/>
    <x v="0"/>
  </r>
  <r>
    <s v="CAF"/>
    <s v="Ivory Coast"/>
    <x v="9"/>
    <n v="4"/>
    <s v="Ivory Coast 0.55, Ghana 0.25, Burkina Faso 0.20"/>
    <s v="LOCAL_HERITAGE 0.55, HERITAGE_HERITAGE 0.30, LOCAL_LOCAL 0.10, HERITAGE_LOCAL 0.05"/>
    <s v="Mixed western row"/>
    <x v="0"/>
  </r>
  <r>
    <s v="CAF"/>
    <s v="Cameroon"/>
    <x v="18"/>
    <n v="54"/>
    <s v="Cameroon 0.70, DR Congo 0.12, Congo 0.10, Gabon Proxy 0.08"/>
    <s v="LOCAL_LOCAL 0.95, DOUBLE_SURNAME_LOCAL_LOCAL 0.03, COMPOUND_GIVEN_LOCAL_LOCAL 0.02"/>
    <s v="Main local anchor"/>
    <x v="0"/>
  </r>
  <r>
    <s v="CAF"/>
    <s v="Cameroon"/>
    <x v="9"/>
    <n v="22"/>
    <s v="Cameroon 0.40, Nigeria 0.30, Ghana 0.15, Ivory Coast 0.15"/>
    <s v="LOCAL_LOCAL 0.90, DOUBLE_SURNAME_LOCAL_LOCAL 0.05, COMPOUND_GIVEN_LOCAL_LOCAL 0.05"/>
    <s v="Western-facing anchor"/>
    <x v="0"/>
  </r>
  <r>
    <s v="CAF"/>
    <s v="Cameroon"/>
    <x v="39"/>
    <n v="10"/>
    <s v="Cameroon 0.45, Chad Proxy 0.25, Sudan 0.15, Nigeria 0.15"/>
    <s v="LOCAL_LOCAL 0.90, DOUBLE_SURNAME_LOCAL_LOCAL 0.05, COMPOUND_GIVEN_LOCAL_LOCAL 0.05"/>
    <s v="Northern-facing anchor using proxy Chad logic"/>
    <x v="0"/>
  </r>
  <r>
    <s v="CAF"/>
    <s v="Cameroon"/>
    <x v="35"/>
    <n v="6"/>
    <s v="Uganda 0.35, Kenya 0.35, Tanzania 0.30"/>
    <s v="LOCAL_HERITAGE 0.42, HERITAGE_HERITAGE 0.53, LOCAL_LOCAL 0.04, HERITAGE_LOCAL 0.01"/>
    <s v="Eastward spill"/>
    <x v="0"/>
  </r>
  <r>
    <s v="CAF"/>
    <s v="Cameroon"/>
    <x v="23"/>
    <n v="4"/>
    <s v="Zambia 0.35, Zimbabwe 0.35, Mozambique 0.30"/>
    <s v="LOCAL_HERITAGE 0.42, HERITAGE_HERITAGE 0.53, LOCAL_LOCAL 0.04, HERITAGE_LOCAL 0.01"/>
    <s v="Southern spill without Angola overuse"/>
    <x v="0"/>
  </r>
  <r>
    <s v="CAF"/>
    <s v="Cameroon"/>
    <x v="18"/>
    <n v="4"/>
    <s v="Cameroon 0.55, DR Congo 0.20, Congo 0.15, Gabon Proxy 0.10"/>
    <s v="LOCAL_HERITAGE 0.55, HERITAGE_HERITAGE 0.30, LOCAL_LOCAL 0.10, HERITAGE_LOCAL 0.05"/>
    <s v="Mixed pan-Cameroon / Congo-basin row"/>
    <x v="0"/>
  </r>
  <r>
    <s v="CAF"/>
    <s v="DR Congo"/>
    <x v="18"/>
    <n v="80"/>
    <s v="DR Congo 0.84, Congo 0.08, Rwanda 0.04, Burundi Proxy 0.04"/>
    <s v="LOCAL_LOCAL 0.95, DOUBLE_SURNAME_LOCAL_LOCAL 0.03, COMPOUND_GIVEN_LOCAL_LOCAL 0.02"/>
    <s v="Main local pool"/>
    <x v="0"/>
  </r>
  <r>
    <s v="CAF"/>
    <s v="DR Congo"/>
    <x v="35"/>
    <n v="6"/>
    <s v="Uganda 0.35, Rwanda 0.25, Kenya 0.20, Tanzania 0.20"/>
    <s v="LOCAL_HERITAGE 0.42, HERITAGE_HERITAGE 0.53, LOCAL_LOCAL 0.04, HERITAGE_LOCAL 0.01"/>
    <s v="Eastern spill"/>
    <x v="0"/>
  </r>
  <r>
    <s v="CAF"/>
    <s v="DR Congo"/>
    <x v="23"/>
    <n v="4"/>
    <s v="Zambia 0.40, Zimbabwe 0.30, Mozambique 0.30"/>
    <s v="LOCAL_HERITAGE 0.42, HERITAGE_HERITAGE 0.53, LOCAL_LOCAL 0.04, HERITAGE_LOCAL 0.01"/>
    <s v="Southern spill"/>
    <x v="0"/>
  </r>
  <r>
    <s v="CAF"/>
    <s v="DR Congo"/>
    <x v="9"/>
    <n v="4"/>
    <s v="Cameroon 0.35, Nigeria 0.25, Ghana 0.20, Ivory Coast 0.20"/>
    <s v="LOCAL_HERITAGE 0.42, HERITAGE_HERITAGE 0.53, LOCAL_LOCAL 0.04, HERITAGE_LOCAL 0.01"/>
    <s v="Western spill"/>
    <x v="0"/>
  </r>
  <r>
    <s v="CAF"/>
    <s v="DR Congo"/>
    <x v="6"/>
    <n v="2"/>
    <s v="Ethiopia 0.40, Somalia 0.30, Sudan 0.30"/>
    <s v="LOCAL_HERITAGE 0.42, HERITAGE_HERITAGE 0.53, LOCAL_LOCAL 0.04, HERITAGE_LOCAL 0.01"/>
    <s v="Long-range eastward spill"/>
    <x v="0"/>
  </r>
  <r>
    <s v="CAF"/>
    <s v="DR Congo"/>
    <x v="18"/>
    <n v="4"/>
    <s v="DR Congo 0.55, Congo 0.25, Rwanda 0.10, Uganda 0.10"/>
    <s v="LOCAL_HERITAGE 0.55, HERITAGE_HERITAGE 0.30, LOCAL_LOCAL 0.10, HERITAGE_LOCAL 0.05"/>
    <s v="Mixed Congo basin row"/>
    <x v="0"/>
  </r>
  <r>
    <s v="CAF"/>
    <s v="Angola"/>
    <x v="18"/>
    <n v="57"/>
    <s v="Angola 0.78, DR Congo 0.12, Congo 0.06, Zambia 0.04"/>
    <s v="LOCAL_LOCAL 0.95, DOUBLE_SURNAME_LOCAL_LOCAL 0.03, COMPOUND_GIVEN_LOCAL_LOCAL 0.02"/>
    <s v="Main local pool; shifted central rather than south-first"/>
    <x v="0"/>
  </r>
  <r>
    <s v="CAF"/>
    <s v="Angola"/>
    <x v="23"/>
    <n v="22"/>
    <s v="Zambia 0.35, Zimbabwe 0.30, Mozambique 0.20, Angola 0.15"/>
    <s v="LOCAL_LOCAL 0.90, DOUBLE_SURNAME_LOCAL_LOCAL 0.05, COMPOUND_GIVEN_LOCAL_LOCAL 0.05"/>
    <s v="Southern-facing secondary anchor"/>
    <x v="0"/>
  </r>
  <r>
    <s v="CAF"/>
    <s v="Angola"/>
    <x v="35"/>
    <n v="5"/>
    <s v="Zambia 0.35, Tanzania 0.35, Uganda 0.30"/>
    <s v="LOCAL_HERITAGE 0.42, HERITAGE_HERITAGE 0.53, LOCAL_LOCAL 0.04, HERITAGE_LOCAL 0.01"/>
    <s v="Eastern spill"/>
    <x v="0"/>
  </r>
  <r>
    <s v="CAF"/>
    <s v="Angola"/>
    <x v="9"/>
    <n v="3"/>
    <s v="Cameroon 0.35, Nigeria 0.25, Ghana 0.20, Ivory Coast 0.20"/>
    <s v="LOCAL_HERITAGE 0.42, HERITAGE_HERITAGE 0.53, LOCAL_LOCAL 0.04, HERITAGE_LOCAL 0.01"/>
    <s v="Western spill"/>
    <x v="0"/>
  </r>
  <r>
    <s v="CAF"/>
    <s v="Angola"/>
    <x v="18"/>
    <n v="13"/>
    <s v="Angola 0.50, DR Congo 0.20, Congo 0.15, Zambia 0.15"/>
    <s v="LOCAL_HERITAGE 0.55, HERITAGE_HERITAGE 0.30, LOCAL_LOCAL 0.10, HERITAGE_LOCAL 0.05"/>
    <s v="Mixed Angola-central row"/>
    <x v="0"/>
  </r>
  <r>
    <s v="CAF"/>
    <s v="South Africa"/>
    <x v="23"/>
    <n v="75"/>
    <s v="South Africa 0.78, Zimbabwe 0.10, Zambia 0.07, Mozambique 0.05"/>
    <s v="LOCAL_LOCAL 0.95, DOUBLE_SURNAME_LOCAL_LOCAL 0.03, COMPOUND_GIVEN_LOCAL_LOCAL 0.02"/>
    <s v="Main local anchor"/>
    <x v="0"/>
  </r>
  <r>
    <s v="CAF"/>
    <s v="South Africa"/>
    <x v="35"/>
    <n v="8"/>
    <s v="Zimbabwe 0.30, Zambia 0.25, Tanzania 0.25, Kenya 0.20"/>
    <s v="LOCAL_HERITAGE 0.42, HERITAGE_HERITAGE 0.53, LOCAL_LOCAL 0.04, HERITAGE_LOCAL 0.01"/>
    <s v="Eastern spill"/>
    <x v="0"/>
  </r>
  <r>
    <s v="CAF"/>
    <s v="South Africa"/>
    <x v="9"/>
    <n v="4"/>
    <s v="Nigeria 0.30, Ghana 0.25, Cameroon 0.25, Ivory Coast 0.20"/>
    <s v="LOCAL_HERITAGE 0.42, HERITAGE_HERITAGE 0.53, LOCAL_LOCAL 0.04, HERITAGE_LOCAL 0.01"/>
    <s v="Football spill"/>
    <x v="0"/>
  </r>
  <r>
    <s v="CAF"/>
    <s v="South Africa"/>
    <x v="6"/>
    <n v="3"/>
    <s v="Ethiopia 0.40, Somalia 0.30, Sudan 0.30"/>
    <s v="LOCAL_HERITAGE 0.42, HERITAGE_HERITAGE 0.53, LOCAL_LOCAL 0.04, HERITAGE_LOCAL 0.01"/>
    <s v="Eastern migration spill"/>
    <x v="0"/>
  </r>
  <r>
    <s v="CAF"/>
    <s v="South Africa"/>
    <x v="31"/>
    <n v="2"/>
    <s v="India South 0.48, India Gangetic 0.18, Pakistan Punjabi 0.18, Bangladesh 0.16"/>
    <s v="LOCAL_HERITAGE 0.42, HERITAGE_HERITAGE 0.53, LOCAL_LOCAL 0.04, HERITAGE_LOCAL 0.01"/>
    <s v="South Asian spill"/>
    <x v="0"/>
  </r>
  <r>
    <s v="CAF"/>
    <s v="South Africa"/>
    <x v="16"/>
    <n v="6"/>
    <s v="Netherlands 0.30, Germany 0.25, England 0.25, Belgium Dutch 0.20"/>
    <s v="LOCAL_HERITAGE 0.50, HERITAGE_HERITAGE 0.40, LOCAL_LOCAL 0.08, HERITAGE_LOCAL 0.02"/>
    <s v="Euro-derived spill"/>
    <x v="0"/>
  </r>
  <r>
    <s v="CAF"/>
    <s v="South Africa"/>
    <x v="23"/>
    <n v="2"/>
    <s v="South Africa 0.55, Zimbabwe 0.20, Zambia 0.15, Mozambique 0.10"/>
    <s v="LOCAL_HERITAGE 0.55, HERITAGE_HERITAGE 0.30, LOCAL_LOCAL 0.10, HERITAGE_LOCAL 0.05"/>
    <s v="Mixed South African row"/>
    <x v="0"/>
  </r>
  <r>
    <s v="CAF"/>
    <s v="Kenya"/>
    <x v="35"/>
    <n v="80"/>
    <s v="Kenya 0.86, Uganda 0.06, Tanzania 0.04, Ethiopia 0.04"/>
    <s v="LOCAL_LOCAL 0.95, DOUBLE_SURNAME_LOCAL_LOCAL 0.03, COMPOUND_GIVEN_LOCAL_LOCAL 0.02"/>
    <s v="Main local pool"/>
    <x v="0"/>
  </r>
  <r>
    <s v="CAF"/>
    <s v="Kenya"/>
    <x v="6"/>
    <n v="8"/>
    <s v="Ethiopia 0.40, Somalia 0.35, Sudan 0.25"/>
    <s v="LOCAL_HERITAGE 0.42, HERITAGE_HERITAGE 0.53, LOCAL_LOCAL 0.04, HERITAGE_LOCAL 0.01"/>
    <s v="Northern spill"/>
    <x v="0"/>
  </r>
  <r>
    <s v="CAF"/>
    <s v="Kenya"/>
    <x v="23"/>
    <n v="6"/>
    <s v="Tanzania 0.35, Uganda 0.30, Zambia 0.20, Zimbabwe 0.15"/>
    <s v="LOCAL_HERITAGE 0.42, HERITAGE_HERITAGE 0.53, LOCAL_LOCAL 0.04, HERITAGE_LOCAL 0.01"/>
    <s v="Southern spill"/>
    <x v="0"/>
  </r>
  <r>
    <s v="CAF"/>
    <s v="Kenya"/>
    <x v="27"/>
    <n v="2"/>
    <s v="Saudi Arabia 0.35, UAE 0.25, Oman 0.20, Kuwait 0.20"/>
    <s v="LOCAL_HERITAGE 0.44, HERITAGE_HERITAGE 0.51, LOCAL_LOCAL 0.04, HERITAGE_LOCAL 0.01"/>
    <s v="Gulf spill"/>
    <x v="0"/>
  </r>
  <r>
    <s v="CAF"/>
    <s v="Kenya"/>
    <x v="9"/>
    <n v="2"/>
    <s v="Nigeria 0.30, Ghana 0.25, Cameroon 0.25, Ivory Coast 0.20"/>
    <s v="LOCAL_HERITAGE 0.42, HERITAGE_HERITAGE 0.53, LOCAL_LOCAL 0.04, HERITAGE_LOCAL 0.01"/>
    <s v="Football spill"/>
    <x v="0"/>
  </r>
  <r>
    <s v="CAF"/>
    <s v="Kenya"/>
    <x v="31"/>
    <n v="2"/>
    <s v="India South 0.45, India Gangetic 0.20, Pakistan Punjabi 0.20, Bangladesh 0.15"/>
    <s v="LOCAL_HERITAGE 0.42, HERITAGE_HERITAGE 0.53, LOCAL_LOCAL 0.04, HERITAGE_LOCAL 0.01"/>
    <s v="Indian Ocean spill"/>
    <x v="0"/>
  </r>
  <r>
    <s v="CAF"/>
    <s v="Tanzania"/>
    <x v="35"/>
    <n v="80"/>
    <s v="Tanzania 0.80, Kenya 0.08, Uganda 0.06, Malawi Proxy 0.06"/>
    <s v="LOCAL_LOCAL 0.95, DOUBLE_SURNAME_LOCAL_LOCAL 0.03, COMPOUND_GIVEN_LOCAL_LOCAL 0.02"/>
    <s v="Main local pool"/>
    <x v="0"/>
  </r>
  <r>
    <s v="CAF"/>
    <s v="Tanzania"/>
    <x v="6"/>
    <n v="4"/>
    <s v="Ethiopia 0.40, Somalia 0.35, Sudan 0.25"/>
    <s v="LOCAL_HERITAGE 0.42, HERITAGE_HERITAGE 0.53, LOCAL_LOCAL 0.04, HERITAGE_LOCAL 0.01"/>
    <s v="Northern spill"/>
    <x v="0"/>
  </r>
  <r>
    <s v="CAF"/>
    <s v="Tanzania"/>
    <x v="23"/>
    <n v="11"/>
    <s v="Zambia 0.30, Malawi Proxy 0.25, Zimbabwe 0.25, South Africa 0.20"/>
    <s v="LOCAL_HERITAGE 0.42, HERITAGE_HERITAGE 0.53, LOCAL_LOCAL 0.04, HERITAGE_LOCAL 0.01"/>
    <s v="Southern spill"/>
    <x v="0"/>
  </r>
  <r>
    <s v="CAF"/>
    <s v="Tanzania"/>
    <x v="27"/>
    <n v="2"/>
    <s v="Saudi Arabia 0.35, UAE 0.25, Oman 0.20, Kuwait 0.20"/>
    <s v="LOCAL_HERITAGE 0.44, HERITAGE_HERITAGE 0.51, LOCAL_LOCAL 0.04, HERITAGE_LOCAL 0.01"/>
    <s v="Gulf spill"/>
    <x v="0"/>
  </r>
  <r>
    <s v="CAF"/>
    <s v="Tanzania"/>
    <x v="31"/>
    <n v="3"/>
    <s v="India South 0.45, India Gangetic 0.20, Pakistan Punjabi 0.20, Bangladesh 0.15"/>
    <s v="LOCAL_HERITAGE 0.42, HERITAGE_HERITAGE 0.53, LOCAL_LOCAL 0.04, HERITAGE_LOCAL 0.01"/>
    <s v="Indian Ocean spill"/>
    <x v="0"/>
  </r>
  <r>
    <s v="CAF"/>
    <s v="Uganda"/>
    <x v="35"/>
    <n v="76"/>
    <s v="Uganda 0.84, Kenya 0.08, Tanzania 0.04, Rwanda 0.04"/>
    <s v="LOCAL_LOCAL 0.95, DOUBLE_SURNAME_LOCAL_LOCAL 0.03, COMPOUND_GIVEN_LOCAL_LOCAL 0.02"/>
    <s v="Main local pool"/>
    <x v="0"/>
  </r>
  <r>
    <s v="CAF"/>
    <s v="Uganda"/>
    <x v="6"/>
    <n v="6"/>
    <s v="Ethiopia 0.40, Somalia 0.35, Sudan 0.25"/>
    <s v="LOCAL_HERITAGE 0.42, HERITAGE_HERITAGE 0.53, LOCAL_LOCAL 0.04, HERITAGE_LOCAL 0.01"/>
    <s v="Northern spill"/>
    <x v="0"/>
  </r>
  <r>
    <s v="CAF"/>
    <s v="Uganda"/>
    <x v="18"/>
    <n v="10"/>
    <s v="DR Congo 0.40, Rwanda 0.30, Tanzania 0.30"/>
    <s v="LOCAL_HERITAGE 0.42, HERITAGE_HERITAGE 0.53, LOCAL_LOCAL 0.04, HERITAGE_LOCAL 0.01"/>
    <s v="Western spill"/>
    <x v="0"/>
  </r>
  <r>
    <s v="CAF"/>
    <s v="Uganda"/>
    <x v="23"/>
    <n v="4"/>
    <s v="Tanzania 0.30, Zambia 0.25, Zimbabwe 0.25, South Africa 0.20"/>
    <s v="LOCAL_HERITAGE 0.42, HERITAGE_HERITAGE 0.53, LOCAL_LOCAL 0.04, HERITAGE_LOCAL 0.01"/>
    <s v="Southern spill"/>
    <x v="0"/>
  </r>
  <r>
    <s v="CAF"/>
    <s v="Uganda"/>
    <x v="27"/>
    <n v="2"/>
    <s v="Saudi Arabia 0.35, UAE 0.25, Oman 0.20, Kuwait 0.20"/>
    <s v="LOCAL_HERITAGE 0.44, HERITAGE_HERITAGE 0.51, LOCAL_LOCAL 0.04, HERITAGE_LOCAL 0.01"/>
    <s v="Gulf spill"/>
    <x v="0"/>
  </r>
  <r>
    <s v="CAF"/>
    <s v="Uganda"/>
    <x v="31"/>
    <n v="2"/>
    <s v="India South 0.45, India Gangetic 0.20, Pakistan Punjabi 0.20, Bangladesh 0.15"/>
    <s v="LOCAL_HERITAGE 0.42, HERITAGE_HERITAGE 0.53, LOCAL_LOCAL 0.04, HERITAGE_LOCAL 0.01"/>
    <s v="Indian Ocean spill"/>
    <x v="0"/>
  </r>
  <r>
    <s v="CAF"/>
    <s v="Libya"/>
    <x v="13"/>
    <n v="74"/>
    <s v="Libya 0.80, Tunisia 0.10, Algeria 0.06, Egypt 0.04"/>
    <s v="LOCAL_LOCAL 0.95, DOUBLE_SURNAME_LOCAL_LOCAL 0.03, COMPOUND_GIVEN_LOCAL_LOCAL 0.02"/>
    <s v="Main local pool"/>
    <x v="1"/>
  </r>
  <r>
    <s v="CAF"/>
    <s v="Libya"/>
    <x v="28"/>
    <n v="12"/>
    <s v="Egypt 0.85, Libya 0.15"/>
    <s v="LOCAL_LOCAL 0.90, DOUBLE_SURNAME_LOCAL_LOCAL 0.05, COMPOUND_GIVEN_LOCAL_LOCAL 0.05"/>
    <s v="Strong eastern pull"/>
    <x v="1"/>
  </r>
  <r>
    <s v="CAF"/>
    <s v="Libya"/>
    <x v="39"/>
    <n v="6"/>
    <s v="Sudan 0.50, Mali 0.30, Senegal 0.20"/>
    <s v="LOCAL_HERITAGE 0.45, HERITAGE_HERITAGE 0.50, LOCAL_LOCAL 0.04, HERITAGE_LOCAL 0.01"/>
    <s v="Southern desert/Sahel pull using supported pools"/>
    <x v="1"/>
  </r>
  <r>
    <s v="CAF"/>
    <s v="Libya"/>
    <x v="4"/>
    <n v="4"/>
    <s v="Palestine 0.30, Syria 0.25, Lebanon 0.20, Iraq 0.25"/>
    <s v="LOCAL_HERITAGE 0.42, HERITAGE_HERITAGE 0.53, LOCAL_LOCAL 0.04, HERITAGE_LOCAL 0.01"/>
    <s v="Small West Asian spill"/>
    <x v="1"/>
  </r>
  <r>
    <s v="CAF"/>
    <s v="Libya"/>
    <x v="9"/>
    <n v="4"/>
    <s v="Mali 0.30, Senegal 0.25, Guinea 0.25, Ivory Coast 0.20"/>
    <s v="LOCAL_HERITAGE 0.45, HERITAGE_HERITAGE 0.50, LOCAL_LOCAL 0.04, HERITAGE_LOCAL 0.01"/>
    <s v="Sahel football adjacency without unsupported pools"/>
    <x v="1"/>
  </r>
  <r>
    <s v="CAF"/>
    <s v="Guinea"/>
    <x v="9"/>
    <n v="88"/>
    <s v="Guinea 0.86, Senegal 0.08, Mali 0.06"/>
    <s v="LOCAL_LOCAL 0.95, DOUBLE_SURNAME_LOCAL_LOCAL 0.03, COMPOUND_GIVEN_LOCAL_LOCAL 0.02"/>
    <s v="Main local pool"/>
    <x v="1"/>
  </r>
  <r>
    <s v="CAF"/>
    <s v="Guinea"/>
    <x v="39"/>
    <n v="5"/>
    <s v="Mali 0.40, Senegal 0.30, Burkina Faso 0.30"/>
    <s v="LOCAL_HERITAGE 0.46, HERITAGE_HERITAGE 0.49, LOCAL_LOCAL 0.04, HERITAGE_LOCAL 0.01"/>
    <s v="Northern spill"/>
    <x v="1"/>
  </r>
  <r>
    <s v="CAF"/>
    <s v="Guinea"/>
    <x v="18"/>
    <n v="3"/>
    <s v="Cameroon 0.45, DR Congo 0.35, Congo 0.20"/>
    <s v="LOCAL_HERITAGE 0.44, HERITAGE_HERITAGE 0.51, LOCAL_LOCAL 0.04, HERITAGE_LOCAL 0.01"/>
    <s v="Central spill"/>
    <x v="1"/>
  </r>
  <r>
    <s v="CAF"/>
    <s v="Guinea"/>
    <x v="13"/>
    <n v="2"/>
    <s v="Morocco 0.40, Algeria 0.30, Tunisia 0.30"/>
    <s v="LOCAL_HERITAGE 0.45, HERITAGE_HERITAGE 0.50, LOCAL_LOCAL 0.04, HERITAGE_LOCAL 0.01"/>
    <s v="Northward spill"/>
    <x v="1"/>
  </r>
  <r>
    <s v="CAF"/>
    <s v="Guinea"/>
    <x v="9"/>
    <n v="2"/>
    <s v="Guinea 0.55, Senegal 0.25, Mali 0.20"/>
    <s v="LOCAL_HERITAGE 0.55, HERITAGE_HERITAGE 0.30, LOCAL_LOCAL 0.10, HERITAGE_LOCAL 0.05"/>
    <s v="Mixed western row"/>
    <x v="1"/>
  </r>
  <r>
    <s v="CAF"/>
    <s v="Guinea-Bissau"/>
    <x v="9"/>
    <n v="77"/>
    <s v="Senegal 0.40, Guinea 0.35, Cape Verde 0.15, Portugal 0.10"/>
    <s v="LOCAL_LOCAL 0.95, DOUBLE_SURNAME_LOCAL_LOCAL 0.03, COMPOUND_GIVEN_LOCAL_LOCAL 0.02"/>
    <s v="Proxy local pool; no direct supported Guinea-Bissau dataset"/>
    <x v="1"/>
  </r>
  <r>
    <s v="CAF"/>
    <s v="Guinea-Bissau"/>
    <x v="39"/>
    <n v="8"/>
    <s v="Senegal 0.35, Mali 0.35, Burkina Faso 0.30"/>
    <s v="LOCAL_HERITAGE 0.46, HERITAGE_HERITAGE 0.49, LOCAL_LOCAL 0.04, HERITAGE_LOCAL 0.01"/>
    <s v="Northern spill"/>
    <x v="1"/>
  </r>
  <r>
    <s v="CAF"/>
    <s v="Guinea-Bissau"/>
    <x v="18"/>
    <n v="5"/>
    <s v="Cameroon 0.45, DR Congo 0.35, Congo 0.20"/>
    <s v="LOCAL_HERITAGE 0.44, HERITAGE_HERITAGE 0.51, LOCAL_LOCAL 0.04, HERITAGE_LOCAL 0.01"/>
    <s v="Central spill"/>
    <x v="1"/>
  </r>
  <r>
    <s v="CAF"/>
    <s v="Guinea-Bissau"/>
    <x v="13"/>
    <n v="5"/>
    <s v="Morocco 0.40, Algeria 0.30, Tunisia 0.30"/>
    <s v="LOCAL_HERITAGE 0.45, HERITAGE_HERITAGE 0.50, LOCAL_LOCAL 0.04, HERITAGE_LOCAL 0.01"/>
    <s v="Northward spill"/>
    <x v="1"/>
  </r>
  <r>
    <s v="CAF"/>
    <s v="Guinea-Bissau"/>
    <x v="9"/>
    <n v="5"/>
    <s v="Senegal 0.40, Guinea 0.35, Cape Verde 0.25"/>
    <s v="LOCAL_HERITAGE 0.55, HERITAGE_HERITAGE 0.30, LOCAL_LOCAL 0.10, HERITAGE_LOCAL 0.05"/>
    <s v="Mixed Lusophone-western row"/>
    <x v="1"/>
  </r>
  <r>
    <s v="CAF"/>
    <s v="Burkina Faso"/>
    <x v="39"/>
    <n v="50"/>
    <s v="Burkina Faso 0.72, Mali 0.18, Ghana 0.10"/>
    <s v="LOCAL_LOCAL 0.95, DOUBLE_SURNAME_LOCAL_LOCAL 0.03, COMPOUND_GIVEN_LOCAL_LOCAL 0.02"/>
    <s v="Main northern/local anchor"/>
    <x v="1"/>
  </r>
  <r>
    <s v="CAF"/>
    <s v="Burkina Faso"/>
    <x v="9"/>
    <n v="38"/>
    <s v="Burkina Faso 0.50, Ghana 0.20, Ivory Coast 0.15, Mali 0.15"/>
    <s v="LOCAL_LOCAL 0.90, DOUBLE_SURNAME_LOCAL_LOCAL 0.05, COMPOUND_GIVEN_LOCAL_LOCAL 0.05"/>
    <s v="Main western-facing anchor"/>
    <x v="1"/>
  </r>
  <r>
    <s v="CAF"/>
    <s v="Burkina Faso"/>
    <x v="13"/>
    <n v="6"/>
    <s v="Mali 0.35, Morocco 0.30, Algeria 0.20, Tunisia 0.15"/>
    <s v="LOCAL_HERITAGE 0.45, HERITAGE_HERITAGE 0.50, LOCAL_LOCAL 0.04, HERITAGE_LOCAL 0.01"/>
    <s v="Northward spill"/>
    <x v="1"/>
  </r>
  <r>
    <s v="CAF"/>
    <s v="Burkina Faso"/>
    <x v="18"/>
    <n v="4"/>
    <s v="Cameroon 0.40, DR Congo 0.30, Congo 0.30"/>
    <s v="LOCAL_HERITAGE 0.44, HERITAGE_HERITAGE 0.51, LOCAL_LOCAL 0.04, HERITAGE_LOCAL 0.01"/>
    <s v="Eastward bridge"/>
    <x v="1"/>
  </r>
  <r>
    <s v="CAF"/>
    <s v="Burkina Faso"/>
    <x v="9"/>
    <n v="2"/>
    <s v="Burkina Faso 0.55, Ghana 0.25, Ivory Coast 0.20"/>
    <s v="LOCAL_HERITAGE 0.55, HERITAGE_HERITAGE 0.30, LOCAL_LOCAL 0.10, HERITAGE_LOCAL 0.05"/>
    <s v="Mixed west-facing row"/>
    <x v="1"/>
  </r>
  <r>
    <s v="CAF"/>
    <s v="Mauritania"/>
    <x v="39"/>
    <n v="54"/>
    <s v="Morocco 0.30, Senegal 0.30, Mali 0.25, Algeria 0.15"/>
    <s v="LOCAL_LOCAL 0.95, DOUBLE_SURNAME_LOCAL_LOCAL 0.03, COMPOUND_GIVEN_LOCAL_LOCAL 0.02"/>
    <s v="Proxy local anchor; no direct supported Mauritania dataset"/>
    <x v="1"/>
  </r>
  <r>
    <s v="CAF"/>
    <s v="Mauritania"/>
    <x v="13"/>
    <n v="22"/>
    <s v="Morocco 0.45, Algeria 0.30, Tunisia 0.25"/>
    <s v="LOCAL_LOCAL 0.90, DOUBLE_SURNAME_LOCAL_LOCAL 0.05, COMPOUND_GIVEN_LOCAL_LOCAL 0.05"/>
    <s v="Strong northern pull"/>
    <x v="1"/>
  </r>
  <r>
    <s v="CAF"/>
    <s v="Mauritania"/>
    <x v="9"/>
    <n v="16"/>
    <s v="Senegal 0.40, Mali 0.25, Guinea 0.20, Ivory Coast 0.15"/>
    <s v="LOCAL_LOCAL 0.90, DOUBLE_SURNAME_LOCAL_LOCAL 0.05, COMPOUND_GIVEN_LOCAL_LOCAL 0.05"/>
    <s v="Strong western pull"/>
    <x v="1"/>
  </r>
  <r>
    <s v="CAF"/>
    <s v="Mauritania"/>
    <x v="18"/>
    <n v="4"/>
    <s v="Sudan 0.40, Cameroon 0.30, DR Congo 0.30"/>
    <s v="LOCAL_HERITAGE 0.44, HERITAGE_HERITAGE 0.51, LOCAL_LOCAL 0.04, HERITAGE_LOCAL 0.01"/>
    <s v="Eastward bridge without unsupported Niger/Chad"/>
    <x v="1"/>
  </r>
  <r>
    <s v="CAF"/>
    <s v="Mauritania"/>
    <x v="39"/>
    <n v="4"/>
    <s v="Senegal 0.35, Morocco 0.35, Mali 0.30"/>
    <s v="LOCAL_HERITAGE 0.55, HERITAGE_HERITAGE 0.30, LOCAL_LOCAL 0.10, HERITAGE_LOCAL 0.05"/>
    <s v="Mixed Sahel-Maghreb row"/>
    <x v="1"/>
  </r>
  <r>
    <s v="CAF"/>
    <s v="Gambia"/>
    <x v="9"/>
    <n v="85"/>
    <s v="Senegal 0.50, Guinea 0.25, Mali 0.15, Cape Verde 0.10"/>
    <s v="LOCAL_LOCAL 0.95, DOUBLE_SURNAME_LOCAL_LOCAL 0.03, COMPOUND_GIVEN_LOCAL_LOCAL 0.02"/>
    <s v="Proxy local pool; no direct supported Gambia dataset"/>
    <x v="1"/>
  </r>
  <r>
    <s v="CAF"/>
    <s v="Gambia"/>
    <x v="39"/>
    <n v="7"/>
    <s v="Senegal 0.35, Mali 0.35, Burkina Faso 0.30"/>
    <s v="LOCAL_HERITAGE 0.46, HERITAGE_HERITAGE 0.49, LOCAL_LOCAL 0.04, HERITAGE_LOCAL 0.01"/>
    <s v="Northern spill"/>
    <x v="1"/>
  </r>
  <r>
    <s v="CAF"/>
    <s v="Gambia"/>
    <x v="13"/>
    <n v="5"/>
    <s v="Morocco 0.40, Algeria 0.30, Tunisia 0.30"/>
    <s v="LOCAL_HERITAGE 0.45, HERITAGE_HERITAGE 0.50, LOCAL_LOCAL 0.04, HERITAGE_LOCAL 0.01"/>
    <s v="Northward spill"/>
    <x v="1"/>
  </r>
  <r>
    <s v="CAF"/>
    <s v="Gambia"/>
    <x v="18"/>
    <n v="3"/>
    <s v="Cameroon 0.45, DR Congo 0.35, Congo 0.20"/>
    <s v="LOCAL_HERITAGE 0.44, HERITAGE_HERITAGE 0.51, LOCAL_LOCAL 0.04, HERITAGE_LOCAL 0.01"/>
    <s v="Central spill"/>
    <x v="1"/>
  </r>
  <r>
    <s v="CAF"/>
    <s v="Sierra Leone"/>
    <x v="9"/>
    <n v="88"/>
    <s v="Liberia 0.40, Guinea 0.25, Ghana 0.20, Ivory Coast 0.15"/>
    <s v="LOCAL_LOCAL 0.95, DOUBLE_SURNAME_LOCAL_LOCAL 0.03, COMPOUND_GIVEN_LOCAL_LOCAL 0.02"/>
    <s v="Proxy local pool; no direct supported Sierra Leone dataset"/>
    <x v="1"/>
  </r>
  <r>
    <s v="CAF"/>
    <s v="Sierra Leone"/>
    <x v="39"/>
    <n v="6"/>
    <s v="Mali 0.35, Burkina Faso 0.35, Senegal 0.30"/>
    <s v="LOCAL_HERITAGE 0.46, HERITAGE_HERITAGE 0.49, LOCAL_LOCAL 0.04, HERITAGE_LOCAL 0.01"/>
    <s v="Northern spill"/>
    <x v="1"/>
  </r>
  <r>
    <s v="CAF"/>
    <s v="Sierra Leone"/>
    <x v="18"/>
    <n v="6"/>
    <s v="Cameroon 0.45, DR Congo 0.35, Congo 0.20"/>
    <s v="LOCAL_HERITAGE 0.44, HERITAGE_HERITAGE 0.51, LOCAL_LOCAL 0.04, HERITAGE_LOCAL 0.01"/>
    <s v="Central spill"/>
    <x v="1"/>
  </r>
  <r>
    <s v="CAF"/>
    <s v="Liberia"/>
    <x v="9"/>
    <n v="88"/>
    <s v="Liberia 0.78, Ivory Coast 0.10, Ghana 0.07, Guinea 0.05"/>
    <s v="LOCAL_LOCAL 0.95, DOUBLE_SURNAME_LOCAL_LOCAL 0.03, COMPOUND_GIVEN_LOCAL_LOCAL 0.02"/>
    <s v="Main local pool"/>
    <x v="1"/>
  </r>
  <r>
    <s v="CAF"/>
    <s v="Liberia"/>
    <x v="39"/>
    <n v="6"/>
    <s v="Mali 0.35, Burkina Faso 0.35, Senegal 0.30"/>
    <s v="LOCAL_HERITAGE 0.46, HERITAGE_HERITAGE 0.49, LOCAL_LOCAL 0.04, HERITAGE_LOCAL 0.01"/>
    <s v="Northern spill"/>
    <x v="1"/>
  </r>
  <r>
    <s v="CAF"/>
    <s v="Liberia"/>
    <x v="18"/>
    <n v="6"/>
    <s v="Cameroon 0.45, DR Congo 0.35, Congo 0.20"/>
    <s v="LOCAL_HERITAGE 0.44, HERITAGE_HERITAGE 0.51, LOCAL_LOCAL 0.04, HERITAGE_LOCAL 0.01"/>
    <s v="Central spill"/>
    <x v="1"/>
  </r>
  <r>
    <s v="CAF"/>
    <s v="Togo"/>
    <x v="9"/>
    <n v="88"/>
    <s v="Togo 0.78, Ghana 0.12, Benin 0.10"/>
    <s v="LOCAL_LOCAL 0.95, DOUBLE_SURNAME_LOCAL_LOCAL 0.03, COMPOUND_GIVEN_LOCAL_LOCAL 0.02"/>
    <s v="Main local pool"/>
    <x v="1"/>
  </r>
  <r>
    <s v="CAF"/>
    <s v="Togo"/>
    <x v="39"/>
    <n v="6"/>
    <s v="Burkina Faso 0.35, Mali 0.35, Nigeria 0.30"/>
    <s v="LOCAL_HERITAGE 0.46, HERITAGE_HERITAGE 0.49, LOCAL_LOCAL 0.04, HERITAGE_LOCAL 0.01"/>
    <s v="Northern spill"/>
    <x v="1"/>
  </r>
  <r>
    <s v="CAF"/>
    <s v="Togo"/>
    <x v="18"/>
    <n v="4"/>
    <s v="Cameroon 0.45, DR Congo 0.35, Congo 0.20"/>
    <s v="LOCAL_HERITAGE 0.44, HERITAGE_HERITAGE 0.51, LOCAL_LOCAL 0.04, HERITAGE_LOCAL 0.01"/>
    <s v="Central spill"/>
    <x v="1"/>
  </r>
  <r>
    <s v="CAF"/>
    <s v="Togo"/>
    <x v="9"/>
    <n v="2"/>
    <s v="Togo 0.55, Ghana 0.25, Benin 0.20"/>
    <s v="LOCAL_HERITAGE 0.55, HERITAGE_HERITAGE 0.30, LOCAL_LOCAL 0.10, HERITAGE_LOCAL 0.05"/>
    <s v="Mixed gulf row"/>
    <x v="1"/>
  </r>
  <r>
    <s v="CAF"/>
    <s v="Benin"/>
    <x v="9"/>
    <n v="87"/>
    <s v="Benin 0.78, Togo 0.12, Nigeria 0.10"/>
    <s v="LOCAL_LOCAL 0.95, DOUBLE_SURNAME_LOCAL_LOCAL 0.03, COMPOUND_GIVEN_LOCAL_LOCAL 0.02"/>
    <s v="Main local pool"/>
    <x v="1"/>
  </r>
  <r>
    <s v="CAF"/>
    <s v="Benin"/>
    <x v="39"/>
    <n v="7"/>
    <s v="Nigeria 0.35, Burkina Faso 0.35, Mali 0.30"/>
    <s v="LOCAL_HERITAGE 0.46, HERITAGE_HERITAGE 0.49, LOCAL_LOCAL 0.04, HERITAGE_LOCAL 0.01"/>
    <s v="Northern spill"/>
    <x v="1"/>
  </r>
  <r>
    <s v="CAF"/>
    <s v="Benin"/>
    <x v="18"/>
    <n v="4"/>
    <s v="Cameroon 0.45, DR Congo 0.35, Congo 0.20"/>
    <s v="LOCAL_HERITAGE 0.44, HERITAGE_HERITAGE 0.51, LOCAL_LOCAL 0.04, HERITAGE_LOCAL 0.01"/>
    <s v="Central spill"/>
    <x v="1"/>
  </r>
  <r>
    <s v="CAF"/>
    <s v="Benin"/>
    <x v="9"/>
    <n v="2"/>
    <s v="Benin 0.55, Togo 0.25, Nigeria 0.20"/>
    <s v="LOCAL_HERITAGE 0.55, HERITAGE_HERITAGE 0.30, LOCAL_LOCAL 0.10, HERITAGE_LOCAL 0.05"/>
    <s v="Mixed gulf row"/>
    <x v="1"/>
  </r>
  <r>
    <s v="CAF"/>
    <s v="Congo"/>
    <x v="18"/>
    <n v="84"/>
    <s v="Congo 0.82, DR Congo 0.10, Cameroon 0.04, Gabon Proxy 0.04"/>
    <s v="LOCAL_LOCAL 0.95, DOUBLE_SURNAME_LOCAL_LOCAL 0.03, COMPOUND_GIVEN_LOCAL_LOCAL 0.02"/>
    <s v="Main local pool"/>
    <x v="1"/>
  </r>
  <r>
    <s v="CAF"/>
    <s v="Congo"/>
    <x v="9"/>
    <n v="4"/>
    <s v="Cameroon 0.40, Nigeria 0.25, Ghana 0.20, Ivory Coast 0.15"/>
    <s v="LOCAL_HERITAGE 0.42, HERITAGE_HERITAGE 0.53, LOCAL_LOCAL 0.04, HERITAGE_LOCAL 0.01"/>
    <s v="Western spill"/>
    <x v="1"/>
  </r>
  <r>
    <s v="CAF"/>
    <s v="Congo"/>
    <x v="35"/>
    <n v="4"/>
    <s v="Uganda 0.35, Rwanda 0.25, Kenya 0.20, Tanzania 0.20"/>
    <s v="LOCAL_HERITAGE 0.42, HERITAGE_HERITAGE 0.53, LOCAL_LOCAL 0.04, HERITAGE_LOCAL 0.01"/>
    <s v="Eastern spill"/>
    <x v="1"/>
  </r>
  <r>
    <s v="CAF"/>
    <s v="Congo"/>
    <x v="23"/>
    <n v="2"/>
    <s v="Zambia 0.40, Zimbabwe 0.30, Mozambique 0.30"/>
    <s v="LOCAL_HERITAGE 0.42, HERITAGE_HERITAGE 0.53, LOCAL_LOCAL 0.04, HERITAGE_LOCAL 0.01"/>
    <s v="Southern spill"/>
    <x v="1"/>
  </r>
  <r>
    <s v="CAF"/>
    <s v="Congo"/>
    <x v="18"/>
    <n v="6"/>
    <s v="Congo 0.55, DR Congo 0.25, Cameroon 0.20"/>
    <s v="LOCAL_HERITAGE 0.55, HERITAGE_HERITAGE 0.30, LOCAL_LOCAL 0.10, HERITAGE_LOCAL 0.05"/>
    <s v="Mixed Congo basin row"/>
    <x v="1"/>
  </r>
  <r>
    <s v="CAF"/>
    <s v="Central African Republic"/>
    <x v="18"/>
    <n v="68"/>
    <s v="Cameroon 0.30, DR Congo 0.25, Congo 0.20, Sudan 0.15, Uganda 0.10"/>
    <s v="LOCAL_LOCAL 0.95, DOUBLE_SURNAME_LOCAL_LOCAL 0.03, COMPOUND_GIVEN_LOCAL_LOCAL 0.02"/>
    <s v="Proxy local anchor; no direct supported CAR dataset"/>
    <x v="1"/>
  </r>
  <r>
    <s v="CAF"/>
    <s v="Central African Republic"/>
    <x v="39"/>
    <n v="12"/>
    <s v="Sudan 0.35, Chad Proxy 0.25, Cameroon 0.20, Mali 0.20"/>
    <s v="LOCAL_HERITAGE 0.46, HERITAGE_HERITAGE 0.49, LOCAL_LOCAL 0.04, HERITAGE_LOCAL 0.01"/>
    <s v="Northern spill"/>
    <x v="1"/>
  </r>
  <r>
    <s v="CAF"/>
    <s v="Central African Republic"/>
    <x v="35"/>
    <n v="8"/>
    <s v="Uganda 0.35, South Sudan Proxy 0.25, Kenya 0.20, Tanzania 0.20"/>
    <s v="LOCAL_HERITAGE 0.42, HERITAGE_HERITAGE 0.53, LOCAL_LOCAL 0.04, HERITAGE_LOCAL 0.01"/>
    <s v="Eastern spill"/>
    <x v="1"/>
  </r>
  <r>
    <s v="CAF"/>
    <s v="Central African Republic"/>
    <x v="9"/>
    <n v="6"/>
    <s v="Cameroon 0.35, Nigeria 0.25, Ghana 0.20, Ivory Coast 0.20"/>
    <s v="LOCAL_HERITAGE 0.42, HERITAGE_HERITAGE 0.53, LOCAL_LOCAL 0.04, HERITAGE_LOCAL 0.01"/>
    <s v="Western spill"/>
    <x v="1"/>
  </r>
  <r>
    <s v="CAF"/>
    <s v="Central African Republic"/>
    <x v="23"/>
    <n v="4"/>
    <s v="DR Congo 0.40, Zambia 0.30, Zimbabwe 0.30"/>
    <s v="LOCAL_HERITAGE 0.42, HERITAGE_HERITAGE 0.53, LOCAL_LOCAL 0.04, HERITAGE_LOCAL 0.01"/>
    <s v="Southern spill"/>
    <x v="1"/>
  </r>
  <r>
    <s v="CAF"/>
    <s v="Central African Republic"/>
    <x v="18"/>
    <n v="2"/>
    <s v="Cameroon 0.35, DR Congo 0.25, Congo 0.20, Sudan 0.20"/>
    <s v="LOCAL_HERITAGE 0.55, HERITAGE_HERITAGE 0.30, LOCAL_LOCAL 0.10, HERITAGE_LOCAL 0.05"/>
    <s v="Mixed interior row"/>
    <x v="1"/>
  </r>
  <r>
    <s v="CAF"/>
    <s v="Gabon"/>
    <x v="18"/>
    <n v="84"/>
    <s v="Congo 0.35, Cameroon 0.30, DR Congo 0.20, Equatorial Guinea Proxy 0.15"/>
    <s v="LOCAL_LOCAL 0.95, DOUBLE_SURNAME_LOCAL_LOCAL 0.03, COMPOUND_GIVEN_LOCAL_LOCAL 0.02"/>
    <s v="Proxy local pool; no direct supported Gabon dataset"/>
    <x v="1"/>
  </r>
  <r>
    <s v="CAF"/>
    <s v="Gabon"/>
    <x v="9"/>
    <n v="4"/>
    <s v="Cameroon 0.40, Nigeria 0.25, Ghana 0.20, Ivory Coast 0.15"/>
    <s v="LOCAL_HERITAGE 0.42, HERITAGE_HERITAGE 0.53, LOCAL_LOCAL 0.04, HERITAGE_LOCAL 0.01"/>
    <s v="Western spill"/>
    <x v="1"/>
  </r>
  <r>
    <s v="CAF"/>
    <s v="Gabon"/>
    <x v="35"/>
    <n v="4"/>
    <s v="Uganda 0.35, Rwanda 0.25, Kenya 0.20, Tanzania 0.20"/>
    <s v="LOCAL_HERITAGE 0.42, HERITAGE_HERITAGE 0.53, LOCAL_LOCAL 0.04, HERITAGE_LOCAL 0.01"/>
    <s v="Eastern spill"/>
    <x v="1"/>
  </r>
  <r>
    <s v="CAF"/>
    <s v="Gabon"/>
    <x v="23"/>
    <n v="2"/>
    <s v="Zambia 0.40, Zimbabwe 0.30, Mozambique 0.30"/>
    <s v="LOCAL_HERITAGE 0.42, HERITAGE_HERITAGE 0.53, LOCAL_LOCAL 0.04, HERITAGE_LOCAL 0.01"/>
    <s v="Southern spill"/>
    <x v="1"/>
  </r>
  <r>
    <s v="CAF"/>
    <s v="Gabon"/>
    <x v="18"/>
    <n v="6"/>
    <s v="Congo 0.40, Cameroon 0.25, DR Congo 0.20, Equatorial Guinea Proxy 0.15"/>
    <s v="LOCAL_HERITAGE 0.55, HERITAGE_HERITAGE 0.30, LOCAL_LOCAL 0.10, HERITAGE_LOCAL 0.05"/>
    <s v="Mixed central row"/>
    <x v="1"/>
  </r>
  <r>
    <s v="CAF"/>
    <s v="Equatorial Guinea"/>
    <x v="18"/>
    <n v="62"/>
    <s v="Cameroon 0.35, Gabon Proxy 0.25, Congo 0.20, Spain 0.20"/>
    <s v="LOCAL_LOCAL 0.95, DOUBLE_SURNAME_LOCAL_LOCAL 0.03, COMPOUND_GIVEN_LOCAL_LOCAL 0.02"/>
    <s v="Proxy local anchor; no direct supported Equatorial Guinea dataset"/>
    <x v="1"/>
  </r>
  <r>
    <s v="CAF"/>
    <s v="Equatorial Guinea"/>
    <x v="9"/>
    <n v="18"/>
    <s v="Cameroon 0.30, Nigeria 0.25, Ghana 0.20, Ivory Coast 0.15, Spain 0.10"/>
    <s v="LOCAL_HERITAGE 0.42, HERITAGE_HERITAGE 0.53, LOCAL_LOCAL 0.04, HERITAGE_LOCAL 0.01"/>
    <s v="Western spill"/>
    <x v="1"/>
  </r>
  <r>
    <s v="CAF"/>
    <s v="Equatorial Guinea"/>
    <x v="19"/>
    <n v="8"/>
    <s v="Spain 0.70, Cameroon 0.30"/>
    <s v="LOCAL_HERITAGE 0.50, HERITAGE_HERITAGE 0.40, LOCAL_LOCAL 0.08, HERITAGE_LOCAL 0.02"/>
    <s v="Iberian colonial-language spill"/>
    <x v="1"/>
  </r>
  <r>
    <s v="CAF"/>
    <s v="Equatorial Guinea"/>
    <x v="23"/>
    <n v="4"/>
    <s v="Zambia 0.40, Zimbabwe 0.30, Mozambique 0.30"/>
    <s v="LOCAL_HERITAGE 0.42, HERITAGE_HERITAGE 0.53, LOCAL_LOCAL 0.04, HERITAGE_LOCAL 0.01"/>
    <s v="Southern spill"/>
    <x v="1"/>
  </r>
  <r>
    <s v="CAF"/>
    <s v="Equatorial Guinea"/>
    <x v="35"/>
    <n v="4"/>
    <s v="Uganda 0.35, Rwanda 0.25, Kenya 0.20, Tanzania 0.20"/>
    <s v="LOCAL_HERITAGE 0.42, HERITAGE_HERITAGE 0.53, LOCAL_LOCAL 0.04, HERITAGE_LOCAL 0.01"/>
    <s v="Eastern spill"/>
    <x v="1"/>
  </r>
  <r>
    <s v="CAF"/>
    <s v="Equatorial Guinea"/>
    <x v="18"/>
    <n v="4"/>
    <s v="Cameroon 0.35, Gabon Proxy 0.25, Congo 0.20, Spain 0.20"/>
    <s v="LOCAL_HERITAGE 0.55, HERITAGE_HERITAGE 0.30, LOCAL_LOCAL 0.10, HERITAGE_LOCAL 0.05"/>
    <s v="Mixed local row"/>
    <x v="1"/>
  </r>
  <r>
    <s v="CAF"/>
    <s v="Mozambique"/>
    <x v="23"/>
    <n v="68"/>
    <s v="Mozambique 0.78, Zambia 0.08, Zimbabwe 0.08, Tanzania 0.06"/>
    <s v="LOCAL_LOCAL 0.95, DOUBLE_SURNAME_LOCAL_LOCAL 0.03, COMPOUND_GIVEN_LOCAL_LOCAL 0.02"/>
    <s v="Main local pool"/>
    <x v="1"/>
  </r>
  <r>
    <s v="CAF"/>
    <s v="Mozambique"/>
    <x v="35"/>
    <n v="14"/>
    <s v="Tanzania 0.35, Kenya 0.25, Uganda 0.20, Malawi Proxy 0.20"/>
    <s v="LOCAL_HERITAGE 0.42, HERITAGE_HERITAGE 0.53, LOCAL_LOCAL 0.04, HERITAGE_LOCAL 0.01"/>
    <s v="Eastern spill"/>
    <x v="1"/>
  </r>
  <r>
    <s v="CAF"/>
    <s v="Mozambique"/>
    <x v="18"/>
    <n v="7"/>
    <s v="Angola 0.35, DR Congo 0.35, Zambia 0.30"/>
    <s v="LOCAL_HERITAGE 0.42, HERITAGE_HERITAGE 0.53, LOCAL_LOCAL 0.04, HERITAGE_LOCAL 0.01"/>
    <s v="Interior spill"/>
    <x v="1"/>
  </r>
  <r>
    <s v="CAF"/>
    <s v="Mozambique"/>
    <x v="6"/>
    <n v="5"/>
    <s v="Ethiopia 0.40, Somalia 0.30, Sudan 0.30"/>
    <s v="LOCAL_HERITAGE 0.42, HERITAGE_HERITAGE 0.53, LOCAL_LOCAL 0.04, HERITAGE_LOCAL 0.01"/>
    <s v="Indian Ocean spill"/>
    <x v="1"/>
  </r>
  <r>
    <s v="CAF"/>
    <s v="Mozambique"/>
    <x v="31"/>
    <n v="3"/>
    <s v="India South 0.50, Pakistan Punjabi 0.25, Bangladesh 0.25"/>
    <s v="LOCAL_HERITAGE 0.42, HERITAGE_HERITAGE 0.53, LOCAL_LOCAL 0.04, HERITAGE_LOCAL 0.01"/>
    <s v="Indian Ocean spill"/>
    <x v="1"/>
  </r>
  <r>
    <s v="CAF"/>
    <s v="Mozambique"/>
    <x v="23"/>
    <n v="3"/>
    <s v="Mozambique 0.55, Zambia 0.25, Tanzania 0.20"/>
    <s v="LOCAL_HERITAGE 0.55, HERITAGE_HERITAGE 0.30, LOCAL_LOCAL 0.10, HERITAGE_LOCAL 0.05"/>
    <s v="Mixed southern row"/>
    <x v="1"/>
  </r>
  <r>
    <s v="CAF"/>
    <s v="Cape Verde"/>
    <x v="12"/>
    <n v="45"/>
    <s v="Cape Verde 0.72, Brazil 0.18, Portugal 0.10"/>
    <s v="LOCAL_LOCAL 0.95, DOUBLE_SURNAME_LOCAL_LOCAL 0.03, COMPOUND_GIVEN_LOCAL_LOCAL 0.02"/>
    <s v="Main local/creole anchor"/>
    <x v="1"/>
  </r>
  <r>
    <s v="CAF"/>
    <s v="Cape Verde"/>
    <x v="9"/>
    <n v="45"/>
    <s v="Cape Verde 0.38, Senegal 0.22, Guinea 0.20, Mali 0.10, Portugal 0.10"/>
    <s v="LOCAL_LOCAL 0.90, DOUBLE_SURNAME_LOCAL_LOCAL 0.05, COMPOUND_GIVEN_LOCAL_LOCAL 0.05"/>
    <s v="Main West African-facing anchor"/>
    <x v="1"/>
  </r>
  <r>
    <s v="CAF"/>
    <s v="Cape Verde"/>
    <x v="13"/>
    <n v="4"/>
    <s v="Morocco 0.40, Algeria 0.30, Tunisia 0.30"/>
    <s v="LOCAL_HERITAGE 0.45, HERITAGE_HERITAGE 0.50, LOCAL_LOCAL 0.04, HERITAGE_LOCAL 0.01"/>
    <s v="Northern spill"/>
    <x v="1"/>
  </r>
  <r>
    <s v="CAF"/>
    <s v="Cape Verde"/>
    <x v="18"/>
    <n v="3"/>
    <s v="Cameroon 0.45, DR Congo 0.35, Congo 0.20"/>
    <s v="LOCAL_HERITAGE 0.44, HERITAGE_HERITAGE 0.51, LOCAL_LOCAL 0.04, HERITAGE_LOCAL 0.01"/>
    <s v="Minor spill"/>
    <x v="1"/>
  </r>
  <r>
    <s v="CAF"/>
    <s v="Cape Verde"/>
    <x v="9"/>
    <n v="3"/>
    <s v="Cape Verde 0.55, Senegal 0.25, Guinea 0.20"/>
    <s v="LOCAL_HERITAGE 0.55, HERITAGE_HERITAGE 0.30, LOCAL_LOCAL 0.10, HERITAGE_LOCAL 0.05"/>
    <s v="Mixed Atlantic-western row"/>
    <x v="1"/>
  </r>
  <r>
    <s v="CAF"/>
    <s v="São Tomé and Príncipe"/>
    <x v="12"/>
    <n v="46"/>
    <s v="Cape Verde 0.35, Brazil 0.35, Portugal 0.15, Angola 0.15"/>
    <s v="LOCAL_LOCAL 0.95, DOUBLE_SURNAME_LOCAL_LOCAL 0.03, COMPOUND_GIVEN_LOCAL_LOCAL 0.02"/>
    <s v="Main creole/lusophone anchor via proxy naming"/>
    <x v="1"/>
  </r>
  <r>
    <s v="CAF"/>
    <s v="São Tomé and Príncipe"/>
    <x v="18"/>
    <n v="40"/>
    <s v="Angola 0.30, Congo 0.25, Cameroon 0.25, DR Congo 0.20"/>
    <s v="LOCAL_LOCAL 0.90, DOUBLE_SURNAME_LOCAL_LOCAL 0.05, COMPOUND_GIVEN_LOCAL_LOCAL 0.05"/>
    <s v="Main African-facing anchor"/>
    <x v="1"/>
  </r>
  <r>
    <s v="CAF"/>
    <s v="São Tomé and Príncipe"/>
    <x v="9"/>
    <n v="10"/>
    <s v="Cape Verde 0.30, Senegal 0.25, Guinea 0.25, Portugal 0.20"/>
    <s v="LOCAL_HERITAGE 0.42, HERITAGE_HERITAGE 0.53, LOCAL_LOCAL 0.04, HERITAGE_LOCAL 0.01"/>
    <s v="Western spill"/>
    <x v="1"/>
  </r>
  <r>
    <s v="CAF"/>
    <s v="São Tomé and Príncipe"/>
    <x v="23"/>
    <n v="2"/>
    <s v="Angola 0.60, Mozambique 0.40"/>
    <s v="LOCAL_HERITAGE 0.42, HERITAGE_HERITAGE 0.53, LOCAL_LOCAL 0.04, HERITAGE_LOCAL 0.01"/>
    <s v="Southern spill"/>
    <x v="1"/>
  </r>
  <r>
    <s v="CAF"/>
    <s v="São Tomé and Príncipe"/>
    <x v="18"/>
    <n v="2"/>
    <s v="Angola 0.35, Congo 0.35, Cameroon 0.30"/>
    <s v="LOCAL_HERITAGE 0.55, HERITAGE_HERITAGE 0.30, LOCAL_LOCAL 0.10, HERITAGE_LOCAL 0.05"/>
    <s v="Mixed lusophone-central row"/>
    <x v="1"/>
  </r>
  <r>
    <s v="CAF"/>
    <s v="Namibia"/>
    <x v="23"/>
    <n v="74"/>
    <s v="South Africa 0.45, Angola 0.25, Zimbabwe 0.15, Zambia 0.15"/>
    <s v="LOCAL_LOCAL 0.95, DOUBLE_SURNAME_LOCAL_LOCAL 0.03, COMPOUND_GIVEN_LOCAL_LOCAL 0.02"/>
    <s v="Proxy local anchor; no direct supported Namibia dataset"/>
    <x v="1"/>
  </r>
  <r>
    <s v="CAF"/>
    <s v="Namibia"/>
    <x v="18"/>
    <n v="12"/>
    <s v="Angola 0.40, Congo 0.30, DR Congo 0.30"/>
    <s v="LOCAL_HERITAGE 0.42, HERITAGE_HERITAGE 0.53, LOCAL_LOCAL 0.04, HERITAGE_LOCAL 0.01"/>
    <s v="Northern spill"/>
    <x v="1"/>
  </r>
  <r>
    <s v="CAF"/>
    <s v="Namibia"/>
    <x v="35"/>
    <n v="6"/>
    <s v="Zambia 0.35, Zimbabwe 0.35, Tanzania 0.30"/>
    <s v="LOCAL_HERITAGE 0.42, HERITAGE_HERITAGE 0.53, LOCAL_LOCAL 0.04, HERITAGE_LOCAL 0.01"/>
    <s v="Eastern spill"/>
    <x v="1"/>
  </r>
  <r>
    <s v="CAF"/>
    <s v="Namibia"/>
    <x v="16"/>
    <n v="2"/>
    <s v="Germany 0.45, Netherlands 0.25, Belgium Dutch 0.15, Austria 0.15"/>
    <s v="LOCAL_HERITAGE 0.50, HERITAGE_HERITAGE 0.40, LOCAL_LOCAL 0.08, HERITAGE_LOCAL 0.02"/>
    <s v="Euro-derived spill"/>
    <x v="1"/>
  </r>
  <r>
    <s v="CAF"/>
    <s v="Namibia"/>
    <x v="9"/>
    <n v="2"/>
    <s v="Nigeria 0.30, Ghana 0.25, Cameroon 0.25, Ivory Coast 0.20"/>
    <s v="LOCAL_HERITAGE 0.42, HERITAGE_HERITAGE 0.53, LOCAL_LOCAL 0.04, HERITAGE_LOCAL 0.01"/>
    <s v="Football spill"/>
    <x v="1"/>
  </r>
  <r>
    <s v="CAF"/>
    <s v="Namibia"/>
    <x v="23"/>
    <n v="4"/>
    <s v="South Africa 0.45, Angola 0.20, Zimbabwe 0.20, Zambia 0.15"/>
    <s v="LOCAL_HERITAGE 0.55, HERITAGE_HERITAGE 0.30, LOCAL_LOCAL 0.10, HERITAGE_LOCAL 0.05"/>
    <s v="Mixed local row"/>
    <x v="1"/>
  </r>
  <r>
    <s v="CAF"/>
    <s v="Botswana"/>
    <x v="23"/>
    <n v="88"/>
    <s v="South Africa 0.50, Zimbabwe 0.25, Zambia 0.15, Botswana Proxy 0.10"/>
    <s v="LOCAL_LOCAL 0.95, DOUBLE_SURNAME_LOCAL_LOCAL 0.03, COMPOUND_GIVEN_LOCAL_LOCAL 0.02"/>
    <s v="Proxy local pool; no direct supported Botswana dataset"/>
    <x v="1"/>
  </r>
  <r>
    <s v="CAF"/>
    <s v="Botswana"/>
    <x v="35"/>
    <n v="6"/>
    <s v="Zambia 0.35, Zimbabwe 0.35, Tanzania 0.30"/>
    <s v="LOCAL_HERITAGE 0.42, HERITAGE_HERITAGE 0.53, LOCAL_LOCAL 0.04, HERITAGE_LOCAL 0.01"/>
    <s v="Eastern spill"/>
    <x v="1"/>
  </r>
  <r>
    <s v="CAF"/>
    <s v="Botswana"/>
    <x v="18"/>
    <n v="4"/>
    <s v="Angola 0.40, DR Congo 0.30, Congo 0.30"/>
    <s v="LOCAL_HERITAGE 0.42, HERITAGE_HERITAGE 0.53, LOCAL_LOCAL 0.04, HERITAGE_LOCAL 0.01"/>
    <s v="Northern spill"/>
    <x v="1"/>
  </r>
  <r>
    <s v="CAF"/>
    <s v="Botswana"/>
    <x v="23"/>
    <n v="2"/>
    <s v="South Africa 0.55, Zimbabwe 0.25, Zambia 0.20"/>
    <s v="LOCAL_HERITAGE 0.55, HERITAGE_HERITAGE 0.30, LOCAL_LOCAL 0.10, HERITAGE_LOCAL 0.05"/>
    <s v="Mixed southern row"/>
    <x v="1"/>
  </r>
  <r>
    <s v="CAF"/>
    <s v="Zimbabwe"/>
    <x v="23"/>
    <n v="73"/>
    <s v="Zimbabwe 0.72, Zambia 0.12, South Africa 0.08, Mozambique 0.08"/>
    <s v="LOCAL_LOCAL 0.95, DOUBLE_SURNAME_LOCAL_LOCAL 0.03, COMPOUND_GIVEN_LOCAL_LOCAL 0.02"/>
    <s v="Main local anchor"/>
    <x v="1"/>
  </r>
  <r>
    <s v="CAF"/>
    <s v="Zimbabwe"/>
    <x v="35"/>
    <n v="17"/>
    <s v="Zambia 0.30, Tanzania 0.30, Kenya 0.20, Uganda 0.20"/>
    <s v="LOCAL_HERITAGE 0.42, HERITAGE_HERITAGE 0.53, LOCAL_LOCAL 0.04, HERITAGE_LOCAL 0.01"/>
    <s v="Eastern spill"/>
    <x v="1"/>
  </r>
  <r>
    <s v="CAF"/>
    <s v="Zimbabwe"/>
    <x v="18"/>
    <n v="8"/>
    <s v="Angola 0.40, DR Congo 0.30, Congo 0.30"/>
    <s v="LOCAL_HERITAGE 0.42, HERITAGE_HERITAGE 0.53, LOCAL_LOCAL 0.04, HERITAGE_LOCAL 0.01"/>
    <s v="Northern spill"/>
    <x v="1"/>
  </r>
  <r>
    <s v="CAF"/>
    <s v="Zimbabwe"/>
    <x v="9"/>
    <n v="2"/>
    <s v="Nigeria 0.30, Ghana 0.25, Cameroon 0.25, Ivory Coast 0.20"/>
    <s v="LOCAL_HERITAGE 0.42, HERITAGE_HERITAGE 0.53, LOCAL_LOCAL 0.04, HERITAGE_LOCAL 0.01"/>
    <s v="Football spill"/>
    <x v="1"/>
  </r>
  <r>
    <s v="CAF"/>
    <s v="Zambia"/>
    <x v="23"/>
    <n v="68"/>
    <s v="Zambia 0.62, Zimbabwe 0.16, Tanzania 0.12, South Africa 0.10"/>
    <s v="LOCAL_LOCAL 0.95, DOUBLE_SURNAME_LOCAL_LOCAL 0.03, COMPOUND_GIVEN_LOCAL_LOCAL 0.02"/>
    <s v="Main local anchor"/>
    <x v="1"/>
  </r>
  <r>
    <s v="CAF"/>
    <s v="Zambia"/>
    <x v="35"/>
    <n v="10"/>
    <s v="Tanzania 0.35, Kenya 0.25, Uganda 0.20, Malawi Proxy 0.20"/>
    <s v="LOCAL_HERITAGE 0.42, HERITAGE_HERITAGE 0.53, LOCAL_LOCAL 0.04, HERITAGE_LOCAL 0.01"/>
    <s v="Eastern spill"/>
    <x v="1"/>
  </r>
  <r>
    <s v="CAF"/>
    <s v="Zambia"/>
    <x v="18"/>
    <n v="10"/>
    <s v="DR Congo 0.40, Angola 0.30, Congo 0.30"/>
    <s v="LOCAL_HERITAGE 0.42, HERITAGE_HERITAGE 0.53, LOCAL_LOCAL 0.04, HERITAGE_LOCAL 0.01"/>
    <s v="Northern spill"/>
    <x v="1"/>
  </r>
  <r>
    <s v="CAF"/>
    <s v="Zambia"/>
    <x v="9"/>
    <n v="2"/>
    <s v="Nigeria 0.30, Ghana 0.25, Cameroon 0.25, Ivory Coast 0.20"/>
    <s v="LOCAL_HERITAGE 0.42, HERITAGE_HERITAGE 0.53, LOCAL_LOCAL 0.04, HERITAGE_LOCAL 0.01"/>
    <s v="Football spill"/>
    <x v="1"/>
  </r>
  <r>
    <s v="CAF"/>
    <s v="Zambia"/>
    <x v="23"/>
    <n v="10"/>
    <s v="Zambia 0.42, Zimbabwe 0.20, Tanzania 0.15, South Africa 0.13, Angola 0.10"/>
    <s v="LOCAL_HERITAGE 0.55, HERITAGE_HERITAGE 0.30, LOCAL_LOCAL 0.10, HERITAGE_LOCAL 0.05"/>
    <s v="Mixed southern row"/>
    <x v="1"/>
  </r>
  <r>
    <s v="CAF"/>
    <s v="Malawi"/>
    <x v="35"/>
    <n v="52"/>
    <s v="Tanzania 0.35, Zambia 0.30, Kenya 0.20, Uganda 0.15"/>
    <s v="LOCAL_LOCAL 0.95, DOUBLE_SURNAME_LOCAL_LOCAL 0.03, COMPOUND_GIVEN_LOCAL_LOCAL 0.02"/>
    <s v="Proxy local anchor; no direct supported Malawi dataset"/>
    <x v="1"/>
  </r>
  <r>
    <s v="CAF"/>
    <s v="Malawi"/>
    <x v="23"/>
    <n v="36"/>
    <s v="Zambia 0.30, Zimbabwe 0.25, South Africa 0.25, Tanzania 0.20"/>
    <s v="LOCAL_LOCAL 0.90, DOUBLE_SURNAME_LOCAL_LOCAL 0.05, COMPOUND_GIVEN_LOCAL_LOCAL 0.05"/>
    <s v="Strong southern-facing anchor"/>
    <x v="1"/>
  </r>
  <r>
    <s v="CAF"/>
    <s v="Malawi"/>
    <x v="18"/>
    <n v="10"/>
    <s v="Zambia 0.35, DR Congo 0.35, Angola 0.30"/>
    <s v="LOCAL_HERITAGE 0.42, HERITAGE_HERITAGE 0.53, LOCAL_LOCAL 0.04, HERITAGE_LOCAL 0.01"/>
    <s v="Northern spill"/>
    <x v="1"/>
  </r>
  <r>
    <s v="CAF"/>
    <s v="Malawi"/>
    <x v="35"/>
    <n v="2"/>
    <s v="Tanzania 0.45, Zambia 0.30, Kenya 0.25"/>
    <s v="LOCAL_HERITAGE 0.55, HERITAGE_HERITAGE 0.30, LOCAL_LOCAL 0.10, HERITAGE_LOCAL 0.05"/>
    <s v="Mixed east-south row"/>
    <x v="1"/>
  </r>
  <r>
    <s v="CAF"/>
    <s v="Rwanda"/>
    <x v="18"/>
    <n v="46"/>
    <s v="Rwanda 0.52, Uganda 0.20, DR Congo 0.14, Tanzania 0.14"/>
    <s v="LOCAL_LOCAL 0.95, DOUBLE_SURNAME_LOCAL_LOCAL 0.03, COMPOUND_GIVEN_LOCAL_LOCAL 0.02"/>
    <s v="Main local anchor"/>
    <x v="1"/>
  </r>
  <r>
    <s v="CAF"/>
    <s v="Rwanda"/>
    <x v="35"/>
    <n v="40"/>
    <s v="Uganda 0.30, Kenya 0.25, Tanzania 0.25, Burundi Proxy 0.20"/>
    <s v="LOCAL_LOCAL 0.90, DOUBLE_SURNAME_LOCAL_LOCAL 0.05, COMPOUND_GIVEN_LOCAL_LOCAL 0.05"/>
    <s v="Main eastern-facing anchor"/>
    <x v="1"/>
  </r>
  <r>
    <s v="CAF"/>
    <s v="Rwanda"/>
    <x v="6"/>
    <n v="4"/>
    <s v="Ethiopia 0.40, Somalia 0.35, Sudan 0.25"/>
    <s v="LOCAL_HERITAGE 0.42, HERITAGE_HERITAGE 0.53, LOCAL_LOCAL 0.04, HERITAGE_LOCAL 0.01"/>
    <s v="Northern spill"/>
    <x v="1"/>
  </r>
  <r>
    <s v="CAF"/>
    <s v="Rwanda"/>
    <x v="23"/>
    <n v="4"/>
    <s v="Tanzania 0.30, Zambia 0.25, Zimbabwe 0.25, South Africa 0.20"/>
    <s v="LOCAL_HERITAGE 0.42, HERITAGE_HERITAGE 0.53, LOCAL_LOCAL 0.04, HERITAGE_LOCAL 0.01"/>
    <s v="Southern spill"/>
    <x v="1"/>
  </r>
  <r>
    <s v="CAF"/>
    <s v="Rwanda"/>
    <x v="9"/>
    <n v="2"/>
    <s v="Cameroon 0.35, Nigeria 0.25, Ghana 0.20, Ivory Coast 0.20"/>
    <s v="LOCAL_HERITAGE 0.42, HERITAGE_HERITAGE 0.53, LOCAL_LOCAL 0.04, HERITAGE_LOCAL 0.01"/>
    <s v="Western spill"/>
    <x v="1"/>
  </r>
  <r>
    <s v="CAF"/>
    <s v="Rwanda"/>
    <x v="18"/>
    <n v="4"/>
    <s v="Rwanda 0.45, Uganda 0.25, DR Congo 0.15, Tanzania 0.15"/>
    <s v="LOCAL_HERITAGE 0.55, HERITAGE_HERITAGE 0.30, LOCAL_LOCAL 0.10, HERITAGE_LOCAL 0.05"/>
    <s v="Mixed great-lakes row"/>
    <x v="1"/>
  </r>
  <r>
    <s v="CAF"/>
    <s v="Burundi"/>
    <x v="18"/>
    <n v="46"/>
    <s v="Rwanda 0.35, Tanzania 0.25, Uganda 0.20, DR Congo 0.20"/>
    <s v="LOCAL_LOCAL 0.95, DOUBLE_SURNAME_LOCAL_LOCAL 0.03, COMPOUND_GIVEN_LOCAL_LOCAL 0.02"/>
    <s v="Proxy local anchor; no direct supported Burundi dataset"/>
    <x v="1"/>
  </r>
  <r>
    <s v="CAF"/>
    <s v="Burundi"/>
    <x v="35"/>
    <n v="40"/>
    <s v="Tanzania 0.30, Uganda 0.25, Kenya 0.25, Rwanda 0.20"/>
    <s v="LOCAL_LOCAL 0.90, DOUBLE_SURNAME_LOCAL_LOCAL 0.05, COMPOUND_GIVEN_LOCAL_LOCAL 0.05"/>
    <s v="Main eastern-facing anchor"/>
    <x v="1"/>
  </r>
  <r>
    <s v="CAF"/>
    <s v="Burundi"/>
    <x v="6"/>
    <n v="4"/>
    <s v="Ethiopia 0.40, Somalia 0.35, Sudan 0.25"/>
    <s v="LOCAL_HERITAGE 0.42, HERITAGE_HERITAGE 0.53, LOCAL_LOCAL 0.04, HERITAGE_LOCAL 0.01"/>
    <s v="Northern spill"/>
    <x v="1"/>
  </r>
  <r>
    <s v="CAF"/>
    <s v="Burundi"/>
    <x v="23"/>
    <n v="4"/>
    <s v="Tanzania 0.30, Zambia 0.25, Zimbabwe 0.25, South Africa 0.20"/>
    <s v="LOCAL_HERITAGE 0.42, HERITAGE_HERITAGE 0.53, LOCAL_LOCAL 0.04, HERITAGE_LOCAL 0.01"/>
    <s v="Southern spill"/>
    <x v="1"/>
  </r>
  <r>
    <s v="CAF"/>
    <s v="Burundi"/>
    <x v="9"/>
    <n v="2"/>
    <s v="Cameroon 0.35, Nigeria 0.25, Ghana 0.20, Ivory Coast 0.20"/>
    <s v="LOCAL_HERITAGE 0.42, HERITAGE_HERITAGE 0.53, LOCAL_LOCAL 0.04, HERITAGE_LOCAL 0.01"/>
    <s v="Western spill"/>
    <x v="1"/>
  </r>
  <r>
    <s v="CAF"/>
    <s v="Burundi"/>
    <x v="18"/>
    <n v="4"/>
    <s v="Rwanda 0.35, Tanzania 0.25, Uganda 0.20, DR Congo 0.20"/>
    <s v="LOCAL_HERITAGE 0.55, HERITAGE_HERITAGE 0.30, LOCAL_LOCAL 0.10, HERITAGE_LOCAL 0.05"/>
    <s v="Mixed great-lakes row"/>
    <x v="1"/>
  </r>
  <r>
    <s v="CAF"/>
    <s v="Ethiopia"/>
    <x v="6"/>
    <n v="72"/>
    <s v="Ethiopia 0.82, Eritrea Proxy 0.10, Somalia 0.08"/>
    <s v="LOCAL_LOCAL 0.95, DOUBLE_SURNAME_LOCAL_LOCAL 0.03, COMPOUND_GIVEN_LOCAL_LOCAL 0.02"/>
    <s v="Main local anchor"/>
    <x v="1"/>
  </r>
  <r>
    <s v="CAF"/>
    <s v="Ethiopia"/>
    <x v="35"/>
    <n v="12"/>
    <s v="Kenya 0.35, Uganda 0.30, Tanzania 0.35"/>
    <s v="LOCAL_HERITAGE 0.42, HERITAGE_HERITAGE 0.53, LOCAL_LOCAL 0.04, HERITAGE_LOCAL 0.01"/>
    <s v="Southern spill"/>
    <x v="1"/>
  </r>
  <r>
    <s v="CAF"/>
    <s v="Ethiopia"/>
    <x v="27"/>
    <n v="6"/>
    <s v="Saudi Arabia 0.35, Oman 0.25, UAE 0.20, Yemen Proxy 0.20"/>
    <s v="LOCAL_HERITAGE 0.44, HERITAGE_HERITAGE 0.51, LOCAL_LOCAL 0.04, HERITAGE_LOCAL 0.01"/>
    <s v="Red Sea spill"/>
    <x v="1"/>
  </r>
  <r>
    <s v="CAF"/>
    <s v="Ethiopia"/>
    <x v="39"/>
    <n v="4"/>
    <s v="Sudan 0.40, Mali 0.30, Senegal 0.30"/>
    <s v="LOCAL_HERITAGE 0.45, HERITAGE_HERITAGE 0.50, LOCAL_LOCAL 0.04, HERITAGE_LOCAL 0.01"/>
    <s v="Western spill"/>
    <x v="1"/>
  </r>
  <r>
    <s v="CAF"/>
    <s v="Ethiopia"/>
    <x v="18"/>
    <n v="4"/>
    <s v="Uganda 0.35, South Sudan Proxy 0.35, DR Congo 0.30"/>
    <s v="LOCAL_HERITAGE 0.42, HERITAGE_HERITAGE 0.53, LOCAL_LOCAL 0.04, HERITAGE_LOCAL 0.01"/>
    <s v="Southwestern spill"/>
    <x v="1"/>
  </r>
  <r>
    <s v="CAF"/>
    <s v="Ethiopia"/>
    <x v="6"/>
    <n v="2"/>
    <s v="Ethiopia 0.60, Somalia 0.20, Eritrea Proxy 0.20"/>
    <s v="LOCAL_HERITAGE 0.55, HERITAGE_HERITAGE 0.30, LOCAL_LOCAL 0.10, HERITAGE_LOCAL 0.05"/>
    <s v="Mixed Horn row"/>
    <x v="1"/>
  </r>
  <r>
    <s v="CAF"/>
    <s v="Eritrea"/>
    <x v="6"/>
    <n v="86"/>
    <s v="Ethiopia 0.45, Sudan 0.20, Somalia 0.20, Yemen Proxy 0.15"/>
    <s v="LOCAL_LOCAL 0.95, DOUBLE_SURNAME_LOCAL_LOCAL 0.03, COMPOUND_GIVEN_LOCAL_LOCAL 0.02"/>
    <s v="Proxy local pool; no direct supported Eritrea dataset"/>
    <x v="1"/>
  </r>
  <r>
    <s v="CAF"/>
    <s v="Eritrea"/>
    <x v="35"/>
    <n v="4"/>
    <s v="Ethiopia 0.35, Kenya 0.35, Tanzania 0.30"/>
    <s v="LOCAL_HERITAGE 0.42, HERITAGE_HERITAGE 0.53, LOCAL_LOCAL 0.04, HERITAGE_LOCAL 0.01"/>
    <s v="Southern spill"/>
    <x v="1"/>
  </r>
  <r>
    <s v="CAF"/>
    <s v="Eritrea"/>
    <x v="27"/>
    <n v="4"/>
    <s v="Saudi Arabia 0.35, Oman 0.25, UAE 0.20, Yemen Proxy 0.20"/>
    <s v="LOCAL_HERITAGE 0.44, HERITAGE_HERITAGE 0.51, LOCAL_LOCAL 0.04, HERITAGE_LOCAL 0.01"/>
    <s v="Red Sea spill"/>
    <x v="1"/>
  </r>
  <r>
    <s v="CAF"/>
    <s v="Eritrea"/>
    <x v="39"/>
    <n v="4"/>
    <s v="Sudan 0.40, Mali 0.30, Senegal 0.30"/>
    <s v="LOCAL_HERITAGE 0.45, HERITAGE_HERITAGE 0.50, LOCAL_LOCAL 0.04, HERITAGE_LOCAL 0.01"/>
    <s v="Western spill"/>
    <x v="1"/>
  </r>
  <r>
    <s v="CAF"/>
    <s v="Eritrea"/>
    <x v="6"/>
    <n v="2"/>
    <s v="Ethiopia 0.45, Somalia 0.30, Sudan 0.25"/>
    <s v="LOCAL_HERITAGE 0.55, HERITAGE_HERITAGE 0.30, LOCAL_LOCAL 0.10, HERITAGE_LOCAL 0.05"/>
    <s v="Mixed Horn row"/>
    <x v="1"/>
  </r>
  <r>
    <s v="CAF"/>
    <s v="Somalia"/>
    <x v="6"/>
    <n v="88"/>
    <s v="Somalia 0.88, Ethiopia 0.08, Sudan 0.04"/>
    <s v="LOCAL_LOCAL 0.95, DOUBLE_SURNAME_LOCAL_LOCAL 0.03, COMPOUND_GIVEN_LOCAL_LOCAL 0.02"/>
    <s v="Main local pool"/>
    <x v="1"/>
  </r>
  <r>
    <s v="CAF"/>
    <s v="Somalia"/>
    <x v="35"/>
    <n v="4"/>
    <s v="Kenya 0.40, Ethiopia 0.35, Tanzania 0.25"/>
    <s v="LOCAL_HERITAGE 0.42, HERITAGE_HERITAGE 0.53, LOCAL_LOCAL 0.04, HERITAGE_LOCAL 0.01"/>
    <s v="Southern spill"/>
    <x v="1"/>
  </r>
  <r>
    <s v="CAF"/>
    <s v="Somalia"/>
    <x v="27"/>
    <n v="4"/>
    <s v="Saudi Arabia 0.35, Oman 0.25, UAE 0.20, Yemen Proxy 0.20"/>
    <s v="LOCAL_HERITAGE 0.44, HERITAGE_HERITAGE 0.51, LOCAL_LOCAL 0.04, HERITAGE_LOCAL 0.01"/>
    <s v="Red Sea / Gulf spill"/>
    <x v="1"/>
  </r>
  <r>
    <s v="CAF"/>
    <s v="Somalia"/>
    <x v="39"/>
    <n v="2"/>
    <s v="Sudan 0.45, Mali 0.30, Senegal 0.25"/>
    <s v="LOCAL_HERITAGE 0.45, HERITAGE_HERITAGE 0.50, LOCAL_LOCAL 0.04, HERITAGE_LOCAL 0.01"/>
    <s v="Long-range spill"/>
    <x v="1"/>
  </r>
  <r>
    <s v="CAF"/>
    <s v="Djibouti"/>
    <x v="6"/>
    <n v="74"/>
    <s v="Somalia 0.40, Ethiopia 0.30, Sudan 0.15, Yemen Proxy 0.15"/>
    <s v="LOCAL_LOCAL 0.95, DOUBLE_SURNAME_LOCAL_LOCAL 0.03, COMPOUND_GIVEN_LOCAL_LOCAL 0.02"/>
    <s v="Proxy local anchor; no direct supported Djibouti dataset"/>
    <x v="1"/>
  </r>
  <r>
    <s v="CAF"/>
    <s v="Djibouti"/>
    <x v="27"/>
    <n v="10"/>
    <s v="Saudi Arabia 0.35, Oman 0.25, UAE 0.20, Yemen Proxy 0.20"/>
    <s v="LOCAL_HERITAGE 0.44, HERITAGE_HERITAGE 0.51, LOCAL_LOCAL 0.04, HERITAGE_LOCAL 0.01"/>
    <s v="Strong Red Sea spill"/>
    <x v="1"/>
  </r>
  <r>
    <s v="CAF"/>
    <s v="Djibouti"/>
    <x v="35"/>
    <n v="8"/>
    <s v="Kenya 0.40, Ethiopia 0.35, Tanzania 0.25"/>
    <s v="LOCAL_HERITAGE 0.42, HERITAGE_HERITAGE 0.53, LOCAL_LOCAL 0.04, HERITAGE_LOCAL 0.01"/>
    <s v="Southern spill"/>
    <x v="1"/>
  </r>
  <r>
    <s v="CAF"/>
    <s v="Djibouti"/>
    <x v="28"/>
    <n v="4"/>
    <s v="Egypt 1.00"/>
    <s v="LOCAL_HERITAGE 0.45, HERITAGE_HERITAGE 0.50, LOCAL_LOCAL 0.04, HERITAGE_LOCAL 0.01"/>
    <s v="Northern spill"/>
    <x v="1"/>
  </r>
  <r>
    <s v="CAF"/>
    <s v="Djibouti"/>
    <x v="31"/>
    <n v="2"/>
    <s v="India South 0.45, India Gangetic 0.20, Pakistan Punjabi 0.20, Bangladesh 0.15"/>
    <s v="LOCAL_HERITAGE 0.42, HERITAGE_HERITAGE 0.53, LOCAL_LOCAL 0.04, HERITAGE_LOCAL 0.01"/>
    <s v="Indian Ocean spill"/>
    <x v="1"/>
  </r>
  <r>
    <s v="CAF"/>
    <s v="Djibouti"/>
    <x v="39"/>
    <n v="2"/>
    <s v="Sudan 0.40, Mali 0.30, Senegal 0.30"/>
    <s v="LOCAL_HERITAGE 0.45, HERITAGE_HERITAGE 0.50, LOCAL_LOCAL 0.04, HERITAGE_LOCAL 0.01"/>
    <s v="Western spill"/>
    <x v="1"/>
  </r>
  <r>
    <s v="CAF"/>
    <s v="Sudan"/>
    <x v="39"/>
    <n v="48"/>
    <s v="Sudan 0.72, Egypt 0.14, Ethiopia 0.08, Somalia 0.06"/>
    <s v="LOCAL_LOCAL 0.95, DOUBLE_SURNAME_LOCAL_LOCAL 0.03, COMPOUND_GIVEN_LOCAL_LOCAL 0.02"/>
    <s v="Main northern/local anchor"/>
    <x v="1"/>
  </r>
  <r>
    <s v="CAF"/>
    <s v="Sudan"/>
    <x v="6"/>
    <n v="24"/>
    <s v="Ethiopia 0.35, Somalia 0.20, Kenya 0.15, Eritrea Proxy 0.15, Sudan 0.15"/>
    <s v="LOCAL_LOCAL 0.90, DOUBLE_SURNAME_LOCAL_LOCAL 0.05, COMPOUND_GIVEN_LOCAL_LOCAL 0.05"/>
    <s v="Strong Horn-facing anchor"/>
    <x v="1"/>
  </r>
  <r>
    <s v="CAF"/>
    <s v="Sudan"/>
    <x v="28"/>
    <n v="10"/>
    <s v="Egypt 1.00"/>
    <s v="LOCAL_LOCAL 0.90, DOUBLE_SURNAME_LOCAL_LOCAL 0.05, COMPOUND_GIVEN_LOCAL_LOCAL 0.05"/>
    <s v="Strong Nile-facing anchor"/>
    <x v="1"/>
  </r>
  <r>
    <s v="CAF"/>
    <s v="Sudan"/>
    <x v="35"/>
    <n v="8"/>
    <s v="Kenya 0.35, Uganda 0.30, Tanzania 0.35"/>
    <s v="LOCAL_HERITAGE 0.42, HERITAGE_HERITAGE 0.53, LOCAL_LOCAL 0.04, HERITAGE_LOCAL 0.01"/>
    <s v="Southern spill"/>
    <x v="1"/>
  </r>
  <r>
    <s v="CAF"/>
    <s v="Sudan"/>
    <x v="27"/>
    <n v="4"/>
    <s v="Saudi Arabia 0.35, Oman 0.25, UAE 0.20, Yemen Proxy 0.20"/>
    <s v="LOCAL_HERITAGE 0.44, HERITAGE_HERITAGE 0.51, LOCAL_LOCAL 0.04, HERITAGE_LOCAL 0.01"/>
    <s v="Red Sea spill"/>
    <x v="1"/>
  </r>
  <r>
    <s v="CAF"/>
    <s v="Sudan"/>
    <x v="18"/>
    <n v="4"/>
    <s v="South Sudan Proxy 0.35, Uganda 0.35, DR Congo 0.30"/>
    <s v="LOCAL_HERITAGE 0.42, HERITAGE_HERITAGE 0.53, LOCAL_LOCAL 0.04, HERITAGE_LOCAL 0.01"/>
    <s v="Southern interior spill"/>
    <x v="1"/>
  </r>
  <r>
    <s v="CAF"/>
    <s v="Sudan"/>
    <x v="39"/>
    <n v="2"/>
    <s v="Sudan 0.55, Egypt 0.25, Ethiopia 0.20"/>
    <s v="LOCAL_HERITAGE 0.55, HERITAGE_HERITAGE 0.30, LOCAL_LOCAL 0.10, HERITAGE_LOCAL 0.05"/>
    <s v="Mixed Nile-Sahel row"/>
    <x v="1"/>
  </r>
  <r>
    <s v="CAF"/>
    <s v="South Sudan"/>
    <x v="35"/>
    <n v="44"/>
    <s v="Uganda 0.30, Kenya 0.25, Tanzania 0.20, Sudan 0.25"/>
    <s v="LOCAL_LOCAL 0.95, DOUBLE_SURNAME_LOCAL_LOCAL 0.03, COMPOUND_GIVEN_LOCAL_LOCAL 0.02"/>
    <s v="Proxy local/east anchor; no direct supported South Sudan dataset"/>
    <x v="1"/>
  </r>
  <r>
    <s v="CAF"/>
    <s v="South Sudan"/>
    <x v="39"/>
    <n v="20"/>
    <s v="Sudan 0.45, Chad Proxy 0.25, Mali 0.15, South Sudan Proxy 0.15"/>
    <s v="LOCAL_LOCAL 0.90, DOUBLE_SURNAME_LOCAL_LOCAL 0.05, COMPOUND_GIVEN_LOCAL_LOCAL 0.05"/>
    <s v="Northern-facing anchor"/>
    <x v="1"/>
  </r>
  <r>
    <s v="CAF"/>
    <s v="South Sudan"/>
    <x v="6"/>
    <n v="14"/>
    <s v="Ethiopia 0.30, Kenya 0.25, Somalia 0.20, Sudan 0.25"/>
    <s v="LOCAL_LOCAL 0.90, DOUBLE_SURNAME_LOCAL_LOCAL 0.05, COMPOUND_GIVEN_LOCAL_LOCAL 0.05"/>
    <s v="Northeastern spill"/>
    <x v="1"/>
  </r>
  <r>
    <s v="CAF"/>
    <s v="South Sudan"/>
    <x v="18"/>
    <n v="10"/>
    <s v="Uganda 0.35, DR Congo 0.35, Congo 0.30"/>
    <s v="LOCAL_HERITAGE 0.42, HERITAGE_HERITAGE 0.53, LOCAL_LOCAL 0.04, HERITAGE_LOCAL 0.01"/>
    <s v="Western spill"/>
    <x v="1"/>
  </r>
  <r>
    <s v="CAF"/>
    <s v="South Sudan"/>
    <x v="23"/>
    <n v="6"/>
    <s v="Zambia 0.35, Zimbabwe 0.35, Tanzania 0.30"/>
    <s v="LOCAL_HERITAGE 0.42, HERITAGE_HERITAGE 0.53, LOCAL_LOCAL 0.04, HERITAGE_LOCAL 0.01"/>
    <s v="Southern spill"/>
    <x v="1"/>
  </r>
  <r>
    <s v="CAF"/>
    <s v="South Sudan"/>
    <x v="27"/>
    <n v="4"/>
    <s v="Saudi Arabia 0.35, Oman 0.25, UAE 0.20, Yemen Proxy 0.20"/>
    <s v="LOCAL_HERITAGE 0.44, HERITAGE_HERITAGE 0.51, LOCAL_LOCAL 0.04, HERITAGE_LOCAL 0.01"/>
    <s v="Red Sea spill"/>
    <x v="1"/>
  </r>
  <r>
    <s v="CAF"/>
    <s v="South Sudan"/>
    <x v="35"/>
    <n v="2"/>
    <s v="Uganda 0.40, Kenya 0.30, Tanzania 0.30"/>
    <s v="LOCAL_HERITAGE 0.55, HERITAGE_HERITAGE 0.30, LOCAL_LOCAL 0.10, HERITAGE_LOCAL 0.05"/>
    <s v="Mixed great-lakes row"/>
    <x v="1"/>
  </r>
  <r>
    <s v="CAF"/>
    <s v="Niger"/>
    <x v="39"/>
    <n v="66"/>
    <s v="Nigeria 0.35, Mali 0.25, Sudan 0.20, Algeria 0.20"/>
    <s v="LOCAL_LOCAL 0.95, DOUBLE_SURNAME_LOCAL_LOCAL 0.03, COMPOUND_GIVEN_LOCAL_LOCAL 0.02"/>
    <s v="Proxy local anchor; no direct supported Niger dataset"/>
    <x v="1"/>
  </r>
  <r>
    <s v="CAF"/>
    <s v="Niger"/>
    <x v="9"/>
    <n v="16"/>
    <s v="Nigeria 0.35, Mali 0.25, Burkina Faso 0.20, Ghana 0.20"/>
    <s v="LOCAL_LOCAL 0.90, DOUBLE_SURNAME_LOCAL_LOCAL 0.05, COMPOUND_GIVEN_LOCAL_LOCAL 0.05"/>
    <s v="Western-facing anchor"/>
    <x v="1"/>
  </r>
  <r>
    <s v="CAF"/>
    <s v="Niger"/>
    <x v="13"/>
    <n v="8"/>
    <s v="Algeria 0.35, Libya 0.25, Morocco 0.20, Tunisia 0.20"/>
    <s v="LOCAL_HERITAGE 0.45, HERITAGE_HERITAGE 0.50, LOCAL_LOCAL 0.04, HERITAGE_LOCAL 0.01"/>
    <s v="Northern spill"/>
    <x v="1"/>
  </r>
  <r>
    <s v="CAF"/>
    <s v="Niger"/>
    <x v="18"/>
    <n v="6"/>
    <s v="Sudan 0.35, Cameroon 0.35, Chad Proxy 0.30"/>
    <s v="LOCAL_HERITAGE 0.44, HERITAGE_HERITAGE 0.51, LOCAL_LOCAL 0.04, HERITAGE_LOCAL 0.01"/>
    <s v="Eastern spill"/>
    <x v="1"/>
  </r>
  <r>
    <s v="CAF"/>
    <s v="Niger"/>
    <x v="6"/>
    <n v="2"/>
    <s v="Sudan 0.45, Ethiopia 0.30, Somalia 0.25"/>
    <s v="LOCAL_HERITAGE 0.42, HERITAGE_HERITAGE 0.53, LOCAL_LOCAL 0.04, HERITAGE_LOCAL 0.01"/>
    <s v="Long-range spill"/>
    <x v="1"/>
  </r>
  <r>
    <s v="CAF"/>
    <s v="Niger"/>
    <x v="39"/>
    <n v="2"/>
    <s v="Nigeria 0.35, Mali 0.25, Sudan 0.20, Algeria 0.20"/>
    <s v="LOCAL_HERITAGE 0.55, HERITAGE_HERITAGE 0.30, LOCAL_LOCAL 0.10, HERITAGE_LOCAL 0.05"/>
    <s v="Mixed Sahel row"/>
    <x v="1"/>
  </r>
  <r>
    <s v="CAF"/>
    <s v="Chad"/>
    <x v="39"/>
    <n v="48"/>
    <s v="Sudan 0.30, Cameroon 0.25, Nigeria 0.20, Mali 0.15, Algeria 0.10"/>
    <s v="LOCAL_LOCAL 0.95, DOUBLE_SURNAME_LOCAL_LOCAL 0.03, COMPOUND_GIVEN_LOCAL_LOCAL 0.02"/>
    <s v="Proxy northern/local anchor; no direct supported Chad dataset"/>
    <x v="1"/>
  </r>
  <r>
    <s v="CAF"/>
    <s v="Chad"/>
    <x v="18"/>
    <n v="26"/>
    <s v="Cameroon 0.30, Sudan 0.20, Central African Republic Proxy 0.20, DR Congo 0.15, Congo 0.15"/>
    <s v="LOCAL_LOCAL 0.90, DOUBLE_SURNAME_LOCAL_LOCAL 0.05, COMPOUND_GIVEN_LOCAL_LOCAL 0.05"/>
    <s v="Strong central-facing anchor"/>
    <x v="1"/>
  </r>
  <r>
    <s v="CAF"/>
    <s v="Chad"/>
    <x v="13"/>
    <n v="8"/>
    <s v="Libya 0.35, Algeria 0.25, Morocco 0.20, Tunisia 0.20"/>
    <s v="LOCAL_HERITAGE 0.45, HERITAGE_HERITAGE 0.50, LOCAL_LOCAL 0.04, HERITAGE_LOCAL 0.01"/>
    <s v="Northern spill"/>
    <x v="1"/>
  </r>
  <r>
    <s v="CAF"/>
    <s v="Chad"/>
    <x v="6"/>
    <n v="6"/>
    <s v="Sudan 0.35, Ethiopia 0.25, Somalia 0.20, Eritrea Proxy 0.20"/>
    <s v="LOCAL_HERITAGE 0.42, HERITAGE_HERITAGE 0.53, LOCAL_LOCAL 0.04, HERITAGE_LOCAL 0.01"/>
    <s v="Eastern spill"/>
    <x v="1"/>
  </r>
  <r>
    <s v="CAF"/>
    <s v="Chad"/>
    <x v="9"/>
    <n v="6"/>
    <s v="Nigeria 0.35, Mali 0.25, Burkina Faso 0.20, Ghana 0.20"/>
    <s v="LOCAL_HERITAGE 0.46, HERITAGE_HERITAGE 0.49, LOCAL_LOCAL 0.04, HERITAGE_LOCAL 0.01"/>
    <s v="Western spill"/>
    <x v="1"/>
  </r>
  <r>
    <s v="CAF"/>
    <s v="Chad"/>
    <x v="35"/>
    <n v="4"/>
    <s v="Sudan 0.35, Uganda 0.25, Kenya 0.20, Tanzania 0.20"/>
    <s v="LOCAL_HERITAGE 0.42, HERITAGE_HERITAGE 0.53, LOCAL_LOCAL 0.04, HERITAGE_LOCAL 0.01"/>
    <s v="Southeastern spill"/>
    <x v="1"/>
  </r>
  <r>
    <s v="CAF"/>
    <s v="Chad"/>
    <x v="39"/>
    <n v="2"/>
    <s v="Sudan 0.35, Cameroon 0.25, Nigeria 0.20, Mali 0.20"/>
    <s v="LOCAL_HERITAGE 0.55, HERITAGE_HERITAGE 0.30, LOCAL_LOCAL 0.10, HERITAGE_LOCAL 0.05"/>
    <s v="Mixed Sahel-central row"/>
    <x v="1"/>
  </r>
  <r>
    <s v="AFC"/>
    <s v="Jordan"/>
    <x v="4"/>
    <n v="80"/>
    <s v="Jordan 0.65, Palestine 0.20, Syria 0.08, Iraq 0.07"/>
    <s v="LOCAL_LOCAL 0.95, DOUBLE_SURNAME_LOCAL_LOCAL 0.03, COMPOUND_GIVEN_LOCAL_LOCAL 0.02"/>
    <s v="Main local pool; Palestine-linked weighting"/>
    <x v="0"/>
  </r>
  <r>
    <s v="AFC"/>
    <s v="Jordan"/>
    <x v="27"/>
    <n v="10"/>
    <s v="Saudi Arabia 0.50, UAE 0.20, Kuwait 0.15, Jordan 0.15"/>
    <s v="LOCAL_HERITAGE 0.44, HERITAGE_HERITAGE 0.51, LOCAL_LOCAL 0.04, HERITAGE_LOCAL 0.01"/>
    <s v="Arabian adjacency"/>
    <x v="0"/>
  </r>
  <r>
    <s v="AFC"/>
    <s v="Jordan"/>
    <x v="28"/>
    <n v="4"/>
    <s v="Egypt 1.00"/>
    <s v="LOCAL_HERITAGE 0.45, HERITAGE_HERITAGE 0.50, LOCAL_LOCAL 0.04, HERITAGE_LOCAL 0.01"/>
    <s v="Southern bridge"/>
    <x v="0"/>
  </r>
  <r>
    <s v="AFC"/>
    <s v="Jordan"/>
    <x v="3"/>
    <n v="3"/>
    <s v="Turkey 0.75, Jordan 0.25"/>
    <s v="LOCAL_HERITAGE 0.44, HERITAGE_HERITAGE 0.51, LOCAL_LOCAL 0.04, HERITAGE_LOCAL 0.01"/>
    <s v="Small northward spill"/>
    <x v="0"/>
  </r>
  <r>
    <s v="AFC"/>
    <s v="Jordan"/>
    <x v="5"/>
    <n v="3"/>
    <s v="Iran 0.80, Jordan 0.20"/>
    <s v="LOCAL_HERITAGE 0.44, HERITAGE_HERITAGE 0.51, LOCAL_LOCAL 0.04, HERITAGE_LOCAL 0.01"/>
    <s v="Small eastern spill"/>
    <x v="0"/>
  </r>
  <r>
    <s v="AFC"/>
    <s v="Iraq"/>
    <x v="4"/>
    <n v="56"/>
    <s v="Iraq 0.82, Syria 0.08, Lebanon 0.05, Palestine 0.05"/>
    <s v="LOCAL_LOCAL 0.95, DOUBLE_SURNAME_LOCAL_LOCAL 0.03, COMPOUND_GIVEN_LOCAL_LOCAL 0.02"/>
    <s v="Main western/local anchor under current system"/>
    <x v="0"/>
  </r>
  <r>
    <s v="AFC"/>
    <s v="Iraq"/>
    <x v="5"/>
    <n v="18"/>
    <s v="Iran 0.85, Iraq 0.15"/>
    <s v="LOCAL_HERITAGE 0.44, HERITAGE_HERITAGE 0.51, LOCAL_LOCAL 0.04, HERITAGE_LOCAL 0.01"/>
    <s v="Strong eastern pull"/>
    <x v="0"/>
  </r>
  <r>
    <s v="AFC"/>
    <s v="Iraq"/>
    <x v="27"/>
    <n v="12"/>
    <s v="Saudi Arabia 0.40, Jordan 0.25, Kuwait 0.20, UAE 0.15"/>
    <s v="LOCAL_HERITAGE 0.44, HERITAGE_HERITAGE 0.51, LOCAL_LOCAL 0.04, HERITAGE_LOCAL 0.01"/>
    <s v="Arab core adjacency"/>
    <x v="0"/>
  </r>
  <r>
    <s v="AFC"/>
    <s v="Iraq"/>
    <x v="3"/>
    <n v="8"/>
    <s v="Turkey 0.75, Iraq 0.25"/>
    <s v="LOCAL_HERITAGE 0.44, HERITAGE_HERITAGE 0.51, LOCAL_LOCAL 0.04, HERITAGE_LOCAL 0.01"/>
    <s v="Northern spill"/>
    <x v="0"/>
  </r>
  <r>
    <s v="AFC"/>
    <s v="Iraq"/>
    <x v="26"/>
    <n v="3"/>
    <s v="Armenia 0.35, Azerbaijan 0.35, Georgia 0.30"/>
    <s v="LOCAL_HERITAGE 0.44, HERITAGE_HERITAGE 0.51, LOCAL_LOCAL 0.04, HERITAGE_LOCAL 0.01"/>
    <s v="Northern bridge"/>
    <x v="0"/>
  </r>
  <r>
    <s v="AFC"/>
    <s v="Iraq"/>
    <x v="28"/>
    <n v="3"/>
    <s v="Egypt 1.00"/>
    <s v="LOCAL_HERITAGE 0.45, HERITAGE_HERITAGE 0.50, LOCAL_LOCAL 0.04, HERITAGE_LOCAL 0.01"/>
    <s v="Westward bridge"/>
    <x v="0"/>
  </r>
  <r>
    <s v="AFC"/>
    <s v="Iran"/>
    <x v="5"/>
    <n v="84"/>
    <s v="Iran 1.00"/>
    <s v="LOCAL_LOCAL 0.95, DOUBLE_SURNAME_LOCAL_LOCAL 0.03, COMPOUND_GIVEN_LOCAL_LOCAL 0.02"/>
    <s v="Main local pool"/>
    <x v="0"/>
  </r>
  <r>
    <s v="AFC"/>
    <s v="Iran"/>
    <x v="4"/>
    <n v="4"/>
    <s v="Iraq 0.45, Syria 0.20, Lebanon 0.20, Palestine 0.15"/>
    <s v="LOCAL_HERITAGE 0.44, HERITAGE_HERITAGE 0.51, LOCAL_LOCAL 0.04, HERITAGE_LOCAL 0.01"/>
    <s v="Westward spill"/>
    <x v="0"/>
  </r>
  <r>
    <s v="AFC"/>
    <s v="Iran"/>
    <x v="3"/>
    <n v="4"/>
    <s v="Turkey 0.75, Iran 0.25"/>
    <s v="LOCAL_HERITAGE 0.44, HERITAGE_HERITAGE 0.51, LOCAL_LOCAL 0.04, HERITAGE_LOCAL 0.01"/>
    <s v="Northwest spill"/>
    <x v="0"/>
  </r>
  <r>
    <s v="AFC"/>
    <s v="Iran"/>
    <x v="26"/>
    <n v="4"/>
    <s v="Azerbaijan 0.45, Armenia 0.30, Georgia 0.25"/>
    <s v="LOCAL_HERITAGE 0.44, HERITAGE_HERITAGE 0.51, LOCAL_LOCAL 0.04, HERITAGE_LOCAL 0.01"/>
    <s v="Northward bridge"/>
    <x v="0"/>
  </r>
  <r>
    <s v="AFC"/>
    <s v="Iran"/>
    <x v="27"/>
    <n v="2"/>
    <s v="Iraq 0.35, Saudi Arabia 0.30, Kuwait 0.20, UAE 0.15"/>
    <s v="LOCAL_HERITAGE 0.44, HERITAGE_HERITAGE 0.51, LOCAL_LOCAL 0.04, HERITAGE_LOCAL 0.01"/>
    <s v="Small Gulf spill"/>
    <x v="0"/>
  </r>
  <r>
    <s v="AFC"/>
    <s v="Iran"/>
    <x v="5"/>
    <n v="2"/>
    <s v="Iran 0.70, Tajikistan 0.30"/>
    <s v="LOCAL_HERITAGE 0.44, HERITAGE_HERITAGE 0.51, LOCAL_LOCAL 0.04, HERITAGE_LOCAL 0.01"/>
    <s v="Optional eastern Iranian-family refinement if Tajikistan pool exists later"/>
    <x v="0"/>
  </r>
  <r>
    <s v="AFC"/>
    <s v="Saudi Arabia"/>
    <x v="27"/>
    <n v="88"/>
    <s v="Saudi Arabia 0.94, Jordan 0.03, Kuwait 0.03"/>
    <s v="LOCAL_LOCAL 0.95, DOUBLE_SURNAME_LOCAL_LOCAL 0.03, COMPOUND_GIVEN_LOCAL_LOCAL 0.02"/>
    <s v="Main local pool"/>
    <x v="0"/>
  </r>
  <r>
    <s v="AFC"/>
    <s v="Saudi Arabia"/>
    <x v="4"/>
    <n v="4"/>
    <s v="Jordan 0.35, Palestine 0.25, Syria 0.20, Lebanon 0.20"/>
    <s v="LOCAL_HERITAGE 0.44, HERITAGE_HERITAGE 0.51, LOCAL_LOCAL 0.04, HERITAGE_LOCAL 0.01"/>
    <s v="Northern Arab spill"/>
    <x v="0"/>
  </r>
  <r>
    <s v="AFC"/>
    <s v="Saudi Arabia"/>
    <x v="28"/>
    <n v="4"/>
    <s v="Egypt 1.00"/>
    <s v="LOCAL_HERITAGE 0.45, HERITAGE_HERITAGE 0.50, LOCAL_LOCAL 0.04, HERITAGE_LOCAL 0.01"/>
    <s v="Red Sea / football spill"/>
    <x v="0"/>
  </r>
  <r>
    <s v="AFC"/>
    <s v="Saudi Arabia"/>
    <x v="5"/>
    <n v="2"/>
    <s v="Iran 1.00"/>
    <s v="LOCAL_HERITAGE 0.44, HERITAGE_HERITAGE 0.51, LOCAL_LOCAL 0.04, HERITAGE_LOCAL 0.01"/>
    <s v="Gulf adjacency"/>
    <x v="0"/>
  </r>
  <r>
    <s v="AFC"/>
    <s v="Saudi Arabia"/>
    <x v="6"/>
    <n v="2"/>
    <s v="Somalia 0.45, Ethiopia 0.30, Sudan 0.25"/>
    <s v="LOCAL_HERITAGE 0.44, HERITAGE_HERITAGE 0.51, LOCAL_LOCAL 0.04, HERITAGE_LOCAL 0.01"/>
    <s v="Red Sea adjacency using supported pools only"/>
    <x v="0"/>
  </r>
  <r>
    <s v="AFC"/>
    <s v="Oman"/>
    <x v="27"/>
    <n v="84"/>
    <s v="Oman 0.92, UAE 0.05, Saudi Arabia 0.03"/>
    <s v="LOCAL_LOCAL 0.95, DOUBLE_SURNAME_LOCAL_LOCAL 0.03, COMPOUND_GIVEN_LOCAL_LOCAL 0.02"/>
    <s v="Main local pool"/>
    <x v="0"/>
  </r>
  <r>
    <s v="AFC"/>
    <s v="Oman"/>
    <x v="5"/>
    <n v="5"/>
    <s v="Iran 1.00"/>
    <s v="LOCAL_HERITAGE 0.44, HERITAGE_HERITAGE 0.51, LOCAL_LOCAL 0.04, HERITAGE_LOCAL 0.01"/>
    <s v="Gulf spill"/>
    <x v="0"/>
  </r>
  <r>
    <s v="AFC"/>
    <s v="Oman"/>
    <x v="6"/>
    <n v="5"/>
    <s v="Somalia 0.45, Ethiopia 0.30, Sudan 0.25"/>
    <s v="LOCAL_HERITAGE 0.44, HERITAGE_HERITAGE 0.51, LOCAL_LOCAL 0.04, HERITAGE_LOCAL 0.01"/>
    <s v="Indian Ocean / Red Sea link"/>
    <x v="0"/>
  </r>
  <r>
    <s v="AFC"/>
    <s v="Oman"/>
    <x v="4"/>
    <n v="3"/>
    <s v="Jordan 0.35, Palestine 0.25, Syria 0.20, Lebanon 0.20"/>
    <s v="LOCAL_HERITAGE 0.44, HERITAGE_HERITAGE 0.51, LOCAL_LOCAL 0.04, HERITAGE_LOCAL 0.01"/>
    <s v="Arab spill"/>
    <x v="0"/>
  </r>
  <r>
    <s v="AFC"/>
    <s v="Oman"/>
    <x v="28"/>
    <n v="3"/>
    <s v="Egypt 1.00"/>
    <s v="LOCAL_HERITAGE 0.45, HERITAGE_HERITAGE 0.50, LOCAL_LOCAL 0.04, HERITAGE_LOCAL 0.01"/>
    <s v="Westward bridge"/>
    <x v="0"/>
  </r>
  <r>
    <s v="AFC"/>
    <s v="United Arab Emirates"/>
    <x v="27"/>
    <n v="66"/>
    <s v="UAE 0.76, Saudi Arabia 0.10, Oman 0.08, Jordan 0.06"/>
    <s v="LOCAL_LOCAL 0.95, DOUBLE_SURNAME_LOCAL_LOCAL 0.03, COMPOUND_GIVEN_LOCAL_LOCAL 0.02"/>
    <s v="Main local pool"/>
    <x v="0"/>
  </r>
  <r>
    <s v="AFC"/>
    <s v="United Arab Emirates"/>
    <x v="31"/>
    <n v="10"/>
    <s v="India South 0.45, India Gangetic 0.20, Pakistan Punjabi 0.20, Bangladesh 0.15"/>
    <s v="LOCAL_HERITAGE 0.40, HERITAGE_HERITAGE 0.55, LOCAL_LOCAL 0.04, HERITAGE_LOCAL 0.01"/>
    <s v="South Asian labor/migration spill"/>
    <x v="0"/>
  </r>
  <r>
    <s v="AFC"/>
    <s v="United Arab Emirates"/>
    <x v="5"/>
    <n v="5"/>
    <s v="Iran 1.00"/>
    <s v="LOCAL_HERITAGE 0.44, HERITAGE_HERITAGE 0.51, LOCAL_LOCAL 0.04, HERITAGE_LOCAL 0.01"/>
    <s v="Gulf spill"/>
    <x v="0"/>
  </r>
  <r>
    <s v="AFC"/>
    <s v="United Arab Emirates"/>
    <x v="4"/>
    <n v="5"/>
    <s v="Jordan 0.30, Palestine 0.25, Lebanon 0.25, Syria 0.20"/>
    <s v="LOCAL_HERITAGE 0.44, HERITAGE_HERITAGE 0.51, LOCAL_LOCAL 0.04, HERITAGE_LOCAL 0.01"/>
    <s v="Arab spill"/>
    <x v="0"/>
  </r>
  <r>
    <s v="AFC"/>
    <s v="United Arab Emirates"/>
    <x v="6"/>
    <n v="4"/>
    <s v="Somalia 0.45, Ethiopia 0.30, Sudan 0.25"/>
    <s v="LOCAL_HERITAGE 0.44, HERITAGE_HERITAGE 0.51, LOCAL_LOCAL 0.04, HERITAGE_LOCAL 0.01"/>
    <s v="Red Sea spill"/>
    <x v="0"/>
  </r>
  <r>
    <s v="AFC"/>
    <s v="United Arab Emirates"/>
    <x v="35"/>
    <n v="4"/>
    <s v="Kenya 0.35, Tanzania 0.35, Sudan 0.30"/>
    <s v="LOCAL_HERITAGE 0.44, HERITAGE_HERITAGE 0.51, LOCAL_LOCAL 0.04, HERITAGE_LOCAL 0.01"/>
    <s v="East African migration spill"/>
    <x v="0"/>
  </r>
  <r>
    <s v="AFC"/>
    <s v="United Arab Emirates"/>
    <x v="28"/>
    <n v="3"/>
    <s v="Egypt 1.00"/>
    <s v="LOCAL_HERITAGE 0.45, HERITAGE_HERITAGE 0.50, LOCAL_LOCAL 0.04, HERITAGE_LOCAL 0.01"/>
    <s v="Arab football adjacency"/>
    <x v="0"/>
  </r>
  <r>
    <s v="AFC"/>
    <s v="United Arab Emirates"/>
    <x v="3"/>
    <n v="3"/>
    <s v="Turkey 1.00"/>
    <s v="LOCAL_HERITAGE 0.44, HERITAGE_HERITAGE 0.51, LOCAL_LOCAL 0.04, HERITAGE_LOCAL 0.01"/>
    <s v="Minor spill"/>
    <x v="0"/>
  </r>
  <r>
    <s v="AFC"/>
    <s v="Qatar"/>
    <x v="27"/>
    <n v="70"/>
    <s v="Qatar 0.80, Saudi Arabia 0.10, Jordan 0.05, UAE 0.05"/>
    <s v="LOCAL_LOCAL 0.95, DOUBLE_SURNAME_LOCAL_LOCAL 0.03, COMPOUND_GIVEN_LOCAL_LOCAL 0.02"/>
    <s v="Main local pool"/>
    <x v="0"/>
  </r>
  <r>
    <s v="AFC"/>
    <s v="Qatar"/>
    <x v="13"/>
    <n v="6"/>
    <s v="Morocco 0.45, Algeria 0.30, Tunisia 0.25"/>
    <s v="LOCAL_HERITAGE 0.42, HERITAGE_HERITAGE 0.53, LOCAL_LOCAL 0.04, HERITAGE_LOCAL 0.01"/>
    <s v="Football recruitment / Arab spill"/>
    <x v="0"/>
  </r>
  <r>
    <s v="AFC"/>
    <s v="Qatar"/>
    <x v="9"/>
    <n v="5"/>
    <s v="Senegal 0.30, Nigeria 0.25, Ghana 0.20, Mali 0.15, Ivory Coast 0.10"/>
    <s v="LOCAL_HERITAGE 0.38, HERITAGE_HERITAGE 0.57, LOCAL_LOCAL 0.04, HERITAGE_LOCAL 0.01"/>
    <s v="Footballing spill"/>
    <x v="0"/>
  </r>
  <r>
    <s v="AFC"/>
    <s v="Qatar"/>
    <x v="31"/>
    <n v="7"/>
    <s v="India South 0.45, India Gangetic 0.20, Pakistan Punjabi 0.20, Bangladesh 0.15"/>
    <s v="LOCAL_HERITAGE 0.40, HERITAGE_HERITAGE 0.55, LOCAL_LOCAL 0.04, HERITAGE_LOCAL 0.01"/>
    <s v="South Asian migration spill"/>
    <x v="0"/>
  </r>
  <r>
    <s v="AFC"/>
    <s v="Qatar"/>
    <x v="4"/>
    <n v="5"/>
    <s v="Jordan 0.30, Palestine 0.25, Lebanon 0.25, Syria 0.20"/>
    <s v="LOCAL_HERITAGE 0.44, HERITAGE_HERITAGE 0.51, LOCAL_LOCAL 0.04, HERITAGE_LOCAL 0.01"/>
    <s v="Arab spill"/>
    <x v="0"/>
  </r>
  <r>
    <s v="AFC"/>
    <s v="Qatar"/>
    <x v="5"/>
    <n v="3"/>
    <s v="Iran 1.00"/>
    <s v="LOCAL_HERITAGE 0.44, HERITAGE_HERITAGE 0.51, LOCAL_LOCAL 0.04, HERITAGE_LOCAL 0.01"/>
    <s v="Gulf spill"/>
    <x v="0"/>
  </r>
  <r>
    <s v="AFC"/>
    <s v="Qatar"/>
    <x v="28"/>
    <n v="2"/>
    <s v="Egypt 1.00"/>
    <s v="LOCAL_HERITAGE 0.45, HERITAGE_HERITAGE 0.50, LOCAL_LOCAL 0.04, HERITAGE_LOCAL 0.01"/>
    <s v="Arab football adjacency"/>
    <x v="0"/>
  </r>
  <r>
    <s v="AFC"/>
    <s v="Qatar"/>
    <x v="6"/>
    <n v="2"/>
    <s v="Somalia 0.45, Ethiopia 0.30, Sudan 0.25"/>
    <s v="LOCAL_HERITAGE 0.44, HERITAGE_HERITAGE 0.51, LOCAL_LOCAL 0.04, HERITAGE_LOCAL 0.01"/>
    <s v="Red Sea spill"/>
    <x v="0"/>
  </r>
  <r>
    <s v="AFC"/>
    <s v="Kuwait"/>
    <x v="27"/>
    <n v="78"/>
    <s v="Kuwait 0.84, Saudi Arabia 0.08, Iraq 0.05, Jordan 0.03"/>
    <s v="LOCAL_LOCAL 0.95, DOUBLE_SURNAME_LOCAL_LOCAL 0.03, COMPOUND_GIVEN_LOCAL_LOCAL 0.02"/>
    <s v="Main local pool"/>
    <x v="0"/>
  </r>
  <r>
    <s v="AFC"/>
    <s v="Kuwait"/>
    <x v="4"/>
    <n v="6"/>
    <s v="Iraq 0.30, Palestine 0.25, Jordan 0.25, Syria 0.20"/>
    <s v="LOCAL_HERITAGE 0.44, HERITAGE_HERITAGE 0.51, LOCAL_LOCAL 0.04, HERITAGE_LOCAL 0.01"/>
    <s v="Arab spill"/>
    <x v="0"/>
  </r>
  <r>
    <s v="AFC"/>
    <s v="Kuwait"/>
    <x v="5"/>
    <n v="4"/>
    <s v="Iran 1.00"/>
    <s v="LOCAL_HERITAGE 0.44, HERITAGE_HERITAGE 0.51, LOCAL_LOCAL 0.04, HERITAGE_LOCAL 0.01"/>
    <s v="Gulf spill"/>
    <x v="0"/>
  </r>
  <r>
    <s v="AFC"/>
    <s v="Kuwait"/>
    <x v="31"/>
    <n v="5"/>
    <s v="India South 0.45, India Gangetic 0.20, Pakistan Punjabi 0.20, Bangladesh 0.15"/>
    <s v="LOCAL_HERITAGE 0.40, HERITAGE_HERITAGE 0.55, LOCAL_LOCAL 0.04, HERITAGE_LOCAL 0.01"/>
    <s v="South Asian migration spill"/>
    <x v="0"/>
  </r>
  <r>
    <s v="AFC"/>
    <s v="Kuwait"/>
    <x v="28"/>
    <n v="4"/>
    <s v="Egypt 1.00"/>
    <s v="LOCAL_HERITAGE 0.45, HERITAGE_HERITAGE 0.50, LOCAL_LOCAL 0.04, HERITAGE_LOCAL 0.01"/>
    <s v="Arab football adjacency"/>
    <x v="0"/>
  </r>
  <r>
    <s v="AFC"/>
    <s v="Kuwait"/>
    <x v="6"/>
    <n v="3"/>
    <s v="Somalia 0.45, Ethiopia 0.30, Sudan 0.25"/>
    <s v="LOCAL_HERITAGE 0.44, HERITAGE_HERITAGE 0.51, LOCAL_LOCAL 0.04, HERITAGE_LOCAL 0.01"/>
    <s v="Red Sea spill"/>
    <x v="0"/>
  </r>
  <r>
    <s v="AFC"/>
    <s v="Bahrain"/>
    <x v="27"/>
    <n v="74"/>
    <s v="Bahrain 0.80, Saudi Arabia 0.10, Kuwait 0.06, UAE 0.04"/>
    <s v="LOCAL_LOCAL 0.95, DOUBLE_SURNAME_LOCAL_LOCAL 0.03, COMPOUND_GIVEN_LOCAL_LOCAL 0.02"/>
    <s v="Main local pool"/>
    <x v="0"/>
  </r>
  <r>
    <s v="AFC"/>
    <s v="Bahrain"/>
    <x v="5"/>
    <n v="8"/>
    <s v="Iran 1.00"/>
    <s v="LOCAL_HERITAGE 0.44, HERITAGE_HERITAGE 0.51, LOCAL_LOCAL 0.04, HERITAGE_LOCAL 0.01"/>
    <s v="Gulf spill"/>
    <x v="0"/>
  </r>
  <r>
    <s v="AFC"/>
    <s v="Bahrain"/>
    <x v="4"/>
    <n v="5"/>
    <s v="Iraq 0.30, Jordan 0.25, Palestine 0.25, Syria 0.20"/>
    <s v="LOCAL_HERITAGE 0.44, HERITAGE_HERITAGE 0.51, LOCAL_LOCAL 0.04, HERITAGE_LOCAL 0.01"/>
    <s v="Arab spill"/>
    <x v="0"/>
  </r>
  <r>
    <s v="AFC"/>
    <s v="Bahrain"/>
    <x v="31"/>
    <n v="5"/>
    <s v="India South 0.45, India Gangetic 0.20, Pakistan Punjabi 0.20, Bangladesh 0.15"/>
    <s v="LOCAL_HERITAGE 0.40, HERITAGE_HERITAGE 0.55, LOCAL_LOCAL 0.04, HERITAGE_LOCAL 0.01"/>
    <s v="South Asian migration spill"/>
    <x v="0"/>
  </r>
  <r>
    <s v="AFC"/>
    <s v="Bahrain"/>
    <x v="28"/>
    <n v="4"/>
    <s v="Egypt 1.00"/>
    <s v="LOCAL_HERITAGE 0.45, HERITAGE_HERITAGE 0.50, LOCAL_LOCAL 0.04, HERITAGE_LOCAL 0.01"/>
    <s v="Arab football adjacency"/>
    <x v="0"/>
  </r>
  <r>
    <s v="AFC"/>
    <s v="Bahrain"/>
    <x v="6"/>
    <n v="2"/>
    <s v="Somalia 0.45, Ethiopia 0.30, Sudan 0.25"/>
    <s v="LOCAL_HERITAGE 0.44, HERITAGE_HERITAGE 0.51, LOCAL_LOCAL 0.04, HERITAGE_LOCAL 0.01"/>
    <s v="Red Sea spill"/>
    <x v="0"/>
  </r>
  <r>
    <s v="AFC"/>
    <s v="Bahrain"/>
    <x v="3"/>
    <n v="2"/>
    <s v="Turkey 1.00"/>
    <s v="LOCAL_HERITAGE 0.44, HERITAGE_HERITAGE 0.51, LOCAL_LOCAL 0.04, HERITAGE_LOCAL 0.01"/>
    <s v="Minor spill"/>
    <x v="0"/>
  </r>
  <r>
    <s v="AFC"/>
    <s v="India"/>
    <x v="15"/>
    <n v="32"/>
    <s v="India Gangetic 0.78, India Punjabi 0.10, India Bengali 0.07, India South 0.05"/>
    <s v="LOCAL_LOCAL 0.95, DOUBLE_SURNAME_LOCAL_LOCAL 0.03, COMPOUND_GIVEN_LOCAL_LOCAL 0.02"/>
    <s v="Main north/central anchor"/>
    <x v="0"/>
  </r>
  <r>
    <s v="AFC"/>
    <s v="India"/>
    <x v="31"/>
    <n v="26"/>
    <s v="India South 0.88, India Gangetic 0.07, India Bengali 0.03, India Punjabi 0.02"/>
    <s v="LOCAL_LOCAL 0.95, DOUBLE_SURNAME_LOCAL_LOCAL 0.03, COMPOUND_GIVEN_LOCAL_LOCAL 0.02"/>
    <s v="Main south anchor"/>
    <x v="0"/>
  </r>
  <r>
    <s v="AFC"/>
    <s v="India"/>
    <x v="14"/>
    <n v="18"/>
    <s v="India Punjabi 0.88, India Gangetic 0.08, Pakistan Punjabi 0.04"/>
    <s v="LOCAL_LOCAL 0.95, DOUBLE_SURNAME_LOCAL_LOCAL 0.03, COMPOUND_GIVEN_LOCAL_LOCAL 0.02"/>
    <s v="Main northwestern anchor"/>
    <x v="0"/>
  </r>
  <r>
    <s v="AFC"/>
    <s v="India"/>
    <x v="40"/>
    <n v="12"/>
    <s v="India Bengali 0.82, Bangladesh 0.12, India Gangetic 0.06"/>
    <s v="LOCAL_LOCAL 0.95, DOUBLE_SURNAME_LOCAL_LOCAL 0.03, COMPOUND_GIVEN_LOCAL_LOCAL 0.02"/>
    <s v="Main eastern anchor"/>
    <x v="0"/>
  </r>
  <r>
    <s v="AFC"/>
    <s v="India"/>
    <x v="41"/>
    <n v="2"/>
    <s v="Sri Lanka Tamil 0.70, India South 0.30"/>
    <s v="LOCAL_HERITAGE 0.48, HERITAGE_HERITAGE 0.45, LOCAL_LOCAL 0.05, HERITAGE_LOCAL 0.02"/>
    <s v="South Indian/Tamil bridge"/>
    <x v="0"/>
  </r>
  <r>
    <s v="AFC"/>
    <s v="India"/>
    <x v="5"/>
    <n v="2"/>
    <s v="Afghanistan Dari 0.55, Iran 0.45"/>
    <s v="LOCAL_HERITAGE 0.44, HERITAGE_HERITAGE 0.51, LOCAL_LOCAL 0.04, HERITAGE_LOCAL 0.01"/>
    <s v="Northwest bridge"/>
    <x v="0"/>
  </r>
  <r>
    <s v="AFC"/>
    <s v="India"/>
    <x v="27"/>
    <n v="2"/>
    <s v="Saudi Arabia 0.40, UAE 0.25, Oman 0.20, Kuwait 0.15"/>
    <s v="LOCAL_HERITAGE 0.44, HERITAGE_HERITAGE 0.51, LOCAL_LOCAL 0.04, HERITAGE_LOCAL 0.01"/>
    <s v="Gulf-facing spill"/>
    <x v="0"/>
  </r>
  <r>
    <s v="AFC"/>
    <s v="India"/>
    <x v="35"/>
    <n v="2"/>
    <s v="Kenya 0.40, Tanzania 0.35, Uganda 0.25"/>
    <s v="LOCAL_HERITAGE 0.42, HERITAGE_HERITAGE 0.53, LOCAL_LOCAL 0.04, HERITAGE_LOCAL 0.01"/>
    <s v="Indian Ocean spill"/>
    <x v="0"/>
  </r>
  <r>
    <s v="AFC"/>
    <s v="India"/>
    <x v="31"/>
    <n v="4"/>
    <s v="India South 0.55, India Gangetic 0.20, India Punjabi 0.15, India Bengali 0.10"/>
    <s v="LOCAL_HERITAGE 0.55, HERITAGE_HERITAGE 0.30, LOCAL_LOCAL 0.10, HERITAGE_LOCAL 0.05"/>
    <s v="Mixed pan-Indian modern row"/>
    <x v="0"/>
  </r>
  <r>
    <s v="AFC"/>
    <s v="Kazakhstan"/>
    <x v="29"/>
    <n v="52"/>
    <s v="Kazakhstan 0.72, Uzbekistan 0.14, Kyrgyzstan 0.08, Tajikistan 0.06"/>
    <s v="LOCAL_LOCAL 0.95, DOUBLE_SURNAME_LOCAL_LOCAL 0.03, COMPOUND_GIVEN_LOCAL_LOCAL 0.02"/>
    <s v="Main local anchor"/>
    <x v="0"/>
  </r>
  <r>
    <s v="AFC"/>
    <s v="Kazakhstan"/>
    <x v="30"/>
    <n v="10"/>
    <s v="Tajikistan 0.45, Kazakhstan 0.35, Kyrgyzstan 0.20"/>
    <s v="LOCAL_HERITAGE 0.42, HERITAGE_HERITAGE 0.53, LOCAL_LOCAL 0.04, HERITAGE_LOCAL 0.01"/>
    <s v="Southern Central Asian bridge"/>
    <x v="0"/>
  </r>
  <r>
    <s v="AFC"/>
    <s v="Kazakhstan"/>
    <x v="32"/>
    <n v="8"/>
    <s v="China 0.75, Kazakhstan 0.25"/>
    <s v="LOCAL_HERITAGE 0.42, HERITAGE_HERITAGE 0.53, LOCAL_LOCAL 0.04, HERITAGE_LOCAL 0.01"/>
    <s v="Eastward spill"/>
    <x v="0"/>
  </r>
  <r>
    <s v="AFC"/>
    <s v="Kazakhstan"/>
    <x v="10"/>
    <n v="8"/>
    <s v="Russia 0.60, Ukraine 0.20, Belarus 0.20"/>
    <s v="LOCAL_HERITAGE 0.42, HERITAGE_HERITAGE 0.53, LOCAL_LOCAL 0.04, HERITAGE_LOCAL 0.01"/>
    <s v="Northward spill"/>
    <x v="0"/>
  </r>
  <r>
    <s v="AFC"/>
    <s v="Kazakhstan"/>
    <x v="3"/>
    <n v="6"/>
    <s v="Turkey 0.70, Azerbaijan 0.30"/>
    <s v="LOCAL_HERITAGE 0.42, HERITAGE_HERITAGE 0.53, LOCAL_LOCAL 0.04, HERITAGE_LOCAL 0.01"/>
    <s v="Westward Turkic bridge"/>
    <x v="0"/>
  </r>
  <r>
    <s v="AFC"/>
    <s v="Kazakhstan"/>
    <x v="42"/>
    <n v="2"/>
    <s v="Korea 1.00"/>
    <s v="LOCAL_HERITAGE 0.44, HERITAGE_HERITAGE 0.51, LOCAL_LOCAL 0.04, HERITAGE_LOCAL 0.01"/>
    <s v="Minor spill"/>
    <x v="0"/>
  </r>
  <r>
    <s v="AFC"/>
    <s v="Kazakhstan"/>
    <x v="32"/>
    <n v="4"/>
    <s v="China 0.50, Kazakhstan 0.50"/>
    <s v="LOCAL_HERITAGE 0.55, HERITAGE_HERITAGE 0.30, LOCAL_LOCAL 0.10, HERITAGE_LOCAL 0.05"/>
    <s v="Mixed Kazakh/Sinic row"/>
    <x v="0"/>
  </r>
  <r>
    <s v="AFC"/>
    <s v="Kazakhstan"/>
    <x v="29"/>
    <n v="10"/>
    <s v="Kazakhstan 0.55, Uzbekistan 0.25, Kyrgyzstan 0.20"/>
    <s v="LOCAL_HERITAGE 0.55, HERITAGE_HERITAGE 0.30, LOCAL_LOCAL 0.10, HERITAGE_LOCAL 0.05"/>
    <s v="Mixed Central Asian row"/>
    <x v="0"/>
  </r>
  <r>
    <s v="AFC"/>
    <s v="Uzbekistan"/>
    <x v="29"/>
    <n v="70"/>
    <s v="Uzbekistan 0.82, Kazakhstan 0.08, Kyrgyzstan 0.05, Tajikistan 0.05"/>
    <s v="LOCAL_LOCAL 0.95, DOUBLE_SURNAME_LOCAL_LOCAL 0.03, COMPOUND_GIVEN_LOCAL_LOCAL 0.02"/>
    <s v="Main local pool"/>
    <x v="0"/>
  </r>
  <r>
    <s v="AFC"/>
    <s v="Uzbekistan"/>
    <x v="30"/>
    <n v="18"/>
    <s v="Tajikistan 0.55, Uzbekistan 0.45"/>
    <s v="LOCAL_HERITAGE 0.46, HERITAGE_HERITAGE 0.49, LOCAL_LOCAL 0.04, HERITAGE_LOCAL 0.01"/>
    <s v="Southern bridge"/>
    <x v="0"/>
  </r>
  <r>
    <s v="AFC"/>
    <s v="Uzbekistan"/>
    <x v="3"/>
    <n v="4"/>
    <s v="Turkey 0.70, Azerbaijan 0.30"/>
    <s v="LOCAL_HERITAGE 0.42, HERITAGE_HERITAGE 0.53, LOCAL_LOCAL 0.04, HERITAGE_LOCAL 0.01"/>
    <s v="Westward Turkic bridge"/>
    <x v="0"/>
  </r>
  <r>
    <s v="AFC"/>
    <s v="Uzbekistan"/>
    <x v="5"/>
    <n v="4"/>
    <s v="Iran 0.60, Afghanistan Dari 0.40"/>
    <s v="LOCAL_HERITAGE 0.44, HERITAGE_HERITAGE 0.51, LOCAL_LOCAL 0.04, HERITAGE_LOCAL 0.01"/>
    <s v="Iranian-family bridge"/>
    <x v="0"/>
  </r>
  <r>
    <s v="AFC"/>
    <s v="Uzbekistan"/>
    <x v="32"/>
    <n v="2"/>
    <s v="China 0.70, Uzbekistan 0.30"/>
    <s v="LOCAL_HERITAGE 0.42, HERITAGE_HERITAGE 0.53, LOCAL_LOCAL 0.04, HERITAGE_LOCAL 0.01"/>
    <s v="Eastern spill"/>
    <x v="0"/>
  </r>
  <r>
    <s v="AFC"/>
    <s v="Uzbekistan"/>
    <x v="10"/>
    <n v="2"/>
    <s v="Russia 0.60, Ukraine 0.20, Kazakhstan 0.20"/>
    <s v="LOCAL_HERITAGE 0.42, HERITAGE_HERITAGE 0.53, LOCAL_LOCAL 0.04, HERITAGE_LOCAL 0.01"/>
    <s v="Northern spill"/>
    <x v="0"/>
  </r>
  <r>
    <s v="AFC"/>
    <s v="China"/>
    <x v="32"/>
    <n v="68"/>
    <s v="China North 0.52, China South 0.48"/>
    <s v="LOCAL_LOCAL 0.95, DOUBLE_SURNAME_LOCAL_LOCAL 0.03, COMPOUND_GIVEN_LOCAL_LOCAL 0.02"/>
    <s v="Main local anchor using locked north/south split"/>
    <x v="0"/>
  </r>
  <r>
    <s v="AFC"/>
    <s v="China"/>
    <x v="25"/>
    <n v="3"/>
    <s v="Vietnam 0.70, China South 0.30"/>
    <s v="LOCAL_HERITAGE 0.44, HERITAGE_HERITAGE 0.51, LOCAL_LOCAL 0.04, HERITAGE_LOCAL 0.01"/>
    <s v="Southern Vietic spill"/>
    <x v="0"/>
  </r>
  <r>
    <s v="AFC"/>
    <s v="China"/>
    <x v="43"/>
    <n v="3"/>
    <s v="Myanmar 0.30, Thailand 0.25, Cambodia 0.25, Laos 0.20"/>
    <s v="LOCAL_HERITAGE 0.44, HERITAGE_HERITAGE 0.51, LOCAL_LOCAL 0.04, HERITAGE_LOCAL 0.01"/>
    <s v="Southern Mekong spill"/>
    <x v="0"/>
  </r>
  <r>
    <s v="AFC"/>
    <s v="China"/>
    <x v="44"/>
    <n v="4"/>
    <s v="Malaysia Chinese 0.40, Singapore Chinese 0.30, Indonesia Other 0.20, Philippines Tagalog 0.10"/>
    <s v="LOCAL_HERITAGE 0.44, HERITAGE_HERITAGE 0.51, LOCAL_LOCAL 0.04, HERITAGE_LOCAL 0.01"/>
    <s v="Insular/maritime spill"/>
    <x v="0"/>
  </r>
  <r>
    <s v="AFC"/>
    <s v="China"/>
    <x v="42"/>
    <n v="4"/>
    <s v="Korea 1.00"/>
    <s v="LOCAL_HERITAGE 0.44, HERITAGE_HERITAGE 0.51, LOCAL_LOCAL 0.04, HERITAGE_LOCAL 0.01"/>
    <s v="Northeast spill"/>
    <x v="0"/>
  </r>
  <r>
    <s v="AFC"/>
    <s v="China"/>
    <x v="29"/>
    <n v="4"/>
    <s v="Kazakhstan 0.35, Uzbekistan 0.30, Kyrgyzstan 0.20, Tajikistan 0.15"/>
    <s v="LOCAL_HERITAGE 0.42, HERITAGE_HERITAGE 0.53, LOCAL_LOCAL 0.04, HERITAGE_LOCAL 0.01"/>
    <s v="Western interior bridge"/>
    <x v="0"/>
  </r>
  <r>
    <s v="AFC"/>
    <s v="China"/>
    <x v="45"/>
    <n v="2"/>
    <s v="Japan 1.00"/>
    <s v="LOCAL_HERITAGE 0.44, HERITAGE_HERITAGE 0.51, LOCAL_LOCAL 0.04, HERITAGE_LOCAL 0.01"/>
    <s v="Small maritime spill"/>
    <x v="0"/>
  </r>
  <r>
    <s v="AFC"/>
    <s v="China"/>
    <x v="34"/>
    <n v="2"/>
    <s v="Philippines Tagalog 0.60, Philippines Visayan 0.40"/>
    <s v="LOCAL_HERITAGE 0.44, HERITAGE_HERITAGE 0.51, LOCAL_LOCAL 0.04, HERITAGE_LOCAL 0.01"/>
    <s v="Southern spill"/>
    <x v="0"/>
  </r>
  <r>
    <s v="AFC"/>
    <s v="China"/>
    <x v="15"/>
    <n v="2"/>
    <s v="Nepal 0.60, India Gangetic 0.40"/>
    <s v="LOCAL_HERITAGE 0.42, HERITAGE_HERITAGE 0.53, LOCAL_LOCAL 0.04, HERITAGE_LOCAL 0.01"/>
    <s v="Himalayan spill"/>
    <x v="0"/>
  </r>
  <r>
    <s v="AFC"/>
    <s v="China"/>
    <x v="32"/>
    <n v="8"/>
    <s v="China North 0.60, China South 0.40"/>
    <s v="LOCAL_HERITAGE 0.55, HERITAGE_HERITAGE 0.30, LOCAL_LOCAL 0.10, HERITAGE_LOCAL 0.05"/>
    <s v="Mixed north/south row"/>
    <x v="0"/>
  </r>
  <r>
    <s v="AFC"/>
    <s v="Japan"/>
    <x v="45"/>
    <n v="83"/>
    <s v="Japan 0.98, Korea 0.02"/>
    <s v="LOCAL_LOCAL 0.95, DOUBLE_SURNAME_LOCAL_LOCAL 0.03, COMPOUND_GIVEN_LOCAL_LOCAL 0.02"/>
    <s v="Main local pool"/>
    <x v="0"/>
  </r>
  <r>
    <s v="AFC"/>
    <s v="Japan"/>
    <x v="42"/>
    <n v="5"/>
    <s v="Korea 1.00"/>
    <s v="LOCAL_HERITAGE 0.44, HERITAGE_HERITAGE 0.51, LOCAL_LOCAL 0.04, HERITAGE_LOCAL 0.01"/>
    <s v="Small regional spill"/>
    <x v="0"/>
  </r>
  <r>
    <s v="AFC"/>
    <s v="Japan"/>
    <x v="32"/>
    <n v="4"/>
    <s v="China North 0.60, China South 0.40"/>
    <s v="LOCAL_HERITAGE 0.44, HERITAGE_HERITAGE 0.51, LOCAL_LOCAL 0.04, HERITAGE_LOCAL 0.01"/>
    <s v="Small historical/regional spill"/>
    <x v="0"/>
  </r>
  <r>
    <s v="AFC"/>
    <s v="Japan"/>
    <x v="44"/>
    <n v="4"/>
    <s v="Philippines Tagalog 0.40, Philippines Visayan 0.30, Malaysia Chinese 0.30"/>
    <s v="LOCAL_HERITAGE 0.44, HERITAGE_HERITAGE 0.51, LOCAL_LOCAL 0.04, HERITAGE_LOCAL 0.01"/>
    <s v="Small insular spill"/>
    <x v="0"/>
  </r>
  <r>
    <s v="AFC"/>
    <s v="Japan"/>
    <x v="34"/>
    <n v="4"/>
    <s v="Philippines Tagalog 0.55, Philippines Visayan 0.45"/>
    <s v="LOCAL_HERITAGE 0.44, HERITAGE_HERITAGE 0.51, LOCAL_LOCAL 0.04, HERITAGE_LOCAL 0.01"/>
    <s v="Small spill"/>
    <x v="0"/>
  </r>
  <r>
    <s v="AFC"/>
    <s v="Korea"/>
    <x v="42"/>
    <n v="78"/>
    <s v="Korea 0.98, China North 0.02"/>
    <s v="LOCAL_LOCAL 0.95, DOUBLE_SURNAME_LOCAL_LOCAL 0.03, COMPOUND_GIVEN_LOCAL_LOCAL 0.02"/>
    <s v="Main local pool"/>
    <x v="0"/>
  </r>
  <r>
    <s v="AFC"/>
    <s v="Korea"/>
    <x v="32"/>
    <n v="6"/>
    <s v="China North 0.70, China South 0.30"/>
    <s v="LOCAL_HERITAGE 0.44, HERITAGE_HERITAGE 0.51, LOCAL_LOCAL 0.04, HERITAGE_LOCAL 0.01"/>
    <s v="Northern spill"/>
    <x v="0"/>
  </r>
  <r>
    <s v="AFC"/>
    <s v="Korea"/>
    <x v="45"/>
    <n v="4"/>
    <s v="Japan 1.00"/>
    <s v="LOCAL_HERITAGE 0.44, HERITAGE_HERITAGE 0.51, LOCAL_LOCAL 0.04, HERITAGE_LOCAL 0.01"/>
    <s v="Maritime spill"/>
    <x v="0"/>
  </r>
  <r>
    <s v="AFC"/>
    <s v="Korea"/>
    <x v="29"/>
    <n v="4"/>
    <s v="Kazakhstan 0.50, Uzbekistan 0.30, Kyrgyzstan 0.20"/>
    <s v="LOCAL_HERITAGE 0.42, HERITAGE_HERITAGE 0.53, LOCAL_LOCAL 0.04, HERITAGE_LOCAL 0.01"/>
    <s v="Small interior bridge"/>
    <x v="0"/>
  </r>
  <r>
    <s v="AFC"/>
    <s v="Korea"/>
    <x v="44"/>
    <n v="4"/>
    <s v="Philippines Tagalog 0.50, Malaysia Chinese 0.25, Singapore Chinese 0.25"/>
    <s v="LOCAL_HERITAGE 0.44, HERITAGE_HERITAGE 0.51, LOCAL_LOCAL 0.04, HERITAGE_LOCAL 0.01"/>
    <s v="Minor spill"/>
    <x v="0"/>
  </r>
  <r>
    <s v="AFC"/>
    <s v="Korea"/>
    <x v="34"/>
    <n v="4"/>
    <s v="Philippines Tagalog 0.55, Philippines Visayan 0.45"/>
    <s v="LOCAL_HERITAGE 0.44, HERITAGE_HERITAGE 0.51, LOCAL_LOCAL 0.04, HERITAGE_LOCAL 0.01"/>
    <s v="Minor spill"/>
    <x v="0"/>
  </r>
  <r>
    <s v="AFC"/>
    <s v="Taiwan"/>
    <x v="32"/>
    <n v="78"/>
    <s v="China South 0.58, China North 0.32, Taiwan 0.10"/>
    <s v="LOCAL_LOCAL 0.95, DOUBLE_SURNAME_LOCAL_LOCAL 0.03, COMPOUND_GIVEN_LOCAL_LOCAL 0.02"/>
    <s v="Main local anchor via Sinic split"/>
    <x v="0"/>
  </r>
  <r>
    <s v="AFC"/>
    <s v="Taiwan"/>
    <x v="45"/>
    <n v="5"/>
    <s v="Japan 1.00"/>
    <s v="LOCAL_HERITAGE 0.44, HERITAGE_HERITAGE 0.51, LOCAL_LOCAL 0.04, HERITAGE_LOCAL 0.01"/>
    <s v="Historical/regional spill"/>
    <x v="0"/>
  </r>
  <r>
    <s v="AFC"/>
    <s v="Taiwan"/>
    <x v="44"/>
    <n v="5"/>
    <s v="Philippines Tagalog 0.30, Malaysia Chinese 0.25, Singapore Chinese 0.25, Indonesia Other 0.20"/>
    <s v="LOCAL_HERITAGE 0.44, HERITAGE_HERITAGE 0.51, LOCAL_LOCAL 0.04, HERITAGE_LOCAL 0.01"/>
    <s v="Southern spill"/>
    <x v="0"/>
  </r>
  <r>
    <s v="AFC"/>
    <s v="Taiwan"/>
    <x v="42"/>
    <n v="3"/>
    <s v="Korea 1.00"/>
    <s v="LOCAL_HERITAGE 0.44, HERITAGE_HERITAGE 0.51, LOCAL_LOCAL 0.04, HERITAGE_LOCAL 0.01"/>
    <s v="Minor spill"/>
    <x v="0"/>
  </r>
  <r>
    <s v="AFC"/>
    <s v="Taiwan"/>
    <x v="34"/>
    <n v="3"/>
    <s v="Philippines Tagalog 0.55, Philippines Visayan 0.45"/>
    <s v="LOCAL_HERITAGE 0.44, HERITAGE_HERITAGE 0.51, LOCAL_LOCAL 0.04, HERITAGE_LOCAL 0.01"/>
    <s v="Minor spill"/>
    <x v="0"/>
  </r>
  <r>
    <s v="AFC"/>
    <s v="Taiwan"/>
    <x v="25"/>
    <n v="2"/>
    <s v="Vietnam 1.00"/>
    <s v="LOCAL_HERITAGE 0.44, HERITAGE_HERITAGE 0.51, LOCAL_LOCAL 0.04, HERITAGE_LOCAL 0.01"/>
    <s v="Minor southern spill"/>
    <x v="0"/>
  </r>
  <r>
    <s v="AFC"/>
    <s v="Taiwan"/>
    <x v="43"/>
    <n v="2"/>
    <s v="Thailand 0.30, Cambodia 0.25, Myanmar 0.25, Laos 0.20"/>
    <s v="LOCAL_HERITAGE 0.44, HERITAGE_HERITAGE 0.51, LOCAL_LOCAL 0.04, HERITAGE_LOCAL 0.01"/>
    <s v="Minor southern spill"/>
    <x v="0"/>
  </r>
  <r>
    <s v="AFC"/>
    <s v="Taiwan"/>
    <x v="32"/>
    <n v="2"/>
    <s v="China South 0.55, China North 0.45"/>
    <s v="LOCAL_HERITAGE 0.55, HERITAGE_HERITAGE 0.30, LOCAL_LOCAL 0.10, HERITAGE_LOCAL 0.05"/>
    <s v="Mixed north/south row"/>
    <x v="0"/>
  </r>
  <r>
    <s v="AFC"/>
    <s v="Hong Kong"/>
    <x v="32"/>
    <n v="76"/>
    <s v="China South 0.70, China North 0.20, Hong Kong 0.10"/>
    <s v="LOCAL_LOCAL 0.95, DOUBLE_SURNAME_LOCAL_LOCAL 0.03, COMPOUND_GIVEN_LOCAL_LOCAL 0.02"/>
    <s v="Main local anchor via south-China-facing logic"/>
    <x v="0"/>
  </r>
  <r>
    <s v="AFC"/>
    <s v="Hong Kong"/>
    <x v="44"/>
    <n v="6"/>
    <s v="Singapore Chinese 0.35, Malaysia Chinese 0.35, Philippines Tagalog 0.15, Indonesia Other 0.15"/>
    <s v="LOCAL_HERITAGE 0.44, HERITAGE_HERITAGE 0.51, LOCAL_LOCAL 0.04, HERITAGE_LOCAL 0.01"/>
    <s v="Insular spill"/>
    <x v="0"/>
  </r>
  <r>
    <s v="AFC"/>
    <s v="Hong Kong"/>
    <x v="45"/>
    <n v="4"/>
    <s v="Japan 1.00"/>
    <s v="LOCAL_HERITAGE 0.44, HERITAGE_HERITAGE 0.51, LOCAL_LOCAL 0.04, HERITAGE_LOCAL 0.01"/>
    <s v="Regional spill"/>
    <x v="0"/>
  </r>
  <r>
    <s v="AFC"/>
    <s v="Hong Kong"/>
    <x v="31"/>
    <n v="4"/>
    <s v="India South 0.45, Singapore Indian 0.30, Malaysia Indian 0.25"/>
    <s v="LOCAL_HERITAGE 0.44, HERITAGE_HERITAGE 0.51, LOCAL_LOCAL 0.04, HERITAGE_LOCAL 0.01"/>
    <s v="South Asian spill"/>
    <x v="0"/>
  </r>
  <r>
    <s v="AFC"/>
    <s v="Hong Kong"/>
    <x v="42"/>
    <n v="2"/>
    <s v="Korea 1.00"/>
    <s v="LOCAL_HERITAGE 0.44, HERITAGE_HERITAGE 0.51, LOCAL_LOCAL 0.04, HERITAGE_LOCAL 0.01"/>
    <s v="Minor spill"/>
    <x v="0"/>
  </r>
  <r>
    <s v="AFC"/>
    <s v="Hong Kong"/>
    <x v="34"/>
    <n v="2"/>
    <s v="Philippines Tagalog 0.55, Philippines Visayan 0.45"/>
    <s v="LOCAL_HERITAGE 0.44, HERITAGE_HERITAGE 0.51, LOCAL_LOCAL 0.04, HERITAGE_LOCAL 0.01"/>
    <s v="Minor spill"/>
    <x v="0"/>
  </r>
  <r>
    <s v="AFC"/>
    <s v="Hong Kong"/>
    <x v="25"/>
    <n v="2"/>
    <s v="Vietnam 1.00"/>
    <s v="LOCAL_HERITAGE 0.44, HERITAGE_HERITAGE 0.51, LOCAL_LOCAL 0.04, HERITAGE_LOCAL 0.01"/>
    <s v="Minor spill"/>
    <x v="0"/>
  </r>
  <r>
    <s v="AFC"/>
    <s v="Hong Kong"/>
    <x v="43"/>
    <n v="2"/>
    <s v="Thailand 0.30, Cambodia 0.25, Myanmar 0.25, Laos 0.20"/>
    <s v="LOCAL_HERITAGE 0.44, HERITAGE_HERITAGE 0.51, LOCAL_LOCAL 0.04, HERITAGE_LOCAL 0.01"/>
    <s v="Minor spill"/>
    <x v="0"/>
  </r>
  <r>
    <s v="AFC"/>
    <s v="Hong Kong"/>
    <x v="32"/>
    <n v="2"/>
    <s v="China South 0.65, China North 0.35"/>
    <s v="LOCAL_HERITAGE 0.55, HERITAGE_HERITAGE 0.30, LOCAL_LOCAL 0.10, HERITAGE_LOCAL 0.05"/>
    <s v="Mixed north/south row"/>
    <x v="0"/>
  </r>
  <r>
    <s v="AFC"/>
    <s v="Vietnam"/>
    <x v="25"/>
    <n v="86"/>
    <s v="Vietnam 0.96, Cambodia 0.02, Laos 0.02"/>
    <s v="LOCAL_LOCAL 0.95, DOUBLE_SURNAME_LOCAL_LOCAL 0.03, COMPOUND_GIVEN_LOCAL_LOCAL 0.02"/>
    <s v="Main local pool"/>
    <x v="0"/>
  </r>
  <r>
    <s v="AFC"/>
    <s v="Vietnam"/>
    <x v="32"/>
    <n v="6"/>
    <s v="China South 0.70, China North 0.30"/>
    <s v="LOCAL_HERITAGE 0.44, HERITAGE_HERITAGE 0.51, LOCAL_LOCAL 0.04, HERITAGE_LOCAL 0.01"/>
    <s v="Northern spill"/>
    <x v="0"/>
  </r>
  <r>
    <s v="AFC"/>
    <s v="Vietnam"/>
    <x v="44"/>
    <n v="3"/>
    <s v="Malaysia Chinese 0.35, Singapore Chinese 0.30, Philippines Tagalog 0.20, Indonesia Other 0.15"/>
    <s v="LOCAL_HERITAGE 0.44, HERITAGE_HERITAGE 0.51, LOCAL_LOCAL 0.04, HERITAGE_LOCAL 0.01"/>
    <s v="Insular spill"/>
    <x v="0"/>
  </r>
  <r>
    <s v="AFC"/>
    <s v="Vietnam"/>
    <x v="31"/>
    <n v="3"/>
    <s v="India South 0.45, Malaysia Indian 0.30, Singapore Indian 0.25"/>
    <s v="LOCAL_HERITAGE 0.44, HERITAGE_HERITAGE 0.51, LOCAL_LOCAL 0.04, HERITAGE_LOCAL 0.01"/>
    <s v="Small southern Asian spill"/>
    <x v="0"/>
  </r>
  <r>
    <s v="AFC"/>
    <s v="Vietnam"/>
    <x v="42"/>
    <n v="2"/>
    <s v="Korea 1.00"/>
    <s v="LOCAL_HERITAGE 0.44, HERITAGE_HERITAGE 0.51, LOCAL_LOCAL 0.04, HERITAGE_LOCAL 0.01"/>
    <s v="Minor spill"/>
    <x v="0"/>
  </r>
  <r>
    <s v="AFC"/>
    <s v="Thailand"/>
    <x v="43"/>
    <n v="86"/>
    <s v="Thailand 0.94, Laos 0.03, Cambodia 0.03"/>
    <s v="LOCAL_LOCAL 0.95, DOUBLE_SURNAME_LOCAL_LOCAL 0.03, COMPOUND_GIVEN_LOCAL_LOCAL 0.02"/>
    <s v="Main local pool"/>
    <x v="0"/>
  </r>
  <r>
    <s v="AFC"/>
    <s v="Thailand"/>
    <x v="32"/>
    <n v="5"/>
    <s v="China South 0.70, China North 0.30"/>
    <s v="LOCAL_HERITAGE 0.44, HERITAGE_HERITAGE 0.51, LOCAL_LOCAL 0.04, HERITAGE_LOCAL 0.01"/>
    <s v="Chinese spill"/>
    <x v="0"/>
  </r>
  <r>
    <s v="AFC"/>
    <s v="Thailand"/>
    <x v="44"/>
    <n v="4"/>
    <s v="Malaysia Malay 0.30, Singapore Chinese 0.25, Malaysia Chinese 0.25, Indonesia Other 0.20"/>
    <s v="LOCAL_HERITAGE 0.44, HERITAGE_HERITAGE 0.51, LOCAL_LOCAL 0.04, HERITAGE_LOCAL 0.01"/>
    <s v="Southern spill"/>
    <x v="0"/>
  </r>
  <r>
    <s v="AFC"/>
    <s v="Thailand"/>
    <x v="31"/>
    <n v="3"/>
    <s v="India South 0.45, Malaysia Indian 0.30, Singapore Indian 0.25"/>
    <s v="LOCAL_HERITAGE 0.44, HERITAGE_HERITAGE 0.51, LOCAL_LOCAL 0.04, HERITAGE_LOCAL 0.01"/>
    <s v="Small spill"/>
    <x v="0"/>
  </r>
  <r>
    <s v="AFC"/>
    <s v="Thailand"/>
    <x v="42"/>
    <n v="2"/>
    <s v="Korea 1.00"/>
    <s v="LOCAL_HERITAGE 0.44, HERITAGE_HERITAGE 0.51, LOCAL_LOCAL 0.04, HERITAGE_LOCAL 0.01"/>
    <s v="Minor spill"/>
    <x v="0"/>
  </r>
  <r>
    <s v="AFC"/>
    <s v="Malaysia"/>
    <x v="44"/>
    <n v="54"/>
    <s v="Malaysia Malay 0.48, Malaysia Chinese 0.26, Malaysia Indian 0.16, Singapore Malay 0.10"/>
    <s v="LOCAL_LOCAL 0.95, DOUBLE_SURNAME_LOCAL_LOCAL 0.03, COMPOUND_GIVEN_LOCAL_LOCAL 0.02"/>
    <s v="Main local anchor"/>
    <x v="0"/>
  </r>
  <r>
    <s v="AFC"/>
    <s v="Malaysia"/>
    <x v="32"/>
    <n v="6"/>
    <s v="Malaysia Chinese 0.45, Singapore Chinese 0.35, China South 0.20"/>
    <s v="LOCAL_HERITAGE 0.44, HERITAGE_HERITAGE 0.51, LOCAL_LOCAL 0.04, HERITAGE_LOCAL 0.01"/>
    <s v="Chinese spill"/>
    <x v="0"/>
  </r>
  <r>
    <s v="AFC"/>
    <s v="Malaysia"/>
    <x v="31"/>
    <n v="6"/>
    <s v="Malaysia Indian 0.50, India South 0.30, Singapore Indian 0.20"/>
    <s v="LOCAL_HERITAGE 0.44, HERITAGE_HERITAGE 0.51, LOCAL_LOCAL 0.04, HERITAGE_LOCAL 0.01"/>
    <s v="South Asian spill"/>
    <x v="0"/>
  </r>
  <r>
    <s v="AFC"/>
    <s v="Malaysia"/>
    <x v="43"/>
    <n v="4"/>
    <s v="Thailand 0.30, Cambodia 0.25, Vietnam 0.25, Myanmar 0.20"/>
    <s v="LOCAL_HERITAGE 0.44, HERITAGE_HERITAGE 0.51, LOCAL_LOCAL 0.04, HERITAGE_LOCAL 0.01"/>
    <s v="Mainland spill"/>
    <x v="0"/>
  </r>
  <r>
    <s v="AFC"/>
    <s v="Malaysia"/>
    <x v="34"/>
    <n v="4"/>
    <s v="Philippines Tagalog 0.55, Philippines Visayan 0.45"/>
    <s v="LOCAL_HERITAGE 0.44, HERITAGE_HERITAGE 0.51, LOCAL_LOCAL 0.04, HERITAGE_LOCAL 0.01"/>
    <s v="Eastern spill"/>
    <x v="0"/>
  </r>
  <r>
    <s v="AFC"/>
    <s v="Malaysia"/>
    <x v="27"/>
    <n v="3"/>
    <s v="Saudi Arabia 0.35, UAE 0.25, Oman 0.20, Kuwait 0.20"/>
    <s v="LOCAL_HERITAGE 0.44, HERITAGE_HERITAGE 0.51, LOCAL_LOCAL 0.04, HERITAGE_LOCAL 0.01"/>
    <s v="Gulf-facing spill"/>
    <x v="0"/>
  </r>
  <r>
    <s v="AFC"/>
    <s v="Malaysia"/>
    <x v="44"/>
    <n v="23"/>
    <s v="Malaysia Malay 0.32, Malaysia Chinese 0.18, Malaysia Indian 0.12, Singapore Chinese 0.12, Singapore Malay 0.10, Singapore Indian 0.06, Indonesia Javanese 0.10"/>
    <s v="LOCAL_HERITAGE 0.55, HERITAGE_HERITAGE 0.30, LOCAL_LOCAL 0.10, HERITAGE_LOCAL 0.05"/>
    <s v="Mixed urban-insular row"/>
    <x v="0"/>
  </r>
  <r>
    <s v="AFC"/>
    <s v="Indonesia"/>
    <x v="44"/>
    <n v="76"/>
    <s v="Indonesia Javanese 0.38, Indonesia Sumatran 0.24, Indonesia Other 0.18, Malaysia Malay 0.10, Malaysia Chinese 0.10"/>
    <s v="LOCAL_LOCAL 0.95, DOUBLE_SURNAME_LOCAL_LOCAL 0.03, COMPOUND_GIVEN_LOCAL_LOCAL 0.02"/>
    <s v="Main local anchor"/>
    <x v="0"/>
  </r>
  <r>
    <s v="AFC"/>
    <s v="Indonesia"/>
    <x v="34"/>
    <n v="4"/>
    <s v="Philippines Tagalog 0.55, Philippines Visayan 0.45"/>
    <s v="LOCAL_HERITAGE 0.44, HERITAGE_HERITAGE 0.51, LOCAL_LOCAL 0.04, HERITAGE_LOCAL 0.01"/>
    <s v="Northern maritime spill"/>
    <x v="0"/>
  </r>
  <r>
    <s v="AFC"/>
    <s v="Indonesia"/>
    <x v="32"/>
    <n v="4"/>
    <s v="Malaysia Chinese 0.35, Singapore Chinese 0.35, China South 0.30"/>
    <s v="LOCAL_HERITAGE 0.44, HERITAGE_HERITAGE 0.51, LOCAL_LOCAL 0.04, HERITAGE_LOCAL 0.01"/>
    <s v="Chinese spill"/>
    <x v="0"/>
  </r>
  <r>
    <s v="AFC"/>
    <s v="Indonesia"/>
    <x v="43"/>
    <n v="4"/>
    <s v="Thailand 0.30, Cambodia 0.25, Vietnam 0.25, Myanmar 0.20"/>
    <s v="LOCAL_HERITAGE 0.44, HERITAGE_HERITAGE 0.51, LOCAL_LOCAL 0.04, HERITAGE_LOCAL 0.01"/>
    <s v="Mainland spill"/>
    <x v="0"/>
  </r>
  <r>
    <s v="AFC"/>
    <s v="Indonesia"/>
    <x v="46"/>
    <n v="6"/>
    <s v="Papua New Guinea 0.45, Solomon Islands 0.30, Vanuatu 0.25"/>
    <s v="LOCAL_HERITAGE 0.44, HERITAGE_HERITAGE 0.51, LOCAL_LOCAL 0.04, HERITAGE_LOCAL 0.01"/>
    <s v="Eastern archipelago spill"/>
    <x v="0"/>
  </r>
  <r>
    <s v="AFC"/>
    <s v="Indonesia"/>
    <x v="31"/>
    <n v="3"/>
    <s v="India South 0.45, Malaysia Indian 0.30, Singapore Indian 0.25"/>
    <s v="LOCAL_HERITAGE 0.44, HERITAGE_HERITAGE 0.51, LOCAL_LOCAL 0.04, HERITAGE_LOCAL 0.01"/>
    <s v="South Asian spill"/>
    <x v="0"/>
  </r>
  <r>
    <s v="AFC"/>
    <s v="Indonesia"/>
    <x v="27"/>
    <n v="3"/>
    <s v="Saudi Arabia 0.35, UAE 0.25, Oman 0.20, Kuwait 0.20"/>
    <s v="LOCAL_HERITAGE 0.44, HERITAGE_HERITAGE 0.51, LOCAL_LOCAL 0.04, HERITAGE_LOCAL 0.01"/>
    <s v="Islamic-world spill"/>
    <x v="0"/>
  </r>
  <r>
    <s v="AFC"/>
    <s v="Philippines"/>
    <x v="34"/>
    <n v="78"/>
    <s v="Philippines Tagalog 0.52, Philippines Visayan 0.48"/>
    <s v="LOCAL_LOCAL 0.95, DOUBLE_SURNAME_LOCAL_LOCAL 0.03, COMPOUND_GIVEN_LOCAL_LOCAL 0.02"/>
    <s v="Main local anchor"/>
    <x v="0"/>
  </r>
  <r>
    <s v="AFC"/>
    <s v="Philippines"/>
    <x v="44"/>
    <n v="8"/>
    <s v="Indonesia Other 0.30, Malaysia Malay 0.25, Malaysia Chinese 0.20, Singapore Malay 0.15, Indonesia Javanese 0.10"/>
    <s v="LOCAL_HERITAGE 0.44, HERITAGE_HERITAGE 0.51, LOCAL_LOCAL 0.04, HERITAGE_LOCAL 0.01"/>
    <s v="Insular spill"/>
    <x v="0"/>
  </r>
  <r>
    <s v="AFC"/>
    <s v="Philippines"/>
    <x v="32"/>
    <n v="6"/>
    <s v="China South 0.45, Malaysia Chinese 0.30, Singapore Chinese 0.25"/>
    <s v="LOCAL_HERITAGE 0.44, HERITAGE_HERITAGE 0.51, LOCAL_LOCAL 0.04, HERITAGE_LOCAL 0.01"/>
    <s v="Chinese spill"/>
    <x v="0"/>
  </r>
  <r>
    <s v="AFC"/>
    <s v="Philippines"/>
    <x v="43"/>
    <n v="3"/>
    <s v="Vietnam 0.35, Thailand 0.25, Cambodia 0.20, Myanmar 0.20"/>
    <s v="LOCAL_HERITAGE 0.44, HERITAGE_HERITAGE 0.51, LOCAL_LOCAL 0.04, HERITAGE_LOCAL 0.01"/>
    <s v="Mainland spill"/>
    <x v="0"/>
  </r>
  <r>
    <s v="AFC"/>
    <s v="Philippines"/>
    <x v="31"/>
    <n v="3"/>
    <s v="India South 0.45, Malaysia Indian 0.30, Singapore Indian 0.25"/>
    <s v="LOCAL_HERITAGE 0.44, HERITAGE_HERITAGE 0.51, LOCAL_LOCAL 0.04, HERITAGE_LOCAL 0.01"/>
    <s v="South Asian spill"/>
    <x v="0"/>
  </r>
  <r>
    <s v="AFC"/>
    <s v="Philippines"/>
    <x v="45"/>
    <n v="2"/>
    <s v="Japan 1.00"/>
    <s v="LOCAL_HERITAGE 0.44, HERITAGE_HERITAGE 0.51, LOCAL_LOCAL 0.04, HERITAGE_LOCAL 0.01"/>
    <s v="Maritime spill"/>
    <x v="0"/>
  </r>
  <r>
    <s v="AFC"/>
    <s v="Singapore"/>
    <x v="44"/>
    <n v="30"/>
    <s v="Singapore Chinese 0.44, Singapore Malay 0.26, Singapore Indian 0.18, Malaysia Chinese 0.07, Malaysia Malay 0.05"/>
    <s v="LOCAL_LOCAL 0.95, DOUBLE_SURNAME_LOCAL_LOCAL 0.03, COMPOUND_GIVEN_LOCAL_LOCAL 0.02"/>
    <s v="Main local anchor"/>
    <x v="0"/>
  </r>
  <r>
    <s v="AFC"/>
    <s v="Singapore"/>
    <x v="44"/>
    <n v="34"/>
    <s v="Singapore Chinese 0.24, Singapore Malay 0.16, Singapore Indian 0.12, Malaysia Chinese 0.12, Malaysia Malay 0.10, Malaysia Indian 0.08, Philippines Tagalog 0.06, Indonesia Javanese 0.06, Indonesia Other 0.06"/>
    <s v="LOCAL_HERITAGE 0.55, HERITAGE_HERITAGE 0.30, LOCAL_LOCAL 0.10, HERITAGE_LOCAL 0.05"/>
    <s v="Mixed city-state row"/>
    <x v="0"/>
  </r>
  <r>
    <s v="AFC"/>
    <s v="Singapore"/>
    <x v="32"/>
    <n v="12"/>
    <s v="Singapore Chinese 0.45, China South 0.30, Malaysia Chinese 0.25"/>
    <s v="LOCAL_HERITAGE 0.44, HERITAGE_HERITAGE 0.51, LOCAL_LOCAL 0.04, HERITAGE_LOCAL 0.01"/>
    <s v="Chinese spill"/>
    <x v="0"/>
  </r>
  <r>
    <s v="AFC"/>
    <s v="Singapore"/>
    <x v="31"/>
    <n v="8"/>
    <s v="Singapore Indian 0.45, India South 0.35, Malaysia Indian 0.20"/>
    <s v="LOCAL_HERITAGE 0.44, HERITAGE_HERITAGE 0.51, LOCAL_LOCAL 0.04, HERITAGE_LOCAL 0.01"/>
    <s v="South Asian spill"/>
    <x v="0"/>
  </r>
  <r>
    <s v="AFC"/>
    <s v="Singapore"/>
    <x v="34"/>
    <n v="3"/>
    <s v="Philippines Tagalog 0.55, Philippines Visayan 0.45"/>
    <s v="LOCAL_HERITAGE 0.44, HERITAGE_HERITAGE 0.51, LOCAL_LOCAL 0.04, HERITAGE_LOCAL 0.01"/>
    <s v="Maritime spill"/>
    <x v="0"/>
  </r>
  <r>
    <s v="AFC"/>
    <s v="Singapore"/>
    <x v="43"/>
    <n v="3"/>
    <s v="Vietnam 0.35, Thailand 0.25, Cambodia 0.20, Myanmar 0.20"/>
    <s v="LOCAL_HERITAGE 0.44, HERITAGE_HERITAGE 0.51, LOCAL_LOCAL 0.04, HERITAGE_LOCAL 0.01"/>
    <s v="Mainland spill"/>
    <x v="0"/>
  </r>
  <r>
    <s v="AFC"/>
    <s v="Singapore"/>
    <x v="27"/>
    <n v="2"/>
    <s v="Saudi Arabia 0.35, UAE 0.25, Oman 0.20, Kuwait 0.20"/>
    <s v="LOCAL_HERITAGE 0.44, HERITAGE_HERITAGE 0.51, LOCAL_LOCAL 0.04, HERITAGE_LOCAL 0.01"/>
    <s v="Gulf spill"/>
    <x v="0"/>
  </r>
  <r>
    <s v="AFC"/>
    <s v="Singapore"/>
    <x v="45"/>
    <n v="2"/>
    <s v="Japan 1.00"/>
    <s v="LOCAL_HERITAGE 0.44, HERITAGE_HERITAGE 0.51, LOCAL_LOCAL 0.04, HERITAGE_LOCAL 0.01"/>
    <s v="Small spill"/>
    <x v="0"/>
  </r>
  <r>
    <s v="AFC"/>
    <s v="Singapore"/>
    <x v="42"/>
    <n v="2"/>
    <s v="Korea 1.00"/>
    <s v="LOCAL_HERITAGE 0.44, HERITAGE_HERITAGE 0.51, LOCAL_LOCAL 0.04, HERITAGE_LOCAL 0.01"/>
    <s v="Small spill"/>
    <x v="0"/>
  </r>
  <r>
    <s v="AFC"/>
    <s v="Syria"/>
    <x v="4"/>
    <n v="84"/>
    <s v="Syria 0.82, Lebanon 0.08, Palestine 0.06, Iraq 0.04"/>
    <s v="LOCAL_LOCAL 0.95, DOUBLE_SURNAME_LOCAL_LOCAL 0.03, COMPOUND_GIVEN_LOCAL_LOCAL 0.02"/>
    <s v="Main local pool"/>
    <x v="1"/>
  </r>
  <r>
    <s v="AFC"/>
    <s v="Syria"/>
    <x v="3"/>
    <n v="6"/>
    <s v="Turkey 0.75, Syria 0.25"/>
    <s v="LOCAL_HERITAGE 0.44, HERITAGE_HERITAGE 0.51, LOCAL_LOCAL 0.04, HERITAGE_LOCAL 0.01"/>
    <s v="Northern adjacency"/>
    <x v="1"/>
  </r>
  <r>
    <s v="AFC"/>
    <s v="Syria"/>
    <x v="5"/>
    <n v="3"/>
    <s v="Iran 0.80, Syria 0.20"/>
    <s v="LOCAL_HERITAGE 0.44, HERITAGE_HERITAGE 0.51, LOCAL_LOCAL 0.04, HERITAGE_LOCAL 0.01"/>
    <s v="Eastern spill"/>
    <x v="1"/>
  </r>
  <r>
    <s v="AFC"/>
    <s v="Syria"/>
    <x v="27"/>
    <n v="4"/>
    <s v="Saudi Arabia 0.45, Jordan 0.25, Iraq 0.15, UAE 0.15"/>
    <s v="LOCAL_HERITAGE 0.44, HERITAGE_HERITAGE 0.51, LOCAL_LOCAL 0.04, HERITAGE_LOCAL 0.01"/>
    <s v="Arab core adjacency"/>
    <x v="1"/>
  </r>
  <r>
    <s v="AFC"/>
    <s v="Syria"/>
    <x v="28"/>
    <n v="3"/>
    <s v="Egypt 1.00"/>
    <s v="LOCAL_HERITAGE 0.45, HERITAGE_HERITAGE 0.50, LOCAL_LOCAL 0.04, HERITAGE_LOCAL 0.01"/>
    <s v="East-med bridge"/>
    <x v="1"/>
  </r>
  <r>
    <s v="AFC"/>
    <s v="Lebanon"/>
    <x v="4"/>
    <n v="84"/>
    <s v="Lebanon 0.84, Syria 0.08, Palestine 0.05, Iraq 0.03"/>
    <s v="LOCAL_LOCAL 0.95, DOUBLE_SURNAME_LOCAL_LOCAL 0.03, COMPOUND_GIVEN_LOCAL_LOCAL 0.02"/>
    <s v="Main local pool"/>
    <x v="1"/>
  </r>
  <r>
    <s v="AFC"/>
    <s v="Lebanon"/>
    <x v="3"/>
    <n v="4"/>
    <s v="Turkey 0.75, Lebanon 0.25"/>
    <s v="LOCAL_HERITAGE 0.44, HERITAGE_HERITAGE 0.51, LOCAL_LOCAL 0.04, HERITAGE_LOCAL 0.01"/>
    <s v="Northern spill"/>
    <x v="1"/>
  </r>
  <r>
    <s v="AFC"/>
    <s v="Lebanon"/>
    <x v="5"/>
    <n v="3"/>
    <s v="Iran 0.80, Lebanon 0.20"/>
    <s v="LOCAL_HERITAGE 0.44, HERITAGE_HERITAGE 0.51, LOCAL_LOCAL 0.04, HERITAGE_LOCAL 0.01"/>
    <s v="Small eastern bridge"/>
    <x v="1"/>
  </r>
  <r>
    <s v="AFC"/>
    <s v="Lebanon"/>
    <x v="28"/>
    <n v="4"/>
    <s v="Egypt 1.00"/>
    <s v="LOCAL_HERITAGE 0.45, HERITAGE_HERITAGE 0.50, LOCAL_LOCAL 0.04, HERITAGE_LOCAL 0.01"/>
    <s v="East-med bridge"/>
    <x v="1"/>
  </r>
  <r>
    <s v="AFC"/>
    <s v="Lebanon"/>
    <x v="27"/>
    <n v="5"/>
    <s v="Saudi Arabia 0.40, UAE 0.25, Jordan 0.20, Kuwait 0.15"/>
    <s v="LOCAL_HERITAGE 0.44, HERITAGE_HERITAGE 0.51, LOCAL_LOCAL 0.04, HERITAGE_LOCAL 0.01"/>
    <s v="Arab adjacency"/>
    <x v="1"/>
  </r>
  <r>
    <s v="AFC"/>
    <s v="Palestine"/>
    <x v="4"/>
    <n v="86"/>
    <s v="Palestine 0.84, Jordan 0.06, Syria 0.05, Lebanon 0.05"/>
    <s v="LOCAL_LOCAL 0.95, DOUBLE_SURNAME_LOCAL_LOCAL 0.03, COMPOUND_GIVEN_LOCAL_LOCAL 0.02"/>
    <s v="Main local pool"/>
    <x v="1"/>
  </r>
  <r>
    <s v="AFC"/>
    <s v="Palestine"/>
    <x v="28"/>
    <n v="4"/>
    <s v="Egypt 1.00"/>
    <s v="LOCAL_HERITAGE 0.45, HERITAGE_HERITAGE 0.50, LOCAL_LOCAL 0.04, HERITAGE_LOCAL 0.01"/>
    <s v="Southern bridge"/>
    <x v="1"/>
  </r>
  <r>
    <s v="AFC"/>
    <s v="Palestine"/>
    <x v="27"/>
    <n v="4"/>
    <s v="Jordan 0.35, Saudi Arabia 0.30, UAE 0.20, Kuwait 0.15"/>
    <s v="LOCAL_HERITAGE 0.44, HERITAGE_HERITAGE 0.51, LOCAL_LOCAL 0.04, HERITAGE_LOCAL 0.01"/>
    <s v="Arab adjacency"/>
    <x v="1"/>
  </r>
  <r>
    <s v="AFC"/>
    <s v="Palestine"/>
    <x v="3"/>
    <n v="3"/>
    <s v="Turkey 0.75, Palestine 0.25"/>
    <s v="LOCAL_HERITAGE 0.44, HERITAGE_HERITAGE 0.51, LOCAL_LOCAL 0.04, HERITAGE_LOCAL 0.01"/>
    <s v="Minor northward spill"/>
    <x v="1"/>
  </r>
  <r>
    <s v="AFC"/>
    <s v="Palestine"/>
    <x v="5"/>
    <n v="3"/>
    <s v="Iran 0.80, Palestine 0.20"/>
    <s v="LOCAL_HERITAGE 0.44, HERITAGE_HERITAGE 0.51, LOCAL_LOCAL 0.04, HERITAGE_LOCAL 0.01"/>
    <s v="Minor eastern spill"/>
    <x v="1"/>
  </r>
  <r>
    <s v="AFC"/>
    <s v="Yemen"/>
    <x v="27"/>
    <n v="80"/>
    <s v="Saudi Arabia 0.70, Jordan 0.20, Oman 0.10"/>
    <s v="LOCAL_LOCAL 0.95, DOUBLE_SURNAME_LOCAL_LOCAL 0.03, COMPOUND_GIVEN_LOCAL_LOCAL 0.02"/>
    <s v="Proxy local pool; Yemen has no direct supported naming dataset"/>
    <x v="1"/>
  </r>
  <r>
    <s v="AFC"/>
    <s v="Yemen"/>
    <x v="6"/>
    <n v="8"/>
    <s v="Somalia 0.45, Ethiopia 0.30, Sudan 0.25"/>
    <s v="LOCAL_HERITAGE 0.44, HERITAGE_HERITAGE 0.51, LOCAL_LOCAL 0.04, HERITAGE_LOCAL 0.01"/>
    <s v="Strong Red Sea bridge"/>
    <x v="1"/>
  </r>
  <r>
    <s v="AFC"/>
    <s v="Yemen"/>
    <x v="28"/>
    <n v="4"/>
    <s v="Egypt 1.00"/>
    <s v="LOCAL_HERITAGE 0.45, HERITAGE_HERITAGE 0.50, LOCAL_LOCAL 0.04, HERITAGE_LOCAL 0.01"/>
    <s v="Westward bridge"/>
    <x v="1"/>
  </r>
  <r>
    <s v="AFC"/>
    <s v="Yemen"/>
    <x v="4"/>
    <n v="4"/>
    <s v="Jordan 0.35, Palestine 0.25, Syria 0.20, Lebanon 0.20"/>
    <s v="LOCAL_HERITAGE 0.44, HERITAGE_HERITAGE 0.51, LOCAL_LOCAL 0.04, HERITAGE_LOCAL 0.01"/>
    <s v="Northern spill"/>
    <x v="1"/>
  </r>
  <r>
    <s v="AFC"/>
    <s v="Yemen"/>
    <x v="5"/>
    <n v="2"/>
    <s v="Iran 1.00"/>
    <s v="LOCAL_HERITAGE 0.44, HERITAGE_HERITAGE 0.51, LOCAL_LOCAL 0.04, HERITAGE_LOCAL 0.01"/>
    <s v="Small Gulf-side spill"/>
    <x v="1"/>
  </r>
  <r>
    <s v="AFC"/>
    <s v="Yemen"/>
    <x v="35"/>
    <n v="2"/>
    <s v="Sudan 0.40, Kenya 0.30, Tanzania 0.30"/>
    <s v="LOCAL_HERITAGE 0.44, HERITAGE_HERITAGE 0.51, LOCAL_LOCAL 0.04, HERITAGE_LOCAL 0.01"/>
    <s v="Small football migration spill"/>
    <x v="1"/>
  </r>
  <r>
    <s v="AFC"/>
    <s v="Pakistan"/>
    <x v="14"/>
    <n v="48"/>
    <s v="Pakistan Punjabi 0.82, India Punjabi 0.10, Pakistan Sindhi 0.08"/>
    <s v="LOCAL_LOCAL 0.95, DOUBLE_SURNAME_LOCAL_LOCAL 0.03, COMPOUND_GIVEN_LOCAL_LOCAL 0.02"/>
    <s v="Main local anchor"/>
    <x v="1"/>
  </r>
  <r>
    <s v="AFC"/>
    <s v="Pakistan"/>
    <x v="5"/>
    <n v="16"/>
    <s v="Afghanistan Dari 0.50, Iran 0.35, Pakistan Pashtun 0.15"/>
    <s v="LOCAL_HERITAGE 0.44, HERITAGE_HERITAGE 0.51, LOCAL_LOCAL 0.04, HERITAGE_LOCAL 0.01"/>
    <s v="Western/Iranian-family spill"/>
    <x v="1"/>
  </r>
  <r>
    <s v="AFC"/>
    <s v="Pakistan"/>
    <x v="15"/>
    <n v="8"/>
    <s v="Pakistan Punjabi 0.45, India Gangetic 0.35, Pakistan Sindhi 0.20"/>
    <s v="LOCAL_HERITAGE 0.45, HERITAGE_HERITAGE 0.50, LOCAL_LOCAL 0.04, HERITAGE_LOCAL 0.01"/>
    <s v="Broad north-plain bridge"/>
    <x v="1"/>
  </r>
  <r>
    <s v="AFC"/>
    <s v="Pakistan"/>
    <x v="31"/>
    <n v="4"/>
    <s v="Pakistan Sindhi 0.50, India South 0.30, Pakistan Punjabi 0.20"/>
    <s v="LOCAL_HERITAGE 0.45, HERITAGE_HERITAGE 0.50, LOCAL_LOCAL 0.04, HERITAGE_LOCAL 0.01"/>
    <s v="Coastal/southern spill"/>
    <x v="1"/>
  </r>
  <r>
    <s v="AFC"/>
    <s v="Pakistan"/>
    <x v="27"/>
    <n v="8"/>
    <s v="Saudi Arabia 0.35, UAE 0.25, Oman 0.20, Kuwait 0.20"/>
    <s v="LOCAL_HERITAGE 0.44, HERITAGE_HERITAGE 0.51, LOCAL_LOCAL 0.04, HERITAGE_LOCAL 0.01"/>
    <s v="Gulf-facing spill"/>
    <x v="1"/>
  </r>
  <r>
    <s v="AFC"/>
    <s v="Pakistan"/>
    <x v="30"/>
    <n v="6"/>
    <s v="Afghanistan Dari 0.45, Tajikistan 0.30, Pakistan Pashtun 0.25"/>
    <s v="LOCAL_HERITAGE 0.42, HERITAGE_HERITAGE 0.53, LOCAL_LOCAL 0.04, HERITAGE_LOCAL 0.01"/>
    <s v="Northwestern bridge"/>
    <x v="1"/>
  </r>
  <r>
    <s v="AFC"/>
    <s v="Pakistan"/>
    <x v="29"/>
    <n v="4"/>
    <s v="Uzbekistan 0.45, Pakistan Pashtun 0.35, Tajikistan 0.20"/>
    <s v="LOCAL_HERITAGE 0.42, HERITAGE_HERITAGE 0.53, LOCAL_LOCAL 0.04, HERITAGE_LOCAL 0.01"/>
    <s v="Central Asian bridge"/>
    <x v="1"/>
  </r>
  <r>
    <s v="AFC"/>
    <s v="Pakistan"/>
    <x v="35"/>
    <n v="2"/>
    <s v="Kenya 0.40, Tanzania 0.35, Uganda 0.25"/>
    <s v="LOCAL_HERITAGE 0.42, HERITAGE_HERITAGE 0.53, LOCAL_LOCAL 0.04, HERITAGE_LOCAL 0.01"/>
    <s v="Indian Ocean spill"/>
    <x v="1"/>
  </r>
  <r>
    <s v="AFC"/>
    <s v="Pakistan"/>
    <x v="14"/>
    <n v="4"/>
    <s v="Pakistan Punjabi 0.55, Pakistan Sindhi 0.20, Pakistan Pashtun 0.15, India Punjabi 0.10"/>
    <s v="LOCAL_HERITAGE 0.55, HERITAGE_HERITAGE 0.30, LOCAL_LOCAL 0.10, HERITAGE_LOCAL 0.05"/>
    <s v="Mixed pan-Pakistani row"/>
    <x v="1"/>
  </r>
  <r>
    <s v="AFC"/>
    <s v="Bangladesh"/>
    <x v="40"/>
    <n v="60"/>
    <s v="Bangladesh 0.80, India Bengali 0.15, India Gangetic 0.05"/>
    <s v="LOCAL_LOCAL 0.95, DOUBLE_SURNAME_LOCAL_LOCAL 0.03, COMPOUND_GIVEN_LOCAL_LOCAL 0.02"/>
    <s v="Main local anchor"/>
    <x v="1"/>
  </r>
  <r>
    <s v="AFC"/>
    <s v="Bangladesh"/>
    <x v="15"/>
    <n v="30"/>
    <s v="Bangladesh 0.75, India Gangetic 0.25"/>
    <s v="LOCAL_HERITAGE 0.46, HERITAGE_HERITAGE 0.49, LOCAL_LOCAL 0.04, HERITAGE_LOCAL 0.01"/>
    <s v="Western plain spill"/>
    <x v="1"/>
  </r>
  <r>
    <s v="AFC"/>
    <s v="Bangladesh"/>
    <x v="27"/>
    <n v="4"/>
    <s v="Saudi Arabia 0.35, UAE 0.25, Oman 0.20, Kuwait 0.20"/>
    <s v="LOCAL_HERITAGE 0.44, HERITAGE_HERITAGE 0.51, LOCAL_LOCAL 0.04, HERITAGE_LOCAL 0.01"/>
    <s v="Gulf-facing spill"/>
    <x v="1"/>
  </r>
  <r>
    <s v="AFC"/>
    <s v="Bangladesh"/>
    <x v="31"/>
    <n v="2"/>
    <s v="India South 1.00"/>
    <s v="LOCAL_HERITAGE 0.45, HERITAGE_HERITAGE 0.50, LOCAL_LOCAL 0.04, HERITAGE_LOCAL 0.01"/>
    <s v="Small southern spill"/>
    <x v="1"/>
  </r>
  <r>
    <s v="AFC"/>
    <s v="Bangladesh"/>
    <x v="41"/>
    <n v="2"/>
    <s v="Sri Lanka Tamil 0.60, India South 0.40"/>
    <s v="LOCAL_HERITAGE 0.45, HERITAGE_HERITAGE 0.50, LOCAL_LOCAL 0.04, HERITAGE_LOCAL 0.01"/>
    <s v="Small southern bridge"/>
    <x v="1"/>
  </r>
  <r>
    <s v="AFC"/>
    <s v="Bangladesh"/>
    <x v="35"/>
    <n v="2"/>
    <s v="Kenya 0.40, Tanzania 0.35, Uganda 0.25"/>
    <s v="LOCAL_HERITAGE 0.42, HERITAGE_HERITAGE 0.53, LOCAL_LOCAL 0.04, HERITAGE_LOCAL 0.01"/>
    <s v="Indian Ocean spill"/>
    <x v="1"/>
  </r>
  <r>
    <s v="AFC"/>
    <s v="Sri Lanka"/>
    <x v="41"/>
    <n v="56"/>
    <s v="Sri Lanka Sinhala 0.68, Sri Lanka Tamil 0.22, India South 0.10"/>
    <s v="LOCAL_LOCAL 0.95, DOUBLE_SURNAME_LOCAL_LOCAL 0.03, COMPOUND_GIVEN_LOCAL_LOCAL 0.02"/>
    <s v="Main local anchor"/>
    <x v="1"/>
  </r>
  <r>
    <s v="AFC"/>
    <s v="Sri Lanka"/>
    <x v="31"/>
    <n v="22"/>
    <s v="India South 0.62, Sri Lanka Tamil 0.23, Sri Lanka Sinhala 0.15"/>
    <s v="LOCAL_HERITAGE 0.46, HERITAGE_HERITAGE 0.49, LOCAL_LOCAL 0.04, HERITAGE_LOCAL 0.01"/>
    <s v="Strong south Indian/Tamil bridge"/>
    <x v="1"/>
  </r>
  <r>
    <s v="AFC"/>
    <s v="Sri Lanka"/>
    <x v="27"/>
    <n v="6"/>
    <s v="Saudi Arabia 0.35, UAE 0.25, Oman 0.20, Kuwait 0.20"/>
    <s v="LOCAL_HERITAGE 0.44, HERITAGE_HERITAGE 0.51, LOCAL_LOCAL 0.04, HERITAGE_LOCAL 0.01"/>
    <s v="Gulf-facing spill"/>
    <x v="1"/>
  </r>
  <r>
    <s v="AFC"/>
    <s v="Sri Lanka"/>
    <x v="35"/>
    <n v="6"/>
    <s v="Kenya 0.40, Tanzania 0.35, Uganda 0.25"/>
    <s v="LOCAL_HERITAGE 0.42, HERITAGE_HERITAGE 0.53, LOCAL_LOCAL 0.04, HERITAGE_LOCAL 0.01"/>
    <s v="Indian Ocean spill"/>
    <x v="1"/>
  </r>
  <r>
    <s v="AFC"/>
    <s v="Sri Lanka"/>
    <x v="15"/>
    <n v="2"/>
    <s v="India Gangetic 0.70, India Bengali 0.30"/>
    <s v="LOCAL_HERITAGE 0.45, HERITAGE_HERITAGE 0.50, LOCAL_LOCAL 0.04, HERITAGE_LOCAL 0.01"/>
    <s v="Small north-Indian spill"/>
    <x v="1"/>
  </r>
  <r>
    <s v="AFC"/>
    <s v="Sri Lanka"/>
    <x v="40"/>
    <n v="2"/>
    <s v="Bangladesh 0.55, India Bengali 0.45"/>
    <s v="LOCAL_HERITAGE 0.45, HERITAGE_HERITAGE 0.50, LOCAL_LOCAL 0.04, HERITAGE_LOCAL 0.01"/>
    <s v="Small eastern spill"/>
    <x v="1"/>
  </r>
  <r>
    <s v="AFC"/>
    <s v="Sri Lanka"/>
    <x v="5"/>
    <n v="2"/>
    <s v="Iran 0.60, Afghanistan Dari 0.40"/>
    <s v="LOCAL_HERITAGE 0.44, HERITAGE_HERITAGE 0.51, LOCAL_LOCAL 0.04, HERITAGE_LOCAL 0.01"/>
    <s v="Small western spill"/>
    <x v="1"/>
  </r>
  <r>
    <s v="AFC"/>
    <s v="Sri Lanka"/>
    <x v="41"/>
    <n v="4"/>
    <s v="Sri Lanka Sinhala 0.55, Sri Lanka Tamil 0.45"/>
    <s v="LOCAL_HERITAGE 0.55, HERITAGE_HERITAGE 0.30, LOCAL_LOCAL 0.10, HERITAGE_LOCAL 0.05"/>
    <s v="Mixed Sri Lankan row"/>
    <x v="1"/>
  </r>
  <r>
    <s v="AFC"/>
    <s v="Nepal"/>
    <x v="15"/>
    <n v="50"/>
    <s v="Nepal 0.72, India Gangetic 0.18, India Punjabi 0.10"/>
    <s v="LOCAL_LOCAL 0.95, DOUBLE_SURNAME_LOCAL_LOCAL 0.03, COMPOUND_GIVEN_LOCAL_LOCAL 0.02"/>
    <s v="Main local anchor"/>
    <x v="1"/>
  </r>
  <r>
    <s v="AFC"/>
    <s v="Nepal"/>
    <x v="32"/>
    <n v="16"/>
    <s v="China 0.80, Nepal 0.20"/>
    <s v="LOCAL_HERITAGE 0.42, HERITAGE_HERITAGE 0.53, LOCAL_LOCAL 0.04, HERITAGE_LOCAL 0.01"/>
    <s v="Himalayan eastward bridge"/>
    <x v="1"/>
  </r>
  <r>
    <s v="AFC"/>
    <s v="Nepal"/>
    <x v="30"/>
    <n v="10"/>
    <s v="Tajikistan 0.45, Afghanistan Dari 0.35, Nepal 0.20"/>
    <s v="LOCAL_HERITAGE 0.42, HERITAGE_HERITAGE 0.53, LOCAL_LOCAL 0.04, HERITAGE_LOCAL 0.01"/>
    <s v="Himalayan/Iranian-family bridge"/>
    <x v="1"/>
  </r>
  <r>
    <s v="AFC"/>
    <s v="Nepal"/>
    <x v="15"/>
    <n v="12"/>
    <s v="India Gangetic 0.55, Nepal 0.45"/>
    <s v="LOCAL_HERITAGE 0.55, HERITAGE_HERITAGE 0.30, LOCAL_LOCAL 0.10, HERITAGE_LOCAL 0.05"/>
    <s v="Mixed hill/plain row"/>
    <x v="1"/>
  </r>
  <r>
    <s v="AFC"/>
    <s v="Nepal"/>
    <x v="14"/>
    <n v="4"/>
    <s v="India Punjabi 0.70, Nepal 0.30"/>
    <s v="LOCAL_HERITAGE 0.45, HERITAGE_HERITAGE 0.50, LOCAL_LOCAL 0.04, HERITAGE_LOCAL 0.01"/>
    <s v="Northwest spill"/>
    <x v="1"/>
  </r>
  <r>
    <s v="AFC"/>
    <s v="Nepal"/>
    <x v="40"/>
    <n v="4"/>
    <s v="India Bengali 0.60, Bangladesh 0.40"/>
    <s v="LOCAL_HERITAGE 0.45, HERITAGE_HERITAGE 0.50, LOCAL_LOCAL 0.04, HERITAGE_LOCAL 0.01"/>
    <s v="Eastern spill"/>
    <x v="1"/>
  </r>
  <r>
    <s v="AFC"/>
    <s v="Nepal"/>
    <x v="31"/>
    <n v="4"/>
    <s v="India South 1.00"/>
    <s v="LOCAL_HERITAGE 0.45, HERITAGE_HERITAGE 0.50, LOCAL_LOCAL 0.04, HERITAGE_LOCAL 0.01"/>
    <s v="Minor southern spill"/>
    <x v="1"/>
  </r>
  <r>
    <s v="AFC"/>
    <s v="Bhutan"/>
    <x v="32"/>
    <n v="70"/>
    <s v="China 0.60, Nepal 0.25, Bhutan Proxy 0.15"/>
    <s v="LOCAL_LOCAL 0.95, DOUBLE_SURNAME_LOCAL_LOCAL 0.03, COMPOUND_GIVEN_LOCAL_LOCAL 0.02"/>
    <s v="Main proxy local anchor through Himalayan/Chinese-facing logic"/>
    <x v="1"/>
  </r>
  <r>
    <s v="AFC"/>
    <s v="Bhutan"/>
    <x v="15"/>
    <n v="16"/>
    <s v="Nepal 0.45, India Gangetic 0.35, India Bengali 0.20"/>
    <s v="LOCAL_HERITAGE 0.45, HERITAGE_HERITAGE 0.50, LOCAL_LOCAL 0.04, HERITAGE_LOCAL 0.01"/>
    <s v="South Asian spill"/>
    <x v="1"/>
  </r>
  <r>
    <s v="AFC"/>
    <s v="Bhutan"/>
    <x v="30"/>
    <n v="4"/>
    <s v="Tajikistan 0.55, Afghanistan Dari 0.45"/>
    <s v="LOCAL_HERITAGE 0.42, HERITAGE_HERITAGE 0.53, LOCAL_LOCAL 0.04, HERITAGE_LOCAL 0.01"/>
    <s v="Himalayan westward bridge"/>
    <x v="1"/>
  </r>
  <r>
    <s v="AFC"/>
    <s v="Bhutan"/>
    <x v="40"/>
    <n v="4"/>
    <s v="India Bengali 0.60, Bangladesh 0.40"/>
    <s v="LOCAL_HERITAGE 0.45, HERITAGE_HERITAGE 0.50, LOCAL_LOCAL 0.04, HERITAGE_LOCAL 0.01"/>
    <s v="Eastern spill"/>
    <x v="1"/>
  </r>
  <r>
    <s v="AFC"/>
    <s v="Bhutan"/>
    <x v="15"/>
    <n v="4"/>
    <s v="Nepal 0.60, India Gangetic 0.40"/>
    <s v="LOCAL_HERITAGE 0.55, HERITAGE_HERITAGE 0.30, LOCAL_LOCAL 0.10, HERITAGE_LOCAL 0.05"/>
    <s v="Mixed Himalayan row"/>
    <x v="1"/>
  </r>
  <r>
    <s v="AFC"/>
    <s v="Bhutan"/>
    <x v="31"/>
    <n v="2"/>
    <s v="India South 1.00"/>
    <s v="LOCAL_HERITAGE 0.45, HERITAGE_HERITAGE 0.50, LOCAL_LOCAL 0.04, HERITAGE_LOCAL 0.01"/>
    <s v="Minor southern spill"/>
    <x v="1"/>
  </r>
  <r>
    <s v="AFC"/>
    <s v="Maldives"/>
    <x v="41"/>
    <n v="44"/>
    <s v="Sri Lanka Sinhala 0.45, Sri Lanka Tamil 0.25, India South 0.30"/>
    <s v="LOCAL_LOCAL 0.95, DOUBLE_SURNAME_LOCAL_LOCAL 0.03, COMPOUND_GIVEN_LOCAL_LOCAL 0.02"/>
    <s v="Main proxy local anchor"/>
    <x v="1"/>
  </r>
  <r>
    <s v="AFC"/>
    <s v="Maldives"/>
    <x v="31"/>
    <n v="24"/>
    <s v="India South 0.75, Sri Lanka Tamil 0.25"/>
    <s v="LOCAL_HERITAGE 0.46, HERITAGE_HERITAGE 0.49, LOCAL_LOCAL 0.04, HERITAGE_LOCAL 0.01"/>
    <s v="Strong south-Indian bridge"/>
    <x v="1"/>
  </r>
  <r>
    <s v="AFC"/>
    <s v="Maldives"/>
    <x v="27"/>
    <n v="12"/>
    <s v="Saudi Arabia 0.35, Oman 0.25, UAE 0.20, Kuwait 0.20"/>
    <s v="LOCAL_HERITAGE 0.44, HERITAGE_HERITAGE 0.51, LOCAL_LOCAL 0.04, HERITAGE_LOCAL 0.01"/>
    <s v="Strong Arab/Indian Ocean spill"/>
    <x v="1"/>
  </r>
  <r>
    <s v="AFC"/>
    <s v="Maldives"/>
    <x v="35"/>
    <n v="8"/>
    <s v="Kenya 0.40, Tanzania 0.35, Uganda 0.25"/>
    <s v="LOCAL_HERITAGE 0.42, HERITAGE_HERITAGE 0.53, LOCAL_LOCAL 0.04, HERITAGE_LOCAL 0.01"/>
    <s v="Indian Ocean spill"/>
    <x v="1"/>
  </r>
  <r>
    <s v="AFC"/>
    <s v="Maldives"/>
    <x v="4"/>
    <n v="4"/>
    <s v="Lebanon 0.30, Syria 0.25, Palestine 0.25, Iraq 0.20"/>
    <s v="LOCAL_HERITAGE 0.42, HERITAGE_HERITAGE 0.53, LOCAL_LOCAL 0.04, HERITAGE_LOCAL 0.01"/>
    <s v="Wider Arab spill"/>
    <x v="1"/>
  </r>
  <r>
    <s v="AFC"/>
    <s v="Maldives"/>
    <x v="5"/>
    <n v="4"/>
    <s v="Iran 0.65, Afghanistan Dari 0.35"/>
    <s v="LOCAL_HERITAGE 0.44, HERITAGE_HERITAGE 0.51, LOCAL_LOCAL 0.04, HERITAGE_LOCAL 0.01"/>
    <s v="Western bridge"/>
    <x v="1"/>
  </r>
  <r>
    <s v="AFC"/>
    <s v="Maldives"/>
    <x v="15"/>
    <n v="4"/>
    <s v="India Gangetic 0.60, Bangladesh 0.40"/>
    <s v="LOCAL_HERITAGE 0.45, HERITAGE_HERITAGE 0.50, LOCAL_LOCAL 0.04, HERITAGE_LOCAL 0.01"/>
    <s v="Broader South Asian spill"/>
    <x v="1"/>
  </r>
  <r>
    <s v="AFC"/>
    <s v="Afghanistan"/>
    <x v="5"/>
    <n v="36"/>
    <s v="Afghanistan Dari 0.72, Iran 0.18, Tajikistan 0.10"/>
    <s v="LOCAL_LOCAL 0.95, DOUBLE_SURNAME_LOCAL_LOCAL 0.03, COMPOUND_GIVEN_LOCAL_LOCAL 0.02"/>
    <s v="Main western anchor"/>
    <x v="1"/>
  </r>
  <r>
    <s v="AFC"/>
    <s v="Afghanistan"/>
    <x v="30"/>
    <n v="18"/>
    <s v="Tajikistan 0.60, Afghanistan Dari 0.40"/>
    <s v="LOCAL_HERITAGE 0.46, HERITAGE_HERITAGE 0.49, LOCAL_LOCAL 0.04, HERITAGE_LOCAL 0.01"/>
    <s v="Strong eastern Iranian-family bridge"/>
    <x v="1"/>
  </r>
  <r>
    <s v="AFC"/>
    <s v="Afghanistan"/>
    <x v="29"/>
    <n v="12"/>
    <s v="Uzbekistan 0.60, Tajikistan 0.20, Afghanistan Dari 0.20"/>
    <s v="LOCAL_HERITAGE 0.42, HERITAGE_HERITAGE 0.53, LOCAL_LOCAL 0.04, HERITAGE_LOCAL 0.01"/>
    <s v="Northern Central Asian spill"/>
    <x v="1"/>
  </r>
  <r>
    <s v="AFC"/>
    <s v="Afghanistan"/>
    <x v="14"/>
    <n v="10"/>
    <s v="Pakistan Punjabi 0.45, India Punjabi 0.35, Pakistan Pashtun 0.20"/>
    <s v="LOCAL_HERITAGE 0.45, HERITAGE_HERITAGE 0.50, LOCAL_LOCAL 0.04, HERITAGE_LOCAL 0.01"/>
    <s v="South Asian bridge"/>
    <x v="1"/>
  </r>
  <r>
    <s v="AFC"/>
    <s v="Afghanistan"/>
    <x v="15"/>
    <n v="4"/>
    <s v="India Gangetic 0.60, Pakistan Punjabi 0.40"/>
    <s v="LOCAL_HERITAGE 0.45, HERITAGE_HERITAGE 0.50, LOCAL_LOCAL 0.04, HERITAGE_LOCAL 0.01"/>
    <s v="Plain spill"/>
    <x v="1"/>
  </r>
  <r>
    <s v="AFC"/>
    <s v="Afghanistan"/>
    <x v="27"/>
    <n v="4"/>
    <s v="Saudi Arabia 0.35, UAE 0.25, Kuwait 0.20, Jordan 0.20"/>
    <s v="LOCAL_HERITAGE 0.44, HERITAGE_HERITAGE 0.51, LOCAL_LOCAL 0.04, HERITAGE_LOCAL 0.01"/>
    <s v="Arab-facing spill"/>
    <x v="1"/>
  </r>
  <r>
    <s v="AFC"/>
    <s v="Afghanistan"/>
    <x v="3"/>
    <n v="4"/>
    <s v="Turkey 1.00"/>
    <s v="LOCAL_HERITAGE 0.44, HERITAGE_HERITAGE 0.51, LOCAL_LOCAL 0.04, HERITAGE_LOCAL 0.01"/>
    <s v="Westward bridge"/>
    <x v="1"/>
  </r>
  <r>
    <s v="AFC"/>
    <s v="Afghanistan"/>
    <x v="5"/>
    <n v="8"/>
    <s v="Afghanistan Dari 0.55, Iran 0.45"/>
    <s v="LOCAL_HERITAGE 0.55, HERITAGE_HERITAGE 0.30, LOCAL_LOCAL 0.10, HERITAGE_LOCAL 0.05"/>
    <s v="Mixed pan-Afghan row"/>
    <x v="1"/>
  </r>
  <r>
    <s v="AFC"/>
    <s v="Afghanistan"/>
    <x v="4"/>
    <n v="2"/>
    <s v="Iraq 0.40, Syria 0.25, Lebanon 0.20, Palestine 0.15"/>
    <s v="LOCAL_HERITAGE 0.42, HERITAGE_HERITAGE 0.53, LOCAL_LOCAL 0.04, HERITAGE_LOCAL 0.01"/>
    <s v="Western spill"/>
    <x v="1"/>
  </r>
  <r>
    <s v="AFC"/>
    <s v="Afghanistan"/>
    <x v="32"/>
    <n v="2"/>
    <s v="China 0.70, Afghanistan Dari 0.30"/>
    <s v="LOCAL_HERITAGE 0.42, HERITAGE_HERITAGE 0.53, LOCAL_LOCAL 0.04, HERITAGE_LOCAL 0.01"/>
    <s v="Small eastern bridge"/>
    <x v="1"/>
  </r>
  <r>
    <s v="AFC"/>
    <s v="Mongolia"/>
    <x v="32"/>
    <n v="58"/>
    <s v="China 0.72, Mongolia Proxy 0.28"/>
    <s v="LOCAL_LOCAL 0.95, DOUBLE_SURNAME_LOCAL_LOCAL 0.03, COMPOUND_GIVEN_LOCAL_LOCAL 0.02"/>
    <s v="Main local proxy through north-China-facing logic"/>
    <x v="1"/>
  </r>
  <r>
    <s v="AFC"/>
    <s v="Mongolia"/>
    <x v="29"/>
    <n v="24"/>
    <s v="Kazakhstan 0.40, Kyrgyzstan 0.25, Uzbekistan 0.20, Tajikistan 0.15"/>
    <s v="LOCAL_HERITAGE 0.42, HERITAGE_HERITAGE 0.53, LOCAL_LOCAL 0.04, HERITAGE_LOCAL 0.01"/>
    <s v="Western/steppe bridge"/>
    <x v="1"/>
  </r>
  <r>
    <s v="AFC"/>
    <s v="Mongolia"/>
    <x v="42"/>
    <n v="4"/>
    <s v="Korea 1.00"/>
    <s v="LOCAL_HERITAGE 0.44, HERITAGE_HERITAGE 0.51, LOCAL_LOCAL 0.04, HERITAGE_LOCAL 0.01"/>
    <s v="Eastward spill"/>
    <x v="1"/>
  </r>
  <r>
    <s v="AFC"/>
    <s v="Mongolia"/>
    <x v="45"/>
    <n v="2"/>
    <s v="Japan 1.00"/>
    <s v="LOCAL_HERITAGE 0.44, HERITAGE_HERITAGE 0.51, LOCAL_LOCAL 0.04, HERITAGE_LOCAL 0.01"/>
    <s v="Minor spill"/>
    <x v="1"/>
  </r>
  <r>
    <s v="AFC"/>
    <s v="Mongolia"/>
    <x v="43"/>
    <n v="2"/>
    <s v="Vietnam 0.35, Myanmar 0.25, Thailand 0.20, Laos 0.20"/>
    <s v="LOCAL_HERITAGE 0.44, HERITAGE_HERITAGE 0.51, LOCAL_LOCAL 0.04, HERITAGE_LOCAL 0.01"/>
    <s v="Minor spill"/>
    <x v="1"/>
  </r>
  <r>
    <s v="AFC"/>
    <s v="Mongolia"/>
    <x v="32"/>
    <n v="4"/>
    <s v="China 0.55, Kazakhstan 0.25, Korea 0.20"/>
    <s v="LOCAL_HERITAGE 0.55, HERITAGE_HERITAGE 0.30, LOCAL_LOCAL 0.10, HERITAGE_LOCAL 0.05"/>
    <s v="Mixed steppe/east row"/>
    <x v="1"/>
  </r>
  <r>
    <s v="AFC"/>
    <s v="Mongolia"/>
    <x v="29"/>
    <n v="6"/>
    <s v="Kazakhstan 0.50, Kyrgyzstan 0.30, Uzbekistan 0.20"/>
    <s v="LOCAL_HERITAGE 0.55, HERITAGE_HERITAGE 0.30, LOCAL_LOCAL 0.10, HERITAGE_LOCAL 0.05"/>
    <s v="Mixed steppe row"/>
    <x v="1"/>
  </r>
  <r>
    <s v="AFC"/>
    <s v="Tajikistan"/>
    <x v="30"/>
    <n v="68"/>
    <s v="Tajikistan 0.82, Afghanistan Dari 0.10, Uzbekistan 0.08"/>
    <s v="LOCAL_LOCAL 0.95, DOUBLE_SURNAME_LOCAL_LOCAL 0.03, COMPOUND_GIVEN_LOCAL_LOCAL 0.02"/>
    <s v="Main local pool"/>
    <x v="1"/>
  </r>
  <r>
    <s v="AFC"/>
    <s v="Tajikistan"/>
    <x v="5"/>
    <n v="13"/>
    <s v="Iran 0.65, Afghanistan Dari 0.35"/>
    <s v="LOCAL_HERITAGE 0.46, HERITAGE_HERITAGE 0.49, LOCAL_LOCAL 0.04, HERITAGE_LOCAL 0.01"/>
    <s v="Western Iranian-family bridge"/>
    <x v="1"/>
  </r>
  <r>
    <s v="AFC"/>
    <s v="Tajikistan"/>
    <x v="29"/>
    <n v="13"/>
    <s v="Uzbekistan 0.55, Kazakhstan 0.25, Kyrgyzstan 0.20"/>
    <s v="LOCAL_HERITAGE 0.42, HERITAGE_HERITAGE 0.53, LOCAL_LOCAL 0.04, HERITAGE_LOCAL 0.01"/>
    <s v="Northern spill"/>
    <x v="1"/>
  </r>
  <r>
    <s v="AFC"/>
    <s v="Tajikistan"/>
    <x v="15"/>
    <n v="2"/>
    <s v="Afghanistan Dari 0.45, India Gangetic 0.35, Pakistan Punjabi 0.20"/>
    <s v="LOCAL_HERITAGE 0.45, HERITAGE_HERITAGE 0.50, LOCAL_LOCAL 0.04, HERITAGE_LOCAL 0.01"/>
    <s v="South Asian bridge"/>
    <x v="1"/>
  </r>
  <r>
    <s v="AFC"/>
    <s v="Tajikistan"/>
    <x v="3"/>
    <n v="2"/>
    <s v="Turkey 0.70, Azerbaijan 0.30"/>
    <s v="LOCAL_HERITAGE 0.42, HERITAGE_HERITAGE 0.53, LOCAL_LOCAL 0.04, HERITAGE_LOCAL 0.01"/>
    <s v="Westward bridge"/>
    <x v="1"/>
  </r>
  <r>
    <s v="AFC"/>
    <s v="Tajikistan"/>
    <x v="32"/>
    <n v="2"/>
    <s v="China 0.70, Tajikistan 0.30"/>
    <s v="LOCAL_HERITAGE 0.42, HERITAGE_HERITAGE 0.53, LOCAL_LOCAL 0.04, HERITAGE_LOCAL 0.01"/>
    <s v="Eastern spill"/>
    <x v="1"/>
  </r>
  <r>
    <s v="AFC"/>
    <s v="Kyrgyzstan"/>
    <x v="29"/>
    <n v="64"/>
    <s v="Kyrgyzstan 0.72, Kazakhstan 0.15, Uzbekistan 0.08, Tajikistan 0.05"/>
    <s v="LOCAL_LOCAL 0.95, DOUBLE_SURNAME_LOCAL_LOCAL 0.03, COMPOUND_GIVEN_LOCAL_LOCAL 0.02"/>
    <s v="Main local anchor"/>
    <x v="1"/>
  </r>
  <r>
    <s v="AFC"/>
    <s v="Kyrgyzstan"/>
    <x v="30"/>
    <n v="10"/>
    <s v="Tajikistan 0.50, Kyrgyzstan 0.30, Uzbekistan 0.20"/>
    <s v="LOCAL_HERITAGE 0.42, HERITAGE_HERITAGE 0.53, LOCAL_LOCAL 0.04, HERITAGE_LOCAL 0.01"/>
    <s v="Southern spill"/>
    <x v="1"/>
  </r>
  <r>
    <s v="AFC"/>
    <s v="Kyrgyzstan"/>
    <x v="32"/>
    <n v="10"/>
    <s v="China 0.70, Kyrgyzstan 0.30"/>
    <s v="LOCAL_HERITAGE 0.42, HERITAGE_HERITAGE 0.53, LOCAL_LOCAL 0.04, HERITAGE_LOCAL 0.01"/>
    <s v="Eastern spill"/>
    <x v="1"/>
  </r>
  <r>
    <s v="AFC"/>
    <s v="Kyrgyzstan"/>
    <x v="3"/>
    <n v="6"/>
    <s v="Turkey 0.70, Azerbaijan 0.30"/>
    <s v="LOCAL_HERITAGE 0.42, HERITAGE_HERITAGE 0.53, LOCAL_LOCAL 0.04, HERITAGE_LOCAL 0.01"/>
    <s v="Westward bridge"/>
    <x v="1"/>
  </r>
  <r>
    <s v="AFC"/>
    <s v="Kyrgyzstan"/>
    <x v="10"/>
    <n v="4"/>
    <s v="Russia 0.60, Kazakhstan 0.20, Ukraine 0.20"/>
    <s v="LOCAL_HERITAGE 0.42, HERITAGE_HERITAGE 0.53, LOCAL_LOCAL 0.04, HERITAGE_LOCAL 0.01"/>
    <s v="Northern spill"/>
    <x v="1"/>
  </r>
  <r>
    <s v="AFC"/>
    <s v="Kyrgyzstan"/>
    <x v="42"/>
    <n v="2"/>
    <s v="Korea 1.00"/>
    <s v="LOCAL_HERITAGE 0.44, HERITAGE_HERITAGE 0.51, LOCAL_LOCAL 0.04, HERITAGE_LOCAL 0.01"/>
    <s v="Minor spill"/>
    <x v="1"/>
  </r>
  <r>
    <s v="AFC"/>
    <s v="Kyrgyzstan"/>
    <x v="29"/>
    <n v="4"/>
    <s v="Kyrgyzstan 0.55, Kazakhstan 0.25, Uzbekistan 0.20"/>
    <s v="LOCAL_HERITAGE 0.55, HERITAGE_HERITAGE 0.30, LOCAL_LOCAL 0.10, HERITAGE_LOCAL 0.05"/>
    <s v="Mixed Central Asian row"/>
    <x v="1"/>
  </r>
  <r>
    <s v="AFC"/>
    <s v="Turkmenistan"/>
    <x v="29"/>
    <n v="70"/>
    <s v="Turkmenistan 0.70, Uzbekistan 0.15, Kazakhstan 0.10, Kyrgyzstan 0.05"/>
    <s v="LOCAL_LOCAL 0.95, DOUBLE_SURNAME_LOCAL_LOCAL 0.03, COMPOUND_GIVEN_LOCAL_LOCAL 0.02"/>
    <s v="Main local anchor"/>
    <x v="1"/>
  </r>
  <r>
    <s v="AFC"/>
    <s v="Turkmenistan"/>
    <x v="5"/>
    <n v="10"/>
    <s v="Iran 0.65, Afghanistan Dari 0.35"/>
    <s v="LOCAL_HERITAGE 0.46, HERITAGE_HERITAGE 0.49, LOCAL_LOCAL 0.04, HERITAGE_LOCAL 0.01"/>
    <s v="Southern/western bridge"/>
    <x v="1"/>
  </r>
  <r>
    <s v="AFC"/>
    <s v="Turkmenistan"/>
    <x v="3"/>
    <n v="8"/>
    <s v="Turkey 0.70, Azerbaijan 0.30"/>
    <s v="LOCAL_HERITAGE 0.42, HERITAGE_HERITAGE 0.53, LOCAL_LOCAL 0.04, HERITAGE_LOCAL 0.01"/>
    <s v="Westward bridge"/>
    <x v="1"/>
  </r>
  <r>
    <s v="AFC"/>
    <s v="Turkmenistan"/>
    <x v="30"/>
    <n v="4"/>
    <s v="Tajikistan 0.55, Afghanistan Dari 0.45"/>
    <s v="LOCAL_HERITAGE 0.42, HERITAGE_HERITAGE 0.53, LOCAL_LOCAL 0.04, HERITAGE_LOCAL 0.01"/>
    <s v="Southeastern spill"/>
    <x v="1"/>
  </r>
  <r>
    <s v="AFC"/>
    <s v="Turkmenistan"/>
    <x v="10"/>
    <n v="4"/>
    <s v="Russia 0.60, Kazakhstan 0.20, Ukraine 0.20"/>
    <s v="LOCAL_HERITAGE 0.42, HERITAGE_HERITAGE 0.53, LOCAL_LOCAL 0.04, HERITAGE_LOCAL 0.01"/>
    <s v="Northern spill"/>
    <x v="1"/>
  </r>
  <r>
    <s v="AFC"/>
    <s v="Turkmenistan"/>
    <x v="27"/>
    <n v="2"/>
    <s v="Iran 0.40, Saudi Arabia 0.30, UAE 0.30"/>
    <s v="LOCAL_HERITAGE 0.44, HERITAGE_HERITAGE 0.51, LOCAL_LOCAL 0.04, HERITAGE_LOCAL 0.01"/>
    <s v="Western spill"/>
    <x v="1"/>
  </r>
  <r>
    <s v="AFC"/>
    <s v="Turkmenistan"/>
    <x v="29"/>
    <n v="2"/>
    <s v="Turkmenistan 0.55, Uzbekistan 0.25, Kazakhstan 0.20"/>
    <s v="LOCAL_HERITAGE 0.55, HERITAGE_HERITAGE 0.30, LOCAL_LOCAL 0.10, HERITAGE_LOCAL 0.05"/>
    <s v="Mixed Central Asian row"/>
    <x v="1"/>
  </r>
  <r>
    <s v="AFC"/>
    <s v="Myanmar"/>
    <x v="43"/>
    <n v="76"/>
    <s v="Myanmar 0.86, Thailand 0.06, Laos 0.04, Cambodia 0.04"/>
    <s v="LOCAL_LOCAL 0.95, DOUBLE_SURNAME_LOCAL_LOCAL 0.03, COMPOUND_GIVEN_LOCAL_LOCAL 0.02"/>
    <s v="Main local pool"/>
    <x v="1"/>
  </r>
  <r>
    <s v="AFC"/>
    <s v="Myanmar"/>
    <x v="32"/>
    <n v="8"/>
    <s v="China South 0.70, China North 0.30"/>
    <s v="LOCAL_HERITAGE 0.44, HERITAGE_HERITAGE 0.51, LOCAL_LOCAL 0.04, HERITAGE_LOCAL 0.01"/>
    <s v="Northern spill"/>
    <x v="1"/>
  </r>
  <r>
    <s v="AFC"/>
    <s v="Myanmar"/>
    <x v="15"/>
    <n v="6"/>
    <s v="India Gangetic 0.50, Bangladesh 0.30, Nepal 0.20"/>
    <s v="LOCAL_HERITAGE 0.45, HERITAGE_HERITAGE 0.50, LOCAL_LOCAL 0.04, HERITAGE_LOCAL 0.01"/>
    <s v="Western bridge"/>
    <x v="1"/>
  </r>
  <r>
    <s v="AFC"/>
    <s v="Myanmar"/>
    <x v="44"/>
    <n v="4"/>
    <s v="Malaysia Malay 0.30, Malaysia Chinese 0.25, Singapore Chinese 0.25, Indonesia Other 0.20"/>
    <s v="LOCAL_HERITAGE 0.44, HERITAGE_HERITAGE 0.51, LOCAL_LOCAL 0.04, HERITAGE_LOCAL 0.01"/>
    <s v="Southern spill"/>
    <x v="1"/>
  </r>
  <r>
    <s v="AFC"/>
    <s v="Myanmar"/>
    <x v="31"/>
    <n v="4"/>
    <s v="India South 0.50, Bangladesh 0.25, India Gangetic 0.25"/>
    <s v="LOCAL_HERITAGE 0.45, HERITAGE_HERITAGE 0.50, LOCAL_LOCAL 0.04, HERITAGE_LOCAL 0.01"/>
    <s v="Subcontinental spill"/>
    <x v="1"/>
  </r>
  <r>
    <s v="AFC"/>
    <s v="Myanmar"/>
    <x v="43"/>
    <n v="2"/>
    <s v="Myanmar 0.55, Thailand 0.25, Laos 0.20"/>
    <s v="LOCAL_HERITAGE 0.55, HERITAGE_HERITAGE 0.30, LOCAL_LOCAL 0.10, HERITAGE_LOCAL 0.05"/>
    <s v="Mixed mainland row"/>
    <x v="1"/>
  </r>
  <r>
    <s v="AFC"/>
    <s v="Cambodia"/>
    <x v="43"/>
    <n v="88"/>
    <s v="Cambodia 0.94, Thailand 0.03, Laos 0.03"/>
    <s v="LOCAL_LOCAL 0.95, DOUBLE_SURNAME_LOCAL_LOCAL 0.03, COMPOUND_GIVEN_LOCAL_LOCAL 0.02"/>
    <s v="Main local pool"/>
    <x v="1"/>
  </r>
  <r>
    <s v="AFC"/>
    <s v="Cambodia"/>
    <x v="32"/>
    <n v="4"/>
    <s v="China South 0.70, China North 0.30"/>
    <s v="LOCAL_HERITAGE 0.44, HERITAGE_HERITAGE 0.51, LOCAL_LOCAL 0.04, HERITAGE_LOCAL 0.01"/>
    <s v="Chinese spill"/>
    <x v="1"/>
  </r>
  <r>
    <s v="AFC"/>
    <s v="Cambodia"/>
    <x v="44"/>
    <n v="4"/>
    <s v="Malaysia Chinese 0.30, Singapore Chinese 0.25, Malaysia Malay 0.25, Indonesia Other 0.20"/>
    <s v="LOCAL_HERITAGE 0.44, HERITAGE_HERITAGE 0.51, LOCAL_LOCAL 0.04, HERITAGE_LOCAL 0.01"/>
    <s v="Southern spill"/>
    <x v="1"/>
  </r>
  <r>
    <s v="AFC"/>
    <s v="Cambodia"/>
    <x v="31"/>
    <n v="2"/>
    <s v="India South 0.50, Malaysia Indian 0.30, Singapore Indian 0.20"/>
    <s v="LOCAL_HERITAGE 0.44, HERITAGE_HERITAGE 0.51, LOCAL_LOCAL 0.04, HERITAGE_LOCAL 0.01"/>
    <s v="Small spill"/>
    <x v="1"/>
  </r>
  <r>
    <s v="AFC"/>
    <s v="Cambodia"/>
    <x v="42"/>
    <n v="2"/>
    <s v="Korea 1.00"/>
    <s v="LOCAL_HERITAGE 0.44, HERITAGE_HERITAGE 0.51, LOCAL_LOCAL 0.04, HERITAGE_LOCAL 0.01"/>
    <s v="Minor spill"/>
    <x v="1"/>
  </r>
  <r>
    <s v="AFC"/>
    <s v="Laos"/>
    <x v="43"/>
    <n v="86"/>
    <s v="Laos 0.88, Thailand 0.07, Cambodia 0.05"/>
    <s v="LOCAL_LOCAL 0.95, DOUBLE_SURNAME_LOCAL_LOCAL 0.03, COMPOUND_GIVEN_LOCAL_LOCAL 0.02"/>
    <s v="Main local pool"/>
    <x v="1"/>
  </r>
  <r>
    <s v="AFC"/>
    <s v="Laos"/>
    <x v="32"/>
    <n v="6"/>
    <s v="China South 0.70, China North 0.30"/>
    <s v="LOCAL_HERITAGE 0.44, HERITAGE_HERITAGE 0.51, LOCAL_LOCAL 0.04, HERITAGE_LOCAL 0.01"/>
    <s v="Northern spill"/>
    <x v="1"/>
  </r>
  <r>
    <s v="AFC"/>
    <s v="Laos"/>
    <x v="44"/>
    <n v="4"/>
    <s v="Malaysia Chinese 0.30, Singapore Chinese 0.25, Malaysia Malay 0.25, Indonesia Other 0.20"/>
    <s v="LOCAL_HERITAGE 0.44, HERITAGE_HERITAGE 0.51, LOCAL_LOCAL 0.04, HERITAGE_LOCAL 0.01"/>
    <s v="Southern spill"/>
    <x v="1"/>
  </r>
  <r>
    <s v="AFC"/>
    <s v="Laos"/>
    <x v="31"/>
    <n v="2"/>
    <s v="India South 0.50, Malaysia Indian 0.30, Singapore Indian 0.20"/>
    <s v="LOCAL_HERITAGE 0.44, HERITAGE_HERITAGE 0.51, LOCAL_LOCAL 0.04, HERITAGE_LOCAL 0.01"/>
    <s v="Small spill"/>
    <x v="1"/>
  </r>
  <r>
    <s v="AFC"/>
    <s v="Laos"/>
    <x v="42"/>
    <n v="2"/>
    <s v="Korea 1.00"/>
    <s v="LOCAL_HERITAGE 0.44, HERITAGE_HERITAGE 0.51, LOCAL_LOCAL 0.04, HERITAGE_LOCAL 0.01"/>
    <s v="Minor spill"/>
    <x v="1"/>
  </r>
  <r>
    <s v="AFC"/>
    <s v="Australia"/>
    <x v="11"/>
    <n v="58"/>
    <s v="England 0.48, Scotland 0.16, Ireland 0.14, Wales 0.10, Australia 0.12"/>
    <s v="LOCAL_LOCAL 0.95, DOUBLE_SURNAME_LOCAL_LOCAL 0.03, COMPOUND_GIVEN_LOCAL_LOCAL 0.02"/>
    <s v="Main local anchor"/>
    <x v="0"/>
  </r>
  <r>
    <s v="AFC"/>
    <s v="Australia"/>
    <x v="1"/>
    <n v="8"/>
    <s v="England 0.35, Scotland 0.20, Ireland 0.20, New Zealand 0.25"/>
    <s v="LOCAL_LOCAL 0.90, DOUBLE_SURNAME_LOCAL_LOCAL 0.05, COMPOUND_GIVEN_LOCAL_LOCAL 0.05"/>
    <s v="Local lighter-feature spill"/>
    <x v="0"/>
  </r>
  <r>
    <s v="AFC"/>
    <s v="Australia"/>
    <x v="34"/>
    <n v="3"/>
    <s v="Philippines Tagalog 1.00"/>
    <s v="LOCAL_HERITAGE 0.42, HERITAGE_HERITAGE 0.53, LOCAL_LOCAL 0.04, HERITAGE_LOCAL 0.01"/>
    <s v="Distinct Filipino spill"/>
    <x v="0"/>
  </r>
  <r>
    <s v="AFC"/>
    <s v="Australia"/>
    <x v="44"/>
    <n v="3"/>
    <s v="Malaysia Malay 0.28, Malaysia Chinese 0.22, Singapore Chinese 0.20, Indonesia Javanese 0.15, Indonesia Other 0.15"/>
    <s v="LOCAL_HERITAGE 0.42, HERITAGE_HERITAGE 0.53, LOCAL_LOCAL 0.04, HERITAGE_LOCAL 0.01"/>
    <s v="Maritime/island Southeast Asian spill"/>
    <x v="0"/>
  </r>
  <r>
    <s v="AFC"/>
    <s v="Australia"/>
    <x v="25"/>
    <n v="1"/>
    <s v="Vietnam 0.70, Singapore Chinese 0.15, Malaysia Chinese 0.15"/>
    <s v="LOCAL_HERITAGE 0.42, HERITAGE_HERITAGE 0.53, LOCAL_LOCAL 0.04, HERITAGE_LOCAL 0.01"/>
    <s v="Smaller Vietic spill"/>
    <x v="0"/>
  </r>
  <r>
    <s v="AFC"/>
    <s v="Australia"/>
    <x v="43"/>
    <n v="2"/>
    <s v="Thailand 0.40, Cambodia 0.30, Laos 0.30"/>
    <s v="LOCAL_HERITAGE 0.42, HERITAGE_HERITAGE 0.53, LOCAL_LOCAL 0.04, HERITAGE_LOCAL 0.01"/>
    <s v="Mekong spill"/>
    <x v="0"/>
  </r>
  <r>
    <s v="AFC"/>
    <s v="Australia"/>
    <x v="31"/>
    <n v="4"/>
    <s v="India South 0.45, India Gangetic 0.20, Pakistan Punjabi 0.20, Bangladesh 0.15"/>
    <s v="LOCAL_HERITAGE 0.42, HERITAGE_HERITAGE 0.53, LOCAL_LOCAL 0.04, HERITAGE_LOCAL 0.01"/>
    <s v="South Asian spill"/>
    <x v="0"/>
  </r>
  <r>
    <s v="AFC"/>
    <s v="Australia"/>
    <x v="9"/>
    <n v="3"/>
    <s v="Nigeria 0.35, Ghana 0.25, Senegal 0.20, Ivory Coast 0.20"/>
    <s v="LOCAL_HERITAGE 0.38, HERITAGE_HERITAGE 0.57, LOCAL_LOCAL 0.04, HERITAGE_LOCAL 0.01"/>
    <s v="Football spill"/>
    <x v="0"/>
  </r>
  <r>
    <s v="AFC"/>
    <s v="Australia"/>
    <x v="33"/>
    <n v="7"/>
    <s v="New Zealand Māori 0.35, Samoa 0.25, Tonga 0.20, Fiji Indigenous 0.20"/>
    <s v="LOCAL_HERITAGE 0.44, HERITAGE_HERITAGE 0.51, LOCAL_LOCAL 0.04, HERITAGE_LOCAL 0.01"/>
    <s v="Oceania spill"/>
    <x v="0"/>
  </r>
  <r>
    <s v="AFC"/>
    <s v="Australia"/>
    <x v="46"/>
    <n v="4"/>
    <s v="Papua New Guinea 0.35, Solomon Islands 0.25, Vanuatu 0.20, Fiji Indigenous 0.20"/>
    <s v="LOCAL_HERITAGE 0.44, HERITAGE_HERITAGE 0.51, LOCAL_LOCAL 0.04, HERITAGE_LOCAL 0.01"/>
    <s v="Melanesian spill"/>
    <x v="0"/>
  </r>
  <r>
    <s v="AFC"/>
    <s v="Australia"/>
    <x v="11"/>
    <n v="7"/>
    <s v="England 0.40, Scotland 0.18, Ireland 0.14, Wales 0.08, Australia 0.20"/>
    <s v="LOCAL_HERITAGE 0.55, HERITAGE_HERITAGE 0.30, LOCAL_LOCAL 0.10, HERITAGE_LOCAL 0.05"/>
    <s v="Mixed Australian row"/>
    <x v="0"/>
  </r>
  <r>
    <s v="OFC"/>
    <s v="New Zealand"/>
    <x v="11"/>
    <n v="44"/>
    <s v="England 0.40, Scotland 0.18, Ireland 0.16, Wales 0.10, New Zealand 0.16"/>
    <s v="LOCAL_LOCAL 0.95, DOUBLE_SURNAME_LOCAL_LOCAL 0.03, COMPOUND_GIVEN_LOCAL_LOCAL 0.02"/>
    <s v="Main local anchor"/>
    <x v="0"/>
  </r>
  <r>
    <s v="OFC"/>
    <s v="New Zealand"/>
    <x v="33"/>
    <n v="20"/>
    <s v="New Zealand Māori 0.38, Samoa 0.22, Tonga 0.20, Fiji Indigenous 0.20"/>
    <s v="LOCAL_LOCAL 0.90, DOUBLE_SURNAME_LOCAL_LOCAL 0.05, COMPOUND_GIVEN_LOCAL_LOCAL 0.05"/>
    <s v="Strong oceanic-facing anchor"/>
    <x v="0"/>
  </r>
  <r>
    <s v="OFC"/>
    <s v="New Zealand"/>
    <x v="46"/>
    <n v="6"/>
    <s v="Papua New Guinea 0.35, Solomon Islands 0.25, Vanuatu 0.20, Fiji Indigenous 0.20"/>
    <s v="LOCAL_HERITAGE 0.44, HERITAGE_HERITAGE 0.51, LOCAL_LOCAL 0.04, HERITAGE_LOCAL 0.01"/>
    <s v="Melanesian spill"/>
    <x v="0"/>
  </r>
  <r>
    <s v="OFC"/>
    <s v="New Zealand"/>
    <x v="34"/>
    <n v="2"/>
    <s v="Philippines Tagalog 1.00"/>
    <s v="LOCAL_HERITAGE 0.42, HERITAGE_HERITAGE 0.53, LOCAL_LOCAL 0.04, HERITAGE_LOCAL 0.01"/>
    <s v="Distinct Filipino spill"/>
    <x v="0"/>
  </r>
  <r>
    <s v="OFC"/>
    <s v="New Zealand"/>
    <x v="44"/>
    <n v="3"/>
    <s v="Malaysia Malay 0.28, Malaysia Chinese 0.22, Singapore Chinese 0.20, Indonesia Javanese 0.15, Indonesia Other 0.15"/>
    <s v="LOCAL_HERITAGE 0.42, HERITAGE_HERITAGE 0.53, LOCAL_LOCAL 0.04, HERITAGE_LOCAL 0.01"/>
    <s v="Maritime/island Southeast Asian spill"/>
    <x v="0"/>
  </r>
  <r>
    <s v="OFC"/>
    <s v="New Zealand"/>
    <x v="25"/>
    <n v="1"/>
    <s v="Vietnam 0.70, Singapore Chinese 0.15, Malaysia Chinese 0.15"/>
    <s v="LOCAL_HERITAGE 0.42, HERITAGE_HERITAGE 0.53, LOCAL_LOCAL 0.04, HERITAGE_LOCAL 0.01"/>
    <s v="Smaller Vietic spill"/>
    <x v="0"/>
  </r>
  <r>
    <s v="OFC"/>
    <s v="New Zealand"/>
    <x v="43"/>
    <n v="2"/>
    <s v="Thailand 0.40, Cambodia 0.30, Laos 0.30"/>
    <s v="LOCAL_HERITAGE 0.42, HERITAGE_HERITAGE 0.53, LOCAL_LOCAL 0.04, HERITAGE_LOCAL 0.01"/>
    <s v="Mekong spill"/>
    <x v="0"/>
  </r>
  <r>
    <s v="OFC"/>
    <s v="New Zealand"/>
    <x v="31"/>
    <n v="3"/>
    <s v="India South 0.45, India Gangetic 0.20, Pakistan Punjabi 0.20, Bangladesh 0.15"/>
    <s v="LOCAL_HERITAGE 0.42, HERITAGE_HERITAGE 0.53, LOCAL_LOCAL 0.04, HERITAGE_LOCAL 0.01"/>
    <s v="South Asian spill"/>
    <x v="0"/>
  </r>
  <r>
    <s v="OFC"/>
    <s v="New Zealand"/>
    <x v="9"/>
    <n v="2"/>
    <s v="Nigeria 0.35, Ghana 0.25, Senegal 0.20, Ivory Coast 0.20"/>
    <s v="LOCAL_HERITAGE 0.38, HERITAGE_HERITAGE 0.57, LOCAL_LOCAL 0.04, HERITAGE_LOCAL 0.01"/>
    <s v="Football spill"/>
    <x v="0"/>
  </r>
  <r>
    <s v="OFC"/>
    <s v="New Zealand"/>
    <x v="11"/>
    <n v="17"/>
    <s v="England 0.30, Scotland 0.15, Ireland 0.15, Wales 0.10, New Zealand Māori 0.15, Samoa 0.15"/>
    <s v="LOCAL_HERITAGE 0.55, HERITAGE_HERITAGE 0.30, LOCAL_LOCAL 0.10, HERITAGE_LOCAL 0.05"/>
    <s v="Mixed New Zealand row"/>
    <x v="0"/>
  </r>
  <r>
    <s v="OFC"/>
    <s v="Fiji"/>
    <x v="46"/>
    <n v="36"/>
    <s v="Fiji Indigenous 0.50, Papua New Guinea 0.20, Solomon Islands 0.15, Vanuatu 0.15"/>
    <s v="LOCAL_LOCAL 0.90, DOUBLE_SURNAME_LOCAL_LOCAL 0.05, COMPOUND_GIVEN_LOCAL_LOCAL 0.05"/>
    <s v="Melanesian-facing anchor"/>
    <x v="0"/>
  </r>
  <r>
    <s v="OFC"/>
    <s v="Fiji"/>
    <x v="33"/>
    <n v="18"/>
    <s v="Fiji Indigenous 0.50, Samoa 0.25, Tonga 0.25"/>
    <s v="LOCAL_LOCAL 0.90, DOUBLE_SURNAME_LOCAL_LOCAL 0.05, COMPOUND_GIVEN_LOCAL_LOCAL 0.05"/>
    <s v="Polynesian-facing anchor"/>
    <x v="0"/>
  </r>
  <r>
    <s v="OFC"/>
    <s v="Fiji"/>
    <x v="31"/>
    <n v="18"/>
    <s v="Fiji Indian 0.55, India South 0.25, India Gangetic 0.10, Pakistan Punjabi 0.10"/>
    <s v="LOCAL_LOCAL 0.90, DOUBLE_SURNAME_LOCAL_LOCAL 0.05, COMPOUND_GIVEN_LOCAL_LOCAL 0.05"/>
    <s v="Indo-Fijian anchor"/>
    <x v="0"/>
  </r>
  <r>
    <s v="OFC"/>
    <s v="Fiji"/>
    <x v="11"/>
    <n v="6"/>
    <s v="Australia 0.40, New Zealand 0.35, England 0.25"/>
    <s v="LOCAL_HERITAGE 0.50, HERITAGE_HERITAGE 0.40, LOCAL_LOCAL 0.08, HERITAGE_LOCAL 0.02"/>
    <s v="ANZ spill"/>
    <x v="0"/>
  </r>
  <r>
    <s v="OFC"/>
    <s v="Fiji"/>
    <x v="34"/>
    <n v="2"/>
    <s v="Philippines Tagalog 1.00"/>
    <s v="LOCAL_HERITAGE 0.42, HERITAGE_HERITAGE 0.53, LOCAL_LOCAL 0.04, HERITAGE_LOCAL 0.01"/>
    <s v="Minor Filipino spill"/>
    <x v="0"/>
  </r>
  <r>
    <s v="OFC"/>
    <s v="Fiji"/>
    <x v="44"/>
    <n v="2"/>
    <s v="Malaysia Malay 0.40, Indonesia Other 0.35, Indonesia Javanese 0.25"/>
    <s v="LOCAL_HERITAGE 0.42, HERITAGE_HERITAGE 0.53, LOCAL_LOCAL 0.04, HERITAGE_LOCAL 0.01"/>
    <s v="Insular/Malay-world spill"/>
    <x v="0"/>
  </r>
  <r>
    <s v="OFC"/>
    <s v="Fiji"/>
    <x v="33"/>
    <n v="4"/>
    <s v="Fiji Indigenous 0.45, Samoa 0.30, Tonga 0.25"/>
    <s v="LOCAL_HERITAGE 0.55, HERITAGE_HERITAGE 0.30, LOCAL_LOCAL 0.10, HERITAGE_LOCAL 0.05"/>
    <s v="Mixed oceanic row"/>
    <x v="0"/>
  </r>
  <r>
    <s v="OFC"/>
    <s v="Fiji"/>
    <x v="46"/>
    <n v="4"/>
    <s v="Fiji Indigenous 0.40, Papua New Guinea 0.25, Solomon Islands 0.20, Vanuatu 0.15"/>
    <s v="LOCAL_HERITAGE 0.55, HERITAGE_HERITAGE 0.30, LOCAL_LOCAL 0.10, HERITAGE_LOCAL 0.05"/>
    <s v="Mixed Melanesian row"/>
    <x v="0"/>
  </r>
  <r>
    <s v="OFC"/>
    <s v="Fiji"/>
    <x v="31"/>
    <n v="8"/>
    <s v="Fiji Indian 0.45, India South 0.25, Fiji Indigenous 0.15, India Gangetic 0.15"/>
    <s v="LOCAL_HERITAGE 0.55, HERITAGE_HERITAGE 0.30, LOCAL_LOCAL 0.10, HERITAGE_LOCAL 0.05"/>
    <s v="Mixed Fijian row"/>
    <x v="0"/>
  </r>
  <r>
    <s v="OFC"/>
    <s v="Fiji"/>
    <x v="9"/>
    <n v="2"/>
    <s v="Nigeria 0.35, Ghana 0.25, Senegal 0.20, Ivory Coast 0.20"/>
    <s v="LOCAL_HERITAGE 0.38, HERITAGE_HERITAGE 0.57, LOCAL_LOCAL 0.04, HERITAGE_LOCAL 0.01"/>
    <s v="Small football spill"/>
    <x v="0"/>
  </r>
  <r>
    <s v="OFC"/>
    <s v="Samoa"/>
    <x v="33"/>
    <n v="88"/>
    <s v="Samoa 0.82, Tonga 0.10, New Zealand Māori 0.08"/>
    <s v="LOCAL_LOCAL 0.95, DOUBLE_SURNAME_LOCAL_LOCAL 0.03, COMPOUND_GIVEN_LOCAL_LOCAL 0.02"/>
    <s v="Main local pool"/>
    <x v="1"/>
  </r>
  <r>
    <s v="OFC"/>
    <s v="Samoa"/>
    <x v="46"/>
    <n v="3"/>
    <s v="Fiji Indigenous 0.35, Papua New Guinea 0.25, Solomon Islands 0.20, Vanuatu 0.20"/>
    <s v="LOCAL_HERITAGE 0.44, HERITAGE_HERITAGE 0.51, LOCAL_LOCAL 0.04, HERITAGE_LOCAL 0.01"/>
    <s v="Neighboring spill"/>
    <x v="1"/>
  </r>
  <r>
    <s v="OFC"/>
    <s v="Samoa"/>
    <x v="11"/>
    <n v="3"/>
    <s v="New Zealand 0.45, Australia 0.35, England 0.20"/>
    <s v="LOCAL_HERITAGE 0.50, HERITAGE_HERITAGE 0.40, LOCAL_LOCAL 0.08, HERITAGE_LOCAL 0.02"/>
    <s v="ANZ spill"/>
    <x v="1"/>
  </r>
  <r>
    <s v="OFC"/>
    <s v="Samoa"/>
    <x v="34"/>
    <n v="1"/>
    <s v="Philippines Tagalog 1.00"/>
    <s v="LOCAL_HERITAGE 0.42, HERITAGE_HERITAGE 0.53, LOCAL_LOCAL 0.04, HERITAGE_LOCAL 0.01"/>
    <s v="Minor Filipino spill"/>
    <x v="1"/>
  </r>
  <r>
    <s v="OFC"/>
    <s v="Samoa"/>
    <x v="44"/>
    <n v="1"/>
    <s v="Malaysia Malay 0.40, Indonesia Other 0.35, Indonesia Javanese 0.25"/>
    <s v="LOCAL_HERITAGE 0.42, HERITAGE_HERITAGE 0.53, LOCAL_LOCAL 0.04, HERITAGE_LOCAL 0.01"/>
    <s v="Minor insular spill"/>
    <x v="1"/>
  </r>
  <r>
    <s v="OFC"/>
    <s v="Samoa"/>
    <x v="33"/>
    <n v="4"/>
    <s v="Samoa 0.55, Tonga 0.25, New Zealand Māori 0.20"/>
    <s v="LOCAL_HERITAGE 0.55, HERITAGE_HERITAGE 0.30, LOCAL_LOCAL 0.10, HERITAGE_LOCAL 0.05"/>
    <s v="Mixed Polynesian row"/>
    <x v="1"/>
  </r>
  <r>
    <s v="OFC"/>
    <s v="Tonga"/>
    <x v="33"/>
    <n v="88"/>
    <s v="Tonga 0.82, Samoa 0.10, New Zealand Māori 0.08"/>
    <s v="LOCAL_LOCAL 0.95, DOUBLE_SURNAME_LOCAL_LOCAL 0.03, COMPOUND_GIVEN_LOCAL_LOCAL 0.02"/>
    <s v="Main local pool"/>
    <x v="1"/>
  </r>
  <r>
    <s v="OFC"/>
    <s v="Tonga"/>
    <x v="46"/>
    <n v="3"/>
    <s v="Fiji Indigenous 0.35, Papua New Guinea 0.25, Solomon Islands 0.20, Vanuatu 0.20"/>
    <s v="LOCAL_HERITAGE 0.44, HERITAGE_HERITAGE 0.51, LOCAL_LOCAL 0.04, HERITAGE_LOCAL 0.01"/>
    <s v="Neighboring spill"/>
    <x v="1"/>
  </r>
  <r>
    <s v="OFC"/>
    <s v="Tonga"/>
    <x v="11"/>
    <n v="3"/>
    <s v="New Zealand 0.45, Australia 0.35, England 0.20"/>
    <s v="LOCAL_HERITAGE 0.50, HERITAGE_HERITAGE 0.40, LOCAL_LOCAL 0.08, HERITAGE_LOCAL 0.02"/>
    <s v="ANZ spill"/>
    <x v="1"/>
  </r>
  <r>
    <s v="OFC"/>
    <s v="Tonga"/>
    <x v="34"/>
    <n v="1"/>
    <s v="Philippines Tagalog 1.00"/>
    <s v="LOCAL_HERITAGE 0.42, HERITAGE_HERITAGE 0.53, LOCAL_LOCAL 0.04, HERITAGE_LOCAL 0.01"/>
    <s v="Minor Filipino spill"/>
    <x v="1"/>
  </r>
  <r>
    <s v="OFC"/>
    <s v="Tonga"/>
    <x v="44"/>
    <n v="1"/>
    <s v="Malaysia Malay 0.40, Indonesia Other 0.35, Indonesia Javanese 0.25"/>
    <s v="LOCAL_HERITAGE 0.42, HERITAGE_HERITAGE 0.53, LOCAL_LOCAL 0.04, HERITAGE_LOCAL 0.01"/>
    <s v="Minor insular spill"/>
    <x v="1"/>
  </r>
  <r>
    <s v="OFC"/>
    <s v="Tonga"/>
    <x v="33"/>
    <n v="4"/>
    <s v="Tonga 0.55, Samoa 0.25, New Zealand Māori 0.20"/>
    <s v="LOCAL_HERITAGE 0.55, HERITAGE_HERITAGE 0.30, LOCAL_LOCAL 0.10, HERITAGE_LOCAL 0.05"/>
    <s v="Mixed Polynesian row"/>
    <x v="1"/>
  </r>
  <r>
    <s v="OFC"/>
    <s v="Papua New Guinea"/>
    <x v="46"/>
    <n v="88"/>
    <s v="Papua New Guinea 0.82, Solomon Islands 0.10, Vanuatu 0.08"/>
    <s v="LOCAL_LOCAL 0.95, DOUBLE_SURNAME_LOCAL_LOCAL 0.03, COMPOUND_GIVEN_LOCAL_LOCAL 0.02"/>
    <s v="Main local pool"/>
    <x v="1"/>
  </r>
  <r>
    <s v="OFC"/>
    <s v="Papua New Guinea"/>
    <x v="33"/>
    <n v="4"/>
    <s v="Fiji Indigenous 0.40, Samoa 0.30, Tonga 0.30"/>
    <s v="LOCAL_HERITAGE 0.44, HERITAGE_HERITAGE 0.51, LOCAL_LOCAL 0.04, HERITAGE_LOCAL 0.01"/>
    <s v="Neighboring spill"/>
    <x v="1"/>
  </r>
  <r>
    <s v="OFC"/>
    <s v="Papua New Guinea"/>
    <x v="34"/>
    <n v="2"/>
    <s v="Philippines Tagalog 1.00"/>
    <s v="LOCAL_HERITAGE 0.42, HERITAGE_HERITAGE 0.53, LOCAL_LOCAL 0.04, HERITAGE_LOCAL 0.01"/>
    <s v="Small Filipino spill"/>
    <x v="1"/>
  </r>
  <r>
    <s v="OFC"/>
    <s v="Papua New Guinea"/>
    <x v="44"/>
    <n v="2"/>
    <s v="Indonesia Other 0.40, Indonesia Javanese 0.20, Malaysia Malay 0.20, Philippines Tagalog 0.20"/>
    <s v="LOCAL_HERITAGE 0.42, HERITAGE_HERITAGE 0.53, LOCAL_LOCAL 0.04, HERITAGE_LOCAL 0.01"/>
    <s v="Insular spill"/>
    <x v="1"/>
  </r>
  <r>
    <s v="OFC"/>
    <s v="Papua New Guinea"/>
    <x v="11"/>
    <n v="2"/>
    <s v="Australia 0.45, New Zealand 0.35, England 0.20"/>
    <s v="LOCAL_HERITAGE 0.50, HERITAGE_HERITAGE 0.40, LOCAL_LOCAL 0.08, HERITAGE_LOCAL 0.02"/>
    <s v="ANZ spill"/>
    <x v="1"/>
  </r>
  <r>
    <s v="OFC"/>
    <s v="Papua New Guinea"/>
    <x v="46"/>
    <n v="2"/>
    <s v="Papua New Guinea 0.55, Solomon Islands 0.25, Vanuatu 0.20"/>
    <s v="LOCAL_HERITAGE 0.55, HERITAGE_HERITAGE 0.30, LOCAL_LOCAL 0.10, HERITAGE_LOCAL 0.05"/>
    <s v="Mixed Melanesian row"/>
    <x v="1"/>
  </r>
  <r>
    <s v="OFC"/>
    <s v="Solomon Islands"/>
    <x v="46"/>
    <n v="88"/>
    <s v="Solomon Islands 0.82, Papua New Guinea 0.10, Vanuatu 0.08"/>
    <s v="LOCAL_LOCAL 0.95, DOUBLE_SURNAME_LOCAL_LOCAL 0.03, COMPOUND_GIVEN_LOCAL_LOCAL 0.02"/>
    <s v="Main local pool"/>
    <x v="1"/>
  </r>
  <r>
    <s v="OFC"/>
    <s v="Solomon Islands"/>
    <x v="33"/>
    <n v="4"/>
    <s v="Fiji Indigenous 0.40, Samoa 0.30, Tonga 0.30"/>
    <s v="LOCAL_HERITAGE 0.44, HERITAGE_HERITAGE 0.51, LOCAL_LOCAL 0.04, HERITAGE_LOCAL 0.01"/>
    <s v="Neighboring spill"/>
    <x v="1"/>
  </r>
  <r>
    <s v="OFC"/>
    <s v="Solomon Islands"/>
    <x v="34"/>
    <n v="2"/>
    <s v="Philippines Tagalog 1.00"/>
    <s v="LOCAL_HERITAGE 0.42, HERITAGE_HERITAGE 0.53, LOCAL_LOCAL 0.04, HERITAGE_LOCAL 0.01"/>
    <s v="Small Filipino spill"/>
    <x v="1"/>
  </r>
  <r>
    <s v="OFC"/>
    <s v="Solomon Islands"/>
    <x v="44"/>
    <n v="2"/>
    <s v="Indonesia Other 0.40, Indonesia Javanese 0.20, Malaysia Malay 0.20, Philippines Tagalog 0.20"/>
    <s v="LOCAL_HERITAGE 0.42, HERITAGE_HERITAGE 0.53, LOCAL_LOCAL 0.04, HERITAGE_LOCAL 0.01"/>
    <s v="Insular spill"/>
    <x v="1"/>
  </r>
  <r>
    <s v="OFC"/>
    <s v="Solomon Islands"/>
    <x v="11"/>
    <n v="2"/>
    <s v="Australia 0.45, New Zealand 0.35, England 0.20"/>
    <s v="LOCAL_HERITAGE 0.50, HERITAGE_HERITAGE 0.40, LOCAL_LOCAL 0.08, HERITAGE_LOCAL 0.02"/>
    <s v="ANZ spill"/>
    <x v="1"/>
  </r>
  <r>
    <s v="OFC"/>
    <s v="Solomon Islands"/>
    <x v="46"/>
    <n v="2"/>
    <s v="Solomon Islands 0.55, Papua New Guinea 0.25, Vanuatu 0.20"/>
    <s v="LOCAL_HERITAGE 0.55, HERITAGE_HERITAGE 0.30, LOCAL_LOCAL 0.10, HERITAGE_LOCAL 0.05"/>
    <s v="Mixed Melanesian row"/>
    <x v="1"/>
  </r>
  <r>
    <s v="OFC"/>
    <s v="Vanuatu"/>
    <x v="46"/>
    <n v="86"/>
    <s v="Vanuatu 0.80, Solomon Islands 0.10, Papua New Guinea 0.10"/>
    <s v="LOCAL_LOCAL 0.95, DOUBLE_SURNAME_LOCAL_LOCAL 0.03, COMPOUND_GIVEN_LOCAL_LOCAL 0.02"/>
    <s v="Main local pool"/>
    <x v="1"/>
  </r>
  <r>
    <s v="OFC"/>
    <s v="Vanuatu"/>
    <x v="33"/>
    <n v="6"/>
    <s v="Fiji Indigenous 0.40, Samoa 0.30, Tonga 0.30"/>
    <s v="LOCAL_HERITAGE 0.44, HERITAGE_HERITAGE 0.51, LOCAL_LOCAL 0.04, HERITAGE_LOCAL 0.01"/>
    <s v="Neighboring spill"/>
    <x v="1"/>
  </r>
  <r>
    <s v="OFC"/>
    <s v="Vanuatu"/>
    <x v="34"/>
    <n v="2"/>
    <s v="Philippines Tagalog 1.00"/>
    <s v="LOCAL_HERITAGE 0.42, HERITAGE_HERITAGE 0.53, LOCAL_LOCAL 0.04, HERITAGE_LOCAL 0.01"/>
    <s v="Small Filipino spill"/>
    <x v="1"/>
  </r>
  <r>
    <s v="OFC"/>
    <s v="Vanuatu"/>
    <x v="44"/>
    <n v="2"/>
    <s v="Indonesia Other 0.40, Indonesia Javanese 0.20, Malaysia Malay 0.20, Philippines Tagalog 0.20"/>
    <s v="LOCAL_HERITAGE 0.42, HERITAGE_HERITAGE 0.53, LOCAL_LOCAL 0.04, HERITAGE_LOCAL 0.01"/>
    <s v="Insular spill"/>
    <x v="1"/>
  </r>
  <r>
    <s v="OFC"/>
    <s v="Vanuatu"/>
    <x v="11"/>
    <n v="2"/>
    <s v="Australia 0.45, New Zealand 0.35, England 0.20"/>
    <s v="LOCAL_HERITAGE 0.50, HERITAGE_HERITAGE 0.40, LOCAL_LOCAL 0.08, HERITAGE_LOCAL 0.02"/>
    <s v="ANZ spill"/>
    <x v="1"/>
  </r>
  <r>
    <s v="OFC"/>
    <s v="Vanuatu"/>
    <x v="46"/>
    <n v="2"/>
    <s v="Vanuatu 0.55, Solomon Islands 0.25, Papua New Guinea 0.20"/>
    <s v="LOCAL_HERITAGE 0.55, HERITAGE_HERITAGE 0.30, LOCAL_LOCAL 0.10, HERITAGE_LOCAL 0.05"/>
    <s v="Mixed Melanesian row"/>
    <x v="1"/>
  </r>
  <r>
    <s v="OFC"/>
    <s v="New Caledonia"/>
    <x v="46"/>
    <n v="56"/>
    <s v="New Caledonia 0.55, Vanuatu 0.20, Solomon Islands 0.15, Papua New Guinea 0.10"/>
    <s v="LOCAL_LOCAL 0.95, DOUBLE_SURNAME_LOCAL_LOCAL 0.03, COMPOUND_GIVEN_LOCAL_LOCAL 0.02"/>
    <s v="Main local anchor"/>
    <x v="1"/>
  </r>
  <r>
    <s v="OFC"/>
    <s v="New Caledonia"/>
    <x v="16"/>
    <n v="16"/>
    <s v="France 0.55, New Caledonia 0.25, Belgium French 0.20"/>
    <s v="LOCAL_HERITAGE 0.50, HERITAGE_HERITAGE 0.40, LOCAL_LOCAL 0.08, HERITAGE_LOCAL 0.02"/>
    <s v="French colonial spill"/>
    <x v="1"/>
  </r>
  <r>
    <s v="OFC"/>
    <s v="New Caledonia"/>
    <x v="33"/>
    <n v="8"/>
    <s v="Fiji Indigenous 0.40, Samoa 0.30, Tonga 0.30"/>
    <s v="LOCAL_HERITAGE 0.44, HERITAGE_HERITAGE 0.51, LOCAL_LOCAL 0.04, HERITAGE_LOCAL 0.01"/>
    <s v="Oceanic spill"/>
    <x v="1"/>
  </r>
  <r>
    <s v="OFC"/>
    <s v="New Caledonia"/>
    <x v="34"/>
    <n v="2"/>
    <s v="Philippines Tagalog 1.00"/>
    <s v="LOCAL_HERITAGE 0.42, HERITAGE_HERITAGE 0.53, LOCAL_LOCAL 0.04, HERITAGE_LOCAL 0.01"/>
    <s v="Small Filipino spill"/>
    <x v="1"/>
  </r>
  <r>
    <s v="OFC"/>
    <s v="New Caledonia"/>
    <x v="44"/>
    <n v="4"/>
    <s v="Indonesia Other 0.40, Indonesia Javanese 0.20, Malaysia Malay 0.20, Philippines Tagalog 0.20"/>
    <s v="LOCAL_HERITAGE 0.42, HERITAGE_HERITAGE 0.53, LOCAL_LOCAL 0.04, HERITAGE_LOCAL 0.01"/>
    <s v="Insular spill"/>
    <x v="1"/>
  </r>
  <r>
    <s v="OFC"/>
    <s v="New Caledonia"/>
    <x v="11"/>
    <n v="4"/>
    <s v="Australia 0.45, New Zealand 0.35, England 0.20"/>
    <s v="LOCAL_HERITAGE 0.50, HERITAGE_HERITAGE 0.40, LOCAL_LOCAL 0.08, HERITAGE_LOCAL 0.02"/>
    <s v="ANZ spill"/>
    <x v="1"/>
  </r>
  <r>
    <s v="OFC"/>
    <s v="New Caledonia"/>
    <x v="46"/>
    <n v="10"/>
    <s v="New Caledonia 0.35, Vanuatu 0.20, Solomon Islands 0.15, Papua New Guinea 0.10, France 0.20"/>
    <s v="LOCAL_HERITAGE 0.55, HERITAGE_HERITAGE 0.30, LOCAL_LOCAL 0.10, HERITAGE_LOCAL 0.05"/>
    <s v="Mixed local row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1">
  <r>
    <x v="0"/>
    <x v="0"/>
    <n v="1"/>
  </r>
  <r>
    <x v="0"/>
    <x v="0"/>
    <n v="1"/>
  </r>
  <r>
    <x v="0"/>
    <x v="0"/>
    <n v="1"/>
  </r>
  <r>
    <x v="0"/>
    <x v="1"/>
    <n v="0.88"/>
  </r>
  <r>
    <x v="0"/>
    <x v="2"/>
    <n v="7.0000000000000007E-2"/>
  </r>
  <r>
    <x v="0"/>
    <x v="3"/>
    <n v="0.05"/>
  </r>
  <r>
    <x v="0"/>
    <x v="1"/>
    <n v="0.88"/>
  </r>
  <r>
    <x v="0"/>
    <x v="2"/>
    <n v="7.0000000000000007E-2"/>
  </r>
  <r>
    <x v="0"/>
    <x v="3"/>
    <n v="0.05"/>
  </r>
  <r>
    <x v="0"/>
    <x v="4"/>
    <n v="0.85"/>
  </r>
  <r>
    <x v="0"/>
    <x v="1"/>
    <n v="0.15"/>
  </r>
  <r>
    <x v="0"/>
    <x v="5"/>
    <n v="0.45"/>
  </r>
  <r>
    <x v="0"/>
    <x v="6"/>
    <n v="0.45"/>
  </r>
  <r>
    <x v="0"/>
    <x v="7"/>
    <n v="0.1"/>
  </r>
  <r>
    <x v="0"/>
    <x v="8"/>
    <n v="0.9"/>
  </r>
  <r>
    <x v="0"/>
    <x v="1"/>
    <n v="0.1"/>
  </r>
  <r>
    <x v="0"/>
    <x v="9"/>
    <n v="0.7"/>
  </r>
  <r>
    <x v="0"/>
    <x v="10"/>
    <n v="0.3"/>
  </r>
  <r>
    <x v="0"/>
    <x v="1"/>
    <n v="1"/>
  </r>
  <r>
    <x v="0"/>
    <x v="3"/>
    <n v="0.92"/>
  </r>
  <r>
    <x v="0"/>
    <x v="1"/>
    <n v="0.08"/>
  </r>
  <r>
    <x v="0"/>
    <x v="3"/>
    <n v="0.92"/>
  </r>
  <r>
    <x v="0"/>
    <x v="1"/>
    <n v="0.08"/>
  </r>
  <r>
    <x v="0"/>
    <x v="11"/>
    <n v="0.82"/>
  </r>
  <r>
    <x v="0"/>
    <x v="3"/>
    <n v="0.18"/>
  </r>
  <r>
    <x v="0"/>
    <x v="12"/>
    <n v="0.28000000000000003"/>
  </r>
  <r>
    <x v="0"/>
    <x v="13"/>
    <n v="0.22"/>
  </r>
  <r>
    <x v="0"/>
    <x v="14"/>
    <n v="0.18"/>
  </r>
  <r>
    <x v="0"/>
    <x v="15"/>
    <n v="0.17"/>
  </r>
  <r>
    <x v="0"/>
    <x v="16"/>
    <n v="0.15"/>
  </r>
  <r>
    <x v="0"/>
    <x v="5"/>
    <n v="0.45"/>
  </r>
  <r>
    <x v="0"/>
    <x v="6"/>
    <n v="0.3"/>
  </r>
  <r>
    <x v="0"/>
    <x v="7"/>
    <n v="0.15"/>
  </r>
  <r>
    <x v="0"/>
    <x v="17"/>
    <n v="0.1"/>
  </r>
  <r>
    <x v="0"/>
    <x v="4"/>
    <n v="0.85"/>
  </r>
  <r>
    <x v="0"/>
    <x v="3"/>
    <n v="0.15"/>
  </r>
  <r>
    <x v="0"/>
    <x v="9"/>
    <n v="0.7"/>
  </r>
  <r>
    <x v="0"/>
    <x v="10"/>
    <n v="0.3"/>
  </r>
  <r>
    <x v="0"/>
    <x v="3"/>
    <n v="1"/>
  </r>
  <r>
    <x v="0"/>
    <x v="2"/>
    <n v="0.87"/>
  </r>
  <r>
    <x v="0"/>
    <x v="1"/>
    <n v="0.08"/>
  </r>
  <r>
    <x v="0"/>
    <x v="18"/>
    <n v="0.05"/>
  </r>
  <r>
    <x v="0"/>
    <x v="2"/>
    <n v="0.87"/>
  </r>
  <r>
    <x v="0"/>
    <x v="1"/>
    <n v="0.08"/>
  </r>
  <r>
    <x v="0"/>
    <x v="18"/>
    <n v="0.05"/>
  </r>
  <r>
    <x v="0"/>
    <x v="4"/>
    <n v="0.85"/>
  </r>
  <r>
    <x v="0"/>
    <x v="2"/>
    <n v="0.15"/>
  </r>
  <r>
    <x v="0"/>
    <x v="7"/>
    <n v="0.3"/>
  </r>
  <r>
    <x v="0"/>
    <x v="5"/>
    <n v="0.3"/>
  </r>
  <r>
    <x v="0"/>
    <x v="6"/>
    <n v="0.25"/>
  </r>
  <r>
    <x v="0"/>
    <x v="17"/>
    <n v="0.15"/>
  </r>
  <r>
    <x v="0"/>
    <x v="9"/>
    <n v="0.6"/>
  </r>
  <r>
    <x v="0"/>
    <x v="10"/>
    <n v="0.4"/>
  </r>
  <r>
    <x v="0"/>
    <x v="19"/>
    <n v="0.4"/>
  </r>
  <r>
    <x v="0"/>
    <x v="20"/>
    <n v="0.35"/>
  </r>
  <r>
    <x v="0"/>
    <x v="21"/>
    <n v="0.25"/>
  </r>
  <r>
    <x v="0"/>
    <x v="12"/>
    <n v="0.3"/>
  </r>
  <r>
    <x v="0"/>
    <x v="13"/>
    <n v="0.2"/>
  </r>
  <r>
    <x v="0"/>
    <x v="14"/>
    <n v="0.2"/>
  </r>
  <r>
    <x v="0"/>
    <x v="15"/>
    <n v="0.2"/>
  </r>
  <r>
    <x v="0"/>
    <x v="22"/>
    <n v="0.1"/>
  </r>
  <r>
    <x v="0"/>
    <x v="2"/>
    <n v="1"/>
  </r>
  <r>
    <x v="0"/>
    <x v="11"/>
    <n v="0.92"/>
  </r>
  <r>
    <x v="0"/>
    <x v="23"/>
    <n v="0.08"/>
  </r>
  <r>
    <x v="0"/>
    <x v="11"/>
    <n v="0.92"/>
  </r>
  <r>
    <x v="0"/>
    <x v="23"/>
    <n v="0.08"/>
  </r>
  <r>
    <x v="0"/>
    <x v="24"/>
    <n v="0.55000000000000004"/>
  </r>
  <r>
    <x v="0"/>
    <x v="3"/>
    <n v="0.45"/>
  </r>
  <r>
    <x v="0"/>
    <x v="11"/>
    <n v="0.6"/>
  </r>
  <r>
    <x v="0"/>
    <x v="25"/>
    <n v="0.4"/>
  </r>
  <r>
    <x v="0"/>
    <x v="9"/>
    <n v="0.6"/>
  </r>
  <r>
    <x v="0"/>
    <x v="10"/>
    <n v="0.4"/>
  </r>
  <r>
    <x v="0"/>
    <x v="26"/>
    <n v="0.82"/>
  </r>
  <r>
    <x v="0"/>
    <x v="27"/>
    <n v="0.06"/>
  </r>
  <r>
    <x v="0"/>
    <x v="28"/>
    <n v="0.06"/>
  </r>
  <r>
    <x v="0"/>
    <x v="29"/>
    <n v="0.06"/>
  </r>
  <r>
    <x v="0"/>
    <x v="26"/>
    <n v="0.75"/>
  </r>
  <r>
    <x v="0"/>
    <x v="30"/>
    <n v="0.15"/>
  </r>
  <r>
    <x v="0"/>
    <x v="2"/>
    <n v="0.1"/>
  </r>
  <r>
    <x v="0"/>
    <x v="20"/>
    <n v="0.4"/>
  </r>
  <r>
    <x v="0"/>
    <x v="19"/>
    <n v="0.25"/>
  </r>
  <r>
    <x v="0"/>
    <x v="21"/>
    <n v="0.15"/>
  </r>
  <r>
    <x v="0"/>
    <x v="31"/>
    <n v="0.2"/>
  </r>
  <r>
    <x v="0"/>
    <x v="32"/>
    <n v="0.65"/>
  </r>
  <r>
    <x v="0"/>
    <x v="33"/>
    <n v="0.35"/>
  </r>
  <r>
    <x v="0"/>
    <x v="34"/>
    <n v="0.45"/>
  </r>
  <r>
    <x v="0"/>
    <x v="35"/>
    <n v="0.35"/>
  </r>
  <r>
    <x v="0"/>
    <x v="36"/>
    <n v="0.2"/>
  </r>
  <r>
    <x v="0"/>
    <x v="4"/>
    <n v="0.7"/>
  </r>
  <r>
    <x v="0"/>
    <x v="37"/>
    <n v="0.3"/>
  </r>
  <r>
    <x v="0"/>
    <x v="38"/>
    <n v="0.55000000000000004"/>
  </r>
  <r>
    <x v="0"/>
    <x v="39"/>
    <n v="0.45"/>
  </r>
  <r>
    <x v="0"/>
    <x v="40"/>
    <n v="0.35"/>
  </r>
  <r>
    <x v="0"/>
    <x v="41"/>
    <n v="0.25"/>
  </r>
  <r>
    <x v="0"/>
    <x v="42"/>
    <n v="0.2"/>
  </r>
  <r>
    <x v="0"/>
    <x v="43"/>
    <n v="0.2"/>
  </r>
  <r>
    <x v="0"/>
    <x v="26"/>
    <n v="1"/>
  </r>
  <r>
    <x v="0"/>
    <x v="28"/>
    <n v="0.76"/>
  </r>
  <r>
    <x v="0"/>
    <x v="26"/>
    <n v="0.1"/>
  </r>
  <r>
    <x v="0"/>
    <x v="29"/>
    <n v="0.1"/>
  </r>
  <r>
    <x v="0"/>
    <x v="27"/>
    <n v="0.04"/>
  </r>
  <r>
    <x v="0"/>
    <x v="28"/>
    <n v="0.72"/>
  </r>
  <r>
    <x v="0"/>
    <x v="1"/>
    <n v="0.15"/>
  </r>
  <r>
    <x v="0"/>
    <x v="2"/>
    <n v="0.13"/>
  </r>
  <r>
    <x v="0"/>
    <x v="20"/>
    <n v="0.45"/>
  </r>
  <r>
    <x v="0"/>
    <x v="19"/>
    <n v="0.3"/>
  </r>
  <r>
    <x v="0"/>
    <x v="44"/>
    <n v="0.15"/>
  </r>
  <r>
    <x v="0"/>
    <x v="45"/>
    <n v="0.1"/>
  </r>
  <r>
    <x v="0"/>
    <x v="32"/>
    <n v="0.6"/>
  </r>
  <r>
    <x v="0"/>
    <x v="33"/>
    <n v="0.25"/>
  </r>
  <r>
    <x v="0"/>
    <x v="46"/>
    <n v="0.15"/>
  </r>
  <r>
    <x v="0"/>
    <x v="38"/>
    <n v="0.55000000000000004"/>
  </r>
  <r>
    <x v="0"/>
    <x v="39"/>
    <n v="0.45"/>
  </r>
  <r>
    <x v="0"/>
    <x v="5"/>
    <n v="0.4"/>
  </r>
  <r>
    <x v="0"/>
    <x v="7"/>
    <n v="0.25"/>
  </r>
  <r>
    <x v="0"/>
    <x v="6"/>
    <n v="0.2"/>
  </r>
  <r>
    <x v="0"/>
    <x v="17"/>
    <n v="0.15"/>
  </r>
  <r>
    <x v="0"/>
    <x v="40"/>
    <n v="0.35"/>
  </r>
  <r>
    <x v="0"/>
    <x v="42"/>
    <n v="0.25"/>
  </r>
  <r>
    <x v="0"/>
    <x v="41"/>
    <n v="0.2"/>
  </r>
  <r>
    <x v="0"/>
    <x v="43"/>
    <n v="0.2"/>
  </r>
  <r>
    <x v="0"/>
    <x v="28"/>
    <n v="1"/>
  </r>
  <r>
    <x v="0"/>
    <x v="27"/>
    <n v="0.64"/>
  </r>
  <r>
    <x v="0"/>
    <x v="26"/>
    <n v="0.22"/>
  </r>
  <r>
    <x v="0"/>
    <x v="29"/>
    <n v="0.09"/>
  </r>
  <r>
    <x v="0"/>
    <x v="28"/>
    <n v="0.05"/>
  </r>
  <r>
    <x v="0"/>
    <x v="27"/>
    <n v="0.55000000000000004"/>
  </r>
  <r>
    <x v="0"/>
    <x v="26"/>
    <n v="0.25"/>
  </r>
  <r>
    <x v="0"/>
    <x v="29"/>
    <n v="0.2"/>
  </r>
  <r>
    <x v="0"/>
    <x v="20"/>
    <n v="0.45"/>
  </r>
  <r>
    <x v="0"/>
    <x v="19"/>
    <n v="0.25"/>
  </r>
  <r>
    <x v="0"/>
    <x v="44"/>
    <n v="0.15"/>
  </r>
  <r>
    <x v="0"/>
    <x v="45"/>
    <n v="0.15"/>
  </r>
  <r>
    <x v="0"/>
    <x v="32"/>
    <n v="0.6"/>
  </r>
  <r>
    <x v="0"/>
    <x v="33"/>
    <n v="0.25"/>
  </r>
  <r>
    <x v="0"/>
    <x v="46"/>
    <n v="0.15"/>
  </r>
  <r>
    <x v="0"/>
    <x v="38"/>
    <n v="0.5"/>
  </r>
  <r>
    <x v="0"/>
    <x v="39"/>
    <n v="0.5"/>
  </r>
  <r>
    <x v="0"/>
    <x v="5"/>
    <n v="0.35"/>
  </r>
  <r>
    <x v="0"/>
    <x v="6"/>
    <n v="0.25"/>
  </r>
  <r>
    <x v="0"/>
    <x v="7"/>
    <n v="0.2"/>
  </r>
  <r>
    <x v="0"/>
    <x v="17"/>
    <n v="0.2"/>
  </r>
  <r>
    <x v="0"/>
    <x v="27"/>
    <n v="1"/>
  </r>
  <r>
    <x v="0"/>
    <x v="47"/>
    <n v="0.48"/>
  </r>
  <r>
    <x v="0"/>
    <x v="29"/>
    <n v="0.28000000000000003"/>
  </r>
  <r>
    <x v="0"/>
    <x v="28"/>
    <n v="0.14000000000000001"/>
  </r>
  <r>
    <x v="0"/>
    <x v="26"/>
    <n v="0.1"/>
  </r>
  <r>
    <x v="0"/>
    <x v="47"/>
    <n v="0.45"/>
  </r>
  <r>
    <x v="0"/>
    <x v="29"/>
    <n v="0.3"/>
  </r>
  <r>
    <x v="0"/>
    <x v="28"/>
    <n v="0.25"/>
  </r>
  <r>
    <x v="0"/>
    <x v="20"/>
    <n v="0.45"/>
  </r>
  <r>
    <x v="0"/>
    <x v="19"/>
    <n v="0.3"/>
  </r>
  <r>
    <x v="0"/>
    <x v="44"/>
    <n v="0.15"/>
  </r>
  <r>
    <x v="0"/>
    <x v="45"/>
    <n v="0.1"/>
  </r>
  <r>
    <x v="0"/>
    <x v="39"/>
    <n v="0.5"/>
  </r>
  <r>
    <x v="0"/>
    <x v="38"/>
    <n v="0.35"/>
  </r>
  <r>
    <x v="0"/>
    <x v="48"/>
    <n v="0.15"/>
  </r>
  <r>
    <x v="0"/>
    <x v="47"/>
    <n v="1"/>
  </r>
  <r>
    <x v="0"/>
    <x v="29"/>
    <n v="0.84"/>
  </r>
  <r>
    <x v="0"/>
    <x v="26"/>
    <n v="0.08"/>
  </r>
  <r>
    <x v="0"/>
    <x v="28"/>
    <n v="0.05"/>
  </r>
  <r>
    <x v="0"/>
    <x v="27"/>
    <n v="0.03"/>
  </r>
  <r>
    <x v="0"/>
    <x v="29"/>
    <n v="0.8"/>
  </r>
  <r>
    <x v="0"/>
    <x v="28"/>
    <n v="0.1"/>
  </r>
  <r>
    <x v="0"/>
    <x v="26"/>
    <n v="0.1"/>
  </r>
  <r>
    <x v="0"/>
    <x v="20"/>
    <n v="0.45"/>
  </r>
  <r>
    <x v="0"/>
    <x v="19"/>
    <n v="0.25"/>
  </r>
  <r>
    <x v="0"/>
    <x v="44"/>
    <n v="0.15"/>
  </r>
  <r>
    <x v="0"/>
    <x v="31"/>
    <n v="0.15"/>
  </r>
  <r>
    <x v="0"/>
    <x v="32"/>
    <n v="0.7"/>
  </r>
  <r>
    <x v="0"/>
    <x v="33"/>
    <n v="0.2"/>
  </r>
  <r>
    <x v="0"/>
    <x v="46"/>
    <n v="0.1"/>
  </r>
  <r>
    <x v="0"/>
    <x v="40"/>
    <n v="0.45"/>
  </r>
  <r>
    <x v="0"/>
    <x v="42"/>
    <n v="0.2"/>
  </r>
  <r>
    <x v="0"/>
    <x v="41"/>
    <n v="0.2"/>
  </r>
  <r>
    <x v="0"/>
    <x v="43"/>
    <n v="0.15"/>
  </r>
  <r>
    <x v="0"/>
    <x v="49"/>
    <n v="0.5"/>
  </r>
  <r>
    <x v="0"/>
    <x v="50"/>
    <n v="0.2"/>
  </r>
  <r>
    <x v="0"/>
    <x v="38"/>
    <n v="0.2"/>
  </r>
  <r>
    <x v="0"/>
    <x v="48"/>
    <n v="0.1"/>
  </r>
  <r>
    <x v="0"/>
    <x v="29"/>
    <n v="1"/>
  </r>
  <r>
    <x v="0"/>
    <x v="51"/>
    <n v="0.84"/>
  </r>
  <r>
    <x v="0"/>
    <x v="52"/>
    <n v="0.08"/>
  </r>
  <r>
    <x v="0"/>
    <x v="53"/>
    <n v="0.05"/>
  </r>
  <r>
    <x v="0"/>
    <x v="18"/>
    <n v="0.03"/>
  </r>
  <r>
    <x v="0"/>
    <x v="51"/>
    <n v="0.82"/>
  </r>
  <r>
    <x v="0"/>
    <x v="54"/>
    <n v="0.18"/>
  </r>
  <r>
    <x v="0"/>
    <x v="21"/>
    <n v="0.22"/>
  </r>
  <r>
    <x v="0"/>
    <x v="55"/>
    <n v="0.2"/>
  </r>
  <r>
    <x v="0"/>
    <x v="56"/>
    <n v="0.15"/>
  </r>
  <r>
    <x v="0"/>
    <x v="57"/>
    <n v="0.13"/>
  </r>
  <r>
    <x v="0"/>
    <x v="58"/>
    <n v="0.1"/>
  </r>
  <r>
    <x v="0"/>
    <x v="59"/>
    <n v="0.08"/>
  </r>
  <r>
    <x v="0"/>
    <x v="60"/>
    <n v="7.0000000000000007E-2"/>
  </r>
  <r>
    <x v="0"/>
    <x v="61"/>
    <n v="0.05"/>
  </r>
  <r>
    <x v="0"/>
    <x v="62"/>
    <n v="0.56000000000000005"/>
  </r>
  <r>
    <x v="0"/>
    <x v="63"/>
    <n v="0.2"/>
  </r>
  <r>
    <x v="0"/>
    <x v="58"/>
    <n v="0.14000000000000001"/>
  </r>
  <r>
    <x v="0"/>
    <x v="64"/>
    <n v="0.1"/>
  </r>
  <r>
    <x v="0"/>
    <x v="65"/>
    <n v="0.4"/>
  </r>
  <r>
    <x v="0"/>
    <x v="66"/>
    <n v="0.35"/>
  </r>
  <r>
    <x v="0"/>
    <x v="67"/>
    <n v="0.15"/>
  </r>
  <r>
    <x v="0"/>
    <x v="68"/>
    <n v="0.1"/>
  </r>
  <r>
    <x v="0"/>
    <x v="35"/>
    <n v="0.42"/>
  </r>
  <r>
    <x v="0"/>
    <x v="34"/>
    <n v="0.33"/>
  </r>
  <r>
    <x v="0"/>
    <x v="36"/>
    <n v="0.2"/>
  </r>
  <r>
    <x v="0"/>
    <x v="69"/>
    <n v="0.05"/>
  </r>
  <r>
    <x v="0"/>
    <x v="4"/>
    <n v="0.88"/>
  </r>
  <r>
    <x v="0"/>
    <x v="51"/>
    <n v="0.12"/>
  </r>
  <r>
    <x v="0"/>
    <x v="70"/>
    <n v="0.65"/>
  </r>
  <r>
    <x v="0"/>
    <x v="71"/>
    <n v="0.35"/>
  </r>
  <r>
    <x v="0"/>
    <x v="72"/>
    <n v="0.42"/>
  </r>
  <r>
    <x v="0"/>
    <x v="52"/>
    <n v="0.33"/>
  </r>
  <r>
    <x v="0"/>
    <x v="30"/>
    <n v="0.15"/>
  </r>
  <r>
    <x v="0"/>
    <x v="51"/>
    <n v="7.0000000000000007E-2"/>
  </r>
  <r>
    <x v="0"/>
    <x v="18"/>
    <n v="0.03"/>
  </r>
  <r>
    <x v="0"/>
    <x v="34"/>
    <n v="0.72"/>
  </r>
  <r>
    <x v="0"/>
    <x v="35"/>
    <n v="0.18"/>
  </r>
  <r>
    <x v="0"/>
    <x v="36"/>
    <n v="0.1"/>
  </r>
  <r>
    <x v="0"/>
    <x v="62"/>
    <n v="0.72"/>
  </r>
  <r>
    <x v="0"/>
    <x v="63"/>
    <n v="0.13"/>
  </r>
  <r>
    <x v="0"/>
    <x v="73"/>
    <n v="0.08"/>
  </r>
  <r>
    <x v="0"/>
    <x v="74"/>
    <n v="7.0000000000000007E-2"/>
  </r>
  <r>
    <x v="0"/>
    <x v="56"/>
    <n v="0.25"/>
  </r>
  <r>
    <x v="0"/>
    <x v="21"/>
    <n v="0.2"/>
  </r>
  <r>
    <x v="0"/>
    <x v="55"/>
    <n v="0.2"/>
  </r>
  <r>
    <x v="0"/>
    <x v="57"/>
    <n v="0.2"/>
  </r>
  <r>
    <x v="0"/>
    <x v="19"/>
    <n v="0.15"/>
  </r>
  <r>
    <x v="0"/>
    <x v="4"/>
    <n v="0.82"/>
  </r>
  <r>
    <x v="0"/>
    <x v="72"/>
    <n v="0.09"/>
  </r>
  <r>
    <x v="0"/>
    <x v="52"/>
    <n v="0.09"/>
  </r>
  <r>
    <x v="0"/>
    <x v="40"/>
    <n v="0.3"/>
  </r>
  <r>
    <x v="0"/>
    <x v="41"/>
    <n v="0.25"/>
  </r>
  <r>
    <x v="0"/>
    <x v="75"/>
    <n v="0.2"/>
  </r>
  <r>
    <x v="0"/>
    <x v="43"/>
    <n v="0.15"/>
  </r>
  <r>
    <x v="0"/>
    <x v="76"/>
    <n v="0.1"/>
  </r>
  <r>
    <x v="0"/>
    <x v="12"/>
    <n v="0.3"/>
  </r>
  <r>
    <x v="0"/>
    <x v="15"/>
    <n v="0.25"/>
  </r>
  <r>
    <x v="0"/>
    <x v="22"/>
    <n v="0.2"/>
  </r>
  <r>
    <x v="0"/>
    <x v="13"/>
    <n v="0.15"/>
  </r>
  <r>
    <x v="0"/>
    <x v="16"/>
    <n v="0.1"/>
  </r>
  <r>
    <x v="0"/>
    <x v="7"/>
    <n v="0.35"/>
  </r>
  <r>
    <x v="0"/>
    <x v="6"/>
    <n v="0.25"/>
  </r>
  <r>
    <x v="0"/>
    <x v="5"/>
    <n v="0.25"/>
  </r>
  <r>
    <x v="0"/>
    <x v="17"/>
    <n v="0.15"/>
  </r>
  <r>
    <x v="0"/>
    <x v="30"/>
    <n v="0.85"/>
  </r>
  <r>
    <x v="0"/>
    <x v="72"/>
    <n v="0.08"/>
  </r>
  <r>
    <x v="0"/>
    <x v="18"/>
    <n v="7.0000000000000007E-2"/>
  </r>
  <r>
    <x v="0"/>
    <x v="30"/>
    <n v="0.82"/>
  </r>
  <r>
    <x v="0"/>
    <x v="2"/>
    <n v="0.1"/>
  </r>
  <r>
    <x v="0"/>
    <x v="18"/>
    <n v="0.08"/>
  </r>
  <r>
    <x v="0"/>
    <x v="34"/>
    <n v="0.88"/>
  </r>
  <r>
    <x v="0"/>
    <x v="35"/>
    <n v="7.0000000000000007E-2"/>
  </r>
  <r>
    <x v="0"/>
    <x v="36"/>
    <n v="0.05"/>
  </r>
  <r>
    <x v="0"/>
    <x v="77"/>
    <n v="0.68"/>
  </r>
  <r>
    <x v="0"/>
    <x v="78"/>
    <n v="0.15"/>
  </r>
  <r>
    <x v="0"/>
    <x v="79"/>
    <n v="0.1"/>
  </r>
  <r>
    <x v="0"/>
    <x v="30"/>
    <n v="7.0000000000000007E-2"/>
  </r>
  <r>
    <x v="0"/>
    <x v="4"/>
    <n v="0.84"/>
  </r>
  <r>
    <x v="0"/>
    <x v="30"/>
    <n v="0.16"/>
  </r>
  <r>
    <x v="0"/>
    <x v="12"/>
    <n v="0.25"/>
  </r>
  <r>
    <x v="0"/>
    <x v="15"/>
    <n v="0.25"/>
  </r>
  <r>
    <x v="0"/>
    <x v="13"/>
    <n v="0.2"/>
  </r>
  <r>
    <x v="0"/>
    <x v="14"/>
    <n v="0.15"/>
  </r>
  <r>
    <x v="0"/>
    <x v="22"/>
    <n v="0.15"/>
  </r>
  <r>
    <x v="0"/>
    <x v="40"/>
    <n v="0.3"/>
  </r>
  <r>
    <x v="0"/>
    <x v="41"/>
    <n v="0.25"/>
  </r>
  <r>
    <x v="0"/>
    <x v="75"/>
    <n v="0.2"/>
  </r>
  <r>
    <x v="0"/>
    <x v="43"/>
    <n v="0.15"/>
  </r>
  <r>
    <x v="0"/>
    <x v="42"/>
    <n v="0.1"/>
  </r>
  <r>
    <x v="0"/>
    <x v="80"/>
    <n v="0.65"/>
  </r>
  <r>
    <x v="0"/>
    <x v="49"/>
    <n v="0.2"/>
  </r>
  <r>
    <x v="0"/>
    <x v="50"/>
    <n v="0.1"/>
  </r>
  <r>
    <x v="0"/>
    <x v="38"/>
    <n v="0.05"/>
  </r>
  <r>
    <x v="0"/>
    <x v="30"/>
    <n v="1"/>
  </r>
  <r>
    <x v="0"/>
    <x v="18"/>
    <n v="0.88"/>
  </r>
  <r>
    <x v="0"/>
    <x v="81"/>
    <n v="0.06"/>
  </r>
  <r>
    <x v="0"/>
    <x v="82"/>
    <n v="0.04"/>
  </r>
  <r>
    <x v="0"/>
    <x v="30"/>
    <n v="0.02"/>
  </r>
  <r>
    <x v="0"/>
    <x v="18"/>
    <n v="0.78"/>
  </r>
  <r>
    <x v="0"/>
    <x v="30"/>
    <n v="0.12"/>
  </r>
  <r>
    <x v="0"/>
    <x v="2"/>
    <n v="0.1"/>
  </r>
  <r>
    <x v="0"/>
    <x v="40"/>
    <n v="0.32"/>
  </r>
  <r>
    <x v="0"/>
    <x v="41"/>
    <n v="0.2"/>
  </r>
  <r>
    <x v="0"/>
    <x v="25"/>
    <n v="0.18"/>
  </r>
  <r>
    <x v="0"/>
    <x v="43"/>
    <n v="0.15"/>
  </r>
  <r>
    <x v="0"/>
    <x v="83"/>
    <n v="0.15"/>
  </r>
  <r>
    <x v="0"/>
    <x v="14"/>
    <n v="0.24"/>
  </r>
  <r>
    <x v="0"/>
    <x v="12"/>
    <n v="0.22"/>
  </r>
  <r>
    <x v="0"/>
    <x v="13"/>
    <n v="0.18"/>
  </r>
  <r>
    <x v="0"/>
    <x v="15"/>
    <n v="0.18"/>
  </r>
  <r>
    <x v="0"/>
    <x v="22"/>
    <n v="0.1"/>
  </r>
  <r>
    <x v="0"/>
    <x v="16"/>
    <n v="0.08"/>
  </r>
  <r>
    <x v="0"/>
    <x v="4"/>
    <n v="0.86"/>
  </r>
  <r>
    <x v="0"/>
    <x v="18"/>
    <n v="0.14000000000000001"/>
  </r>
  <r>
    <x v="0"/>
    <x v="19"/>
    <n v="0.3"/>
  </r>
  <r>
    <x v="0"/>
    <x v="20"/>
    <n v="0.25"/>
  </r>
  <r>
    <x v="0"/>
    <x v="84"/>
    <n v="0.2"/>
  </r>
  <r>
    <x v="0"/>
    <x v="21"/>
    <n v="0.15"/>
  </r>
  <r>
    <x v="0"/>
    <x v="57"/>
    <n v="0.1"/>
  </r>
  <r>
    <x v="0"/>
    <x v="6"/>
    <n v="0.4"/>
  </r>
  <r>
    <x v="0"/>
    <x v="5"/>
    <n v="0.3"/>
  </r>
  <r>
    <x v="0"/>
    <x v="7"/>
    <n v="0.2"/>
  </r>
  <r>
    <x v="0"/>
    <x v="17"/>
    <n v="0.1"/>
  </r>
  <r>
    <x v="0"/>
    <x v="34"/>
    <n v="0.45"/>
  </r>
  <r>
    <x v="0"/>
    <x v="35"/>
    <n v="0.3"/>
  </r>
  <r>
    <x v="0"/>
    <x v="36"/>
    <n v="0.25"/>
  </r>
  <r>
    <x v="0"/>
    <x v="18"/>
    <n v="1"/>
  </r>
  <r>
    <x v="0"/>
    <x v="81"/>
    <n v="0.76"/>
  </r>
  <r>
    <x v="0"/>
    <x v="18"/>
    <n v="0.16"/>
  </r>
  <r>
    <x v="0"/>
    <x v="82"/>
    <n v="0.08"/>
  </r>
  <r>
    <x v="0"/>
    <x v="85"/>
    <n v="0.24"/>
  </r>
  <r>
    <x v="0"/>
    <x v="76"/>
    <n v="0.18"/>
  </r>
  <r>
    <x v="0"/>
    <x v="83"/>
    <n v="0.16"/>
  </r>
  <r>
    <x v="0"/>
    <x v="40"/>
    <n v="0.14000000000000001"/>
  </r>
  <r>
    <x v="0"/>
    <x v="41"/>
    <n v="0.14000000000000001"/>
  </r>
  <r>
    <x v="0"/>
    <x v="13"/>
    <n v="0.14000000000000001"/>
  </r>
  <r>
    <x v="0"/>
    <x v="12"/>
    <n v="0.28000000000000003"/>
  </r>
  <r>
    <x v="0"/>
    <x v="13"/>
    <n v="0.2"/>
  </r>
  <r>
    <x v="0"/>
    <x v="14"/>
    <n v="0.18"/>
  </r>
  <r>
    <x v="0"/>
    <x v="15"/>
    <n v="0.14000000000000001"/>
  </r>
  <r>
    <x v="0"/>
    <x v="22"/>
    <n v="0.1"/>
  </r>
  <r>
    <x v="0"/>
    <x v="16"/>
    <n v="0.1"/>
  </r>
  <r>
    <x v="0"/>
    <x v="4"/>
    <n v="0.82"/>
  </r>
  <r>
    <x v="0"/>
    <x v="81"/>
    <n v="0.18"/>
  </r>
  <r>
    <x v="0"/>
    <x v="20"/>
    <n v="0.3"/>
  </r>
  <r>
    <x v="0"/>
    <x v="19"/>
    <n v="0.25"/>
  </r>
  <r>
    <x v="0"/>
    <x v="21"/>
    <n v="0.2"/>
  </r>
  <r>
    <x v="0"/>
    <x v="57"/>
    <n v="0.15"/>
  </r>
  <r>
    <x v="0"/>
    <x v="55"/>
    <n v="0.1"/>
  </r>
  <r>
    <x v="0"/>
    <x v="6"/>
    <n v="0.4"/>
  </r>
  <r>
    <x v="0"/>
    <x v="5"/>
    <n v="0.3"/>
  </r>
  <r>
    <x v="0"/>
    <x v="7"/>
    <n v="0.2"/>
  </r>
  <r>
    <x v="0"/>
    <x v="17"/>
    <n v="0.1"/>
  </r>
  <r>
    <x v="0"/>
    <x v="82"/>
    <n v="0.54"/>
  </r>
  <r>
    <x v="0"/>
    <x v="53"/>
    <n v="0.21"/>
  </r>
  <r>
    <x v="0"/>
    <x v="18"/>
    <n v="0.12"/>
  </r>
  <r>
    <x v="0"/>
    <x v="51"/>
    <n v="0.08"/>
  </r>
  <r>
    <x v="0"/>
    <x v="81"/>
    <n v="0.05"/>
  </r>
  <r>
    <x v="0"/>
    <x v="86"/>
    <n v="0.72"/>
  </r>
  <r>
    <x v="0"/>
    <x v="54"/>
    <n v="0.28000000000000003"/>
  </r>
  <r>
    <x v="0"/>
    <x v="15"/>
    <n v="0.28000000000000003"/>
  </r>
  <r>
    <x v="0"/>
    <x v="22"/>
    <n v="0.23"/>
  </r>
  <r>
    <x v="0"/>
    <x v="12"/>
    <n v="0.17"/>
  </r>
  <r>
    <x v="0"/>
    <x v="13"/>
    <n v="0.12"/>
  </r>
  <r>
    <x v="0"/>
    <x v="14"/>
    <n v="0.1"/>
  </r>
  <r>
    <x v="0"/>
    <x v="16"/>
    <n v="0.1"/>
  </r>
  <r>
    <x v="0"/>
    <x v="4"/>
    <n v="0.82"/>
  </r>
  <r>
    <x v="0"/>
    <x v="82"/>
    <n v="0.18"/>
  </r>
  <r>
    <x v="0"/>
    <x v="87"/>
    <n v="0.28000000000000003"/>
  </r>
  <r>
    <x v="0"/>
    <x v="21"/>
    <n v="0.22"/>
  </r>
  <r>
    <x v="0"/>
    <x v="19"/>
    <n v="0.18"/>
  </r>
  <r>
    <x v="0"/>
    <x v="20"/>
    <n v="0.18"/>
  </r>
  <r>
    <x v="0"/>
    <x v="57"/>
    <n v="0.14000000000000001"/>
  </r>
  <r>
    <x v="0"/>
    <x v="34"/>
    <n v="0.45"/>
  </r>
  <r>
    <x v="0"/>
    <x v="36"/>
    <n v="0.3"/>
  </r>
  <r>
    <x v="0"/>
    <x v="35"/>
    <n v="0.25"/>
  </r>
  <r>
    <x v="0"/>
    <x v="41"/>
    <n v="0.25"/>
  </r>
  <r>
    <x v="0"/>
    <x v="85"/>
    <n v="0.2"/>
  </r>
  <r>
    <x v="0"/>
    <x v="40"/>
    <n v="0.2"/>
  </r>
  <r>
    <x v="0"/>
    <x v="43"/>
    <n v="0.2"/>
  </r>
  <r>
    <x v="0"/>
    <x v="83"/>
    <n v="0.15"/>
  </r>
  <r>
    <x v="0"/>
    <x v="71"/>
    <n v="1"/>
  </r>
  <r>
    <x v="0"/>
    <x v="71"/>
    <n v="0.85"/>
  </r>
  <r>
    <x v="0"/>
    <x v="54"/>
    <n v="0.15"/>
  </r>
  <r>
    <x v="0"/>
    <x v="34"/>
    <n v="0.78"/>
  </r>
  <r>
    <x v="0"/>
    <x v="35"/>
    <n v="0.12"/>
  </r>
  <r>
    <x v="0"/>
    <x v="36"/>
    <n v="0.1"/>
  </r>
  <r>
    <x v="0"/>
    <x v="88"/>
    <n v="0.3"/>
  </r>
  <r>
    <x v="0"/>
    <x v="89"/>
    <n v="0.3"/>
  </r>
  <r>
    <x v="0"/>
    <x v="90"/>
    <n v="0.2"/>
  </r>
  <r>
    <x v="0"/>
    <x v="91"/>
    <n v="0.2"/>
  </r>
  <r>
    <x v="0"/>
    <x v="90"/>
    <n v="0.45"/>
  </r>
  <r>
    <x v="0"/>
    <x v="92"/>
    <n v="0.3"/>
  </r>
  <r>
    <x v="0"/>
    <x v="93"/>
    <n v="0.15"/>
  </r>
  <r>
    <x v="0"/>
    <x v="88"/>
    <n v="0.1"/>
  </r>
  <r>
    <x v="0"/>
    <x v="94"/>
    <n v="0.35"/>
  </r>
  <r>
    <x v="0"/>
    <x v="95"/>
    <n v="0.2"/>
  </r>
  <r>
    <x v="0"/>
    <x v="96"/>
    <n v="0.2"/>
  </r>
  <r>
    <x v="0"/>
    <x v="97"/>
    <n v="0.15"/>
  </r>
  <r>
    <x v="0"/>
    <x v="91"/>
    <n v="0.1"/>
  </r>
  <r>
    <x v="0"/>
    <x v="21"/>
    <n v="0.3"/>
  </r>
  <r>
    <x v="0"/>
    <x v="55"/>
    <n v="0.2"/>
  </r>
  <r>
    <x v="0"/>
    <x v="20"/>
    <n v="0.2"/>
  </r>
  <r>
    <x v="0"/>
    <x v="59"/>
    <n v="0.15"/>
  </r>
  <r>
    <x v="0"/>
    <x v="45"/>
    <n v="0.15"/>
  </r>
  <r>
    <x v="0"/>
    <x v="91"/>
    <n v="0.5"/>
  </r>
  <r>
    <x v="0"/>
    <x v="98"/>
    <n v="0.25"/>
  </r>
  <r>
    <x v="0"/>
    <x v="99"/>
    <n v="0.25"/>
  </r>
  <r>
    <x v="0"/>
    <x v="70"/>
    <n v="1"/>
  </r>
  <r>
    <x v="0"/>
    <x v="100"/>
    <n v="0.3"/>
  </r>
  <r>
    <x v="0"/>
    <x v="59"/>
    <n v="0.2"/>
  </r>
  <r>
    <x v="0"/>
    <x v="87"/>
    <n v="0.2"/>
  </r>
  <r>
    <x v="0"/>
    <x v="21"/>
    <n v="0.15"/>
  </r>
  <r>
    <x v="0"/>
    <x v="55"/>
    <n v="0.15"/>
  </r>
  <r>
    <x v="0"/>
    <x v="101"/>
    <n v="0.27"/>
  </r>
  <r>
    <x v="0"/>
    <x v="70"/>
    <n v="0.1"/>
  </r>
  <r>
    <x v="0"/>
    <x v="87"/>
    <n v="0.05"/>
  </r>
  <r>
    <x v="0"/>
    <x v="87"/>
    <n v="0.7"/>
  </r>
  <r>
    <x v="0"/>
    <x v="102"/>
    <n v="0.2"/>
  </r>
  <r>
    <x v="0"/>
    <x v="70"/>
    <n v="0.1"/>
  </r>
  <r>
    <x v="0"/>
    <x v="103"/>
    <n v="0.9"/>
  </r>
  <r>
    <x v="0"/>
    <x v="70"/>
    <n v="0.1"/>
  </r>
  <r>
    <x v="0"/>
    <x v="34"/>
    <n v="0.7"/>
  </r>
  <r>
    <x v="0"/>
    <x v="35"/>
    <n v="0.2"/>
  </r>
  <r>
    <x v="0"/>
    <x v="36"/>
    <n v="0.1"/>
  </r>
  <r>
    <x v="0"/>
    <x v="89"/>
    <n v="0.4"/>
  </r>
  <r>
    <x v="0"/>
    <x v="88"/>
    <n v="0.25"/>
  </r>
  <r>
    <x v="0"/>
    <x v="103"/>
    <n v="0.2"/>
  </r>
  <r>
    <x v="0"/>
    <x v="104"/>
    <n v="0.15"/>
  </r>
  <r>
    <x v="0"/>
    <x v="54"/>
    <n v="0.88"/>
  </r>
  <r>
    <x v="0"/>
    <x v="105"/>
    <n v="0.02"/>
  </r>
  <r>
    <x v="0"/>
    <x v="86"/>
    <n v="0.04"/>
  </r>
  <r>
    <x v="0"/>
    <x v="106"/>
    <n v="0.03"/>
  </r>
  <r>
    <x v="0"/>
    <x v="14"/>
    <n v="0.03"/>
  </r>
  <r>
    <x v="0"/>
    <x v="54"/>
    <n v="0.72"/>
  </r>
  <r>
    <x v="0"/>
    <x v="81"/>
    <n v="0.13"/>
  </r>
  <r>
    <x v="0"/>
    <x v="82"/>
    <n v="0.1"/>
  </r>
  <r>
    <x v="0"/>
    <x v="18"/>
    <n v="0.05"/>
  </r>
  <r>
    <x v="0"/>
    <x v="34"/>
    <n v="0.55000000000000004"/>
  </r>
  <r>
    <x v="0"/>
    <x v="36"/>
    <n v="0.25"/>
  </r>
  <r>
    <x v="0"/>
    <x v="35"/>
    <n v="0.15"/>
  </r>
  <r>
    <x v="0"/>
    <x v="69"/>
    <n v="0.05"/>
  </r>
  <r>
    <x v="0"/>
    <x v="22"/>
    <n v="0.28000000000000003"/>
  </r>
  <r>
    <x v="0"/>
    <x v="14"/>
    <n v="0.2"/>
  </r>
  <r>
    <x v="0"/>
    <x v="13"/>
    <n v="0.16"/>
  </r>
  <r>
    <x v="0"/>
    <x v="12"/>
    <n v="0.14000000000000001"/>
  </r>
  <r>
    <x v="0"/>
    <x v="15"/>
    <n v="0.12"/>
  </r>
  <r>
    <x v="0"/>
    <x v="16"/>
    <n v="0.1"/>
  </r>
  <r>
    <x v="0"/>
    <x v="21"/>
    <n v="0.28000000000000003"/>
  </r>
  <r>
    <x v="0"/>
    <x v="20"/>
    <n v="0.24"/>
  </r>
  <r>
    <x v="0"/>
    <x v="19"/>
    <n v="0.18"/>
  </r>
  <r>
    <x v="0"/>
    <x v="57"/>
    <n v="0.15"/>
  </r>
  <r>
    <x v="0"/>
    <x v="55"/>
    <n v="0.15"/>
  </r>
  <r>
    <x v="0"/>
    <x v="7"/>
    <n v="0.35"/>
  </r>
  <r>
    <x v="0"/>
    <x v="6"/>
    <n v="0.3"/>
  </r>
  <r>
    <x v="0"/>
    <x v="17"/>
    <n v="0.2"/>
  </r>
  <r>
    <x v="0"/>
    <x v="5"/>
    <n v="0.15"/>
  </r>
  <r>
    <x v="0"/>
    <x v="4"/>
    <n v="0.85"/>
  </r>
  <r>
    <x v="0"/>
    <x v="54"/>
    <n v="0.15"/>
  </r>
  <r>
    <x v="0"/>
    <x v="104"/>
    <n v="0.4"/>
  </r>
  <r>
    <x v="0"/>
    <x v="103"/>
    <n v="0.25"/>
  </r>
  <r>
    <x v="0"/>
    <x v="107"/>
    <n v="0.2"/>
  </r>
  <r>
    <x v="0"/>
    <x v="89"/>
    <n v="0.15"/>
  </r>
  <r>
    <x v="0"/>
    <x v="40"/>
    <n v="0.97"/>
  </r>
  <r>
    <x v="0"/>
    <x v="83"/>
    <n v="0.03"/>
  </r>
  <r>
    <x v="0"/>
    <x v="40"/>
    <n v="0.72"/>
  </r>
  <r>
    <x v="0"/>
    <x v="18"/>
    <n v="0.18"/>
  </r>
  <r>
    <x v="0"/>
    <x v="83"/>
    <n v="0.1"/>
  </r>
  <r>
    <x v="0"/>
    <x v="40"/>
    <n v="0.75"/>
  </r>
  <r>
    <x v="0"/>
    <x v="42"/>
    <n v="0.15"/>
  </r>
  <r>
    <x v="0"/>
    <x v="3"/>
    <n v="0.1"/>
  </r>
  <r>
    <x v="0"/>
    <x v="14"/>
    <n v="0.3"/>
  </r>
  <r>
    <x v="0"/>
    <x v="13"/>
    <n v="0.25"/>
  </r>
  <r>
    <x v="0"/>
    <x v="12"/>
    <n v="0.2"/>
  </r>
  <r>
    <x v="0"/>
    <x v="41"/>
    <n v="0.15"/>
  </r>
  <r>
    <x v="0"/>
    <x v="85"/>
    <n v="0.1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83"/>
    <n v="0.85"/>
  </r>
  <r>
    <x v="0"/>
    <x v="76"/>
    <n v="0.1"/>
  </r>
  <r>
    <x v="0"/>
    <x v="18"/>
    <n v="0.03"/>
  </r>
  <r>
    <x v="0"/>
    <x v="81"/>
    <n v="0.02"/>
  </r>
  <r>
    <x v="0"/>
    <x v="83"/>
    <n v="0.56000000000000005"/>
  </r>
  <r>
    <x v="0"/>
    <x v="76"/>
    <n v="0.2"/>
  </r>
  <r>
    <x v="0"/>
    <x v="40"/>
    <n v="0.14000000000000001"/>
  </r>
  <r>
    <x v="0"/>
    <x v="43"/>
    <n v="0.1"/>
  </r>
  <r>
    <x v="0"/>
    <x v="83"/>
    <n v="0.7"/>
  </r>
  <r>
    <x v="0"/>
    <x v="18"/>
    <n v="0.15"/>
  </r>
  <r>
    <x v="0"/>
    <x v="40"/>
    <n v="0.15"/>
  </r>
  <r>
    <x v="0"/>
    <x v="76"/>
    <n v="0.25"/>
  </r>
  <r>
    <x v="0"/>
    <x v="13"/>
    <n v="0.25"/>
  </r>
  <r>
    <x v="0"/>
    <x v="14"/>
    <n v="0.2"/>
  </r>
  <r>
    <x v="0"/>
    <x v="12"/>
    <n v="0.15"/>
  </r>
  <r>
    <x v="0"/>
    <x v="41"/>
    <n v="0.15"/>
  </r>
  <r>
    <x v="0"/>
    <x v="108"/>
    <n v="0.9"/>
  </r>
  <r>
    <x v="0"/>
    <x v="83"/>
    <n v="0.1"/>
  </r>
  <r>
    <x v="0"/>
    <x v="76"/>
    <n v="0.55000000000000004"/>
  </r>
  <r>
    <x v="0"/>
    <x v="83"/>
    <n v="0.45"/>
  </r>
  <r>
    <x v="0"/>
    <x v="76"/>
    <n v="0.79"/>
  </r>
  <r>
    <x v="0"/>
    <x v="83"/>
    <n v="0.1"/>
  </r>
  <r>
    <x v="0"/>
    <x v="85"/>
    <n v="0.06"/>
  </r>
  <r>
    <x v="0"/>
    <x v="40"/>
    <n v="0.05"/>
  </r>
  <r>
    <x v="0"/>
    <x v="76"/>
    <n v="0.56000000000000005"/>
  </r>
  <r>
    <x v="0"/>
    <x v="83"/>
    <n v="0.2"/>
  </r>
  <r>
    <x v="0"/>
    <x v="81"/>
    <n v="0.14000000000000001"/>
  </r>
  <r>
    <x v="0"/>
    <x v="85"/>
    <n v="0.1"/>
  </r>
  <r>
    <x v="0"/>
    <x v="85"/>
    <n v="0.25"/>
  </r>
  <r>
    <x v="0"/>
    <x v="13"/>
    <n v="0.2"/>
  </r>
  <r>
    <x v="0"/>
    <x v="14"/>
    <n v="0.2"/>
  </r>
  <r>
    <x v="0"/>
    <x v="12"/>
    <n v="0.2"/>
  </r>
  <r>
    <x v="0"/>
    <x v="41"/>
    <n v="0.15"/>
  </r>
  <r>
    <x v="0"/>
    <x v="76"/>
    <n v="0.7"/>
  </r>
  <r>
    <x v="0"/>
    <x v="40"/>
    <n v="0.2"/>
  </r>
  <r>
    <x v="0"/>
    <x v="83"/>
    <n v="0.1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4"/>
    <n v="0.85"/>
  </r>
  <r>
    <x v="0"/>
    <x v="76"/>
    <n v="0.15"/>
  </r>
  <r>
    <x v="0"/>
    <x v="85"/>
    <n v="0.87"/>
  </r>
  <r>
    <x v="0"/>
    <x v="41"/>
    <n v="0.05"/>
  </r>
  <r>
    <x v="0"/>
    <x v="76"/>
    <n v="0.04"/>
  </r>
  <r>
    <x v="0"/>
    <x v="13"/>
    <n v="0.04"/>
  </r>
  <r>
    <x v="0"/>
    <x v="85"/>
    <n v="0.56000000000000005"/>
  </r>
  <r>
    <x v="0"/>
    <x v="81"/>
    <n v="0.2"/>
  </r>
  <r>
    <x v="0"/>
    <x v="76"/>
    <n v="0.14000000000000001"/>
  </r>
  <r>
    <x v="0"/>
    <x v="83"/>
    <n v="0.1"/>
  </r>
  <r>
    <x v="0"/>
    <x v="13"/>
    <n v="0.3"/>
  </r>
  <r>
    <x v="0"/>
    <x v="14"/>
    <n v="0.2"/>
  </r>
  <r>
    <x v="0"/>
    <x v="12"/>
    <n v="0.2"/>
  </r>
  <r>
    <x v="0"/>
    <x v="41"/>
    <n v="0.15"/>
  </r>
  <r>
    <x v="0"/>
    <x v="16"/>
    <n v="0.15"/>
  </r>
  <r>
    <x v="0"/>
    <x v="4"/>
    <n v="0.75"/>
  </r>
  <r>
    <x v="0"/>
    <x v="85"/>
    <n v="0.25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09"/>
    <n v="0.45"/>
  </r>
  <r>
    <x v="0"/>
    <x v="110"/>
    <n v="0.3"/>
  </r>
  <r>
    <x v="0"/>
    <x v="111"/>
    <n v="0.25"/>
  </r>
  <r>
    <x v="0"/>
    <x v="41"/>
    <n v="0.89"/>
  </r>
  <r>
    <x v="0"/>
    <x v="112"/>
    <n v="0.06"/>
  </r>
  <r>
    <x v="0"/>
    <x v="13"/>
    <n v="0.03"/>
  </r>
  <r>
    <x v="0"/>
    <x v="85"/>
    <n v="0.02"/>
  </r>
  <r>
    <x v="0"/>
    <x v="13"/>
    <n v="0.25"/>
  </r>
  <r>
    <x v="0"/>
    <x v="75"/>
    <n v="0.25"/>
  </r>
  <r>
    <x v="0"/>
    <x v="22"/>
    <n v="0.15"/>
  </r>
  <r>
    <x v="0"/>
    <x v="16"/>
    <n v="0.15"/>
  </r>
  <r>
    <x v="0"/>
    <x v="14"/>
    <n v="0.1"/>
  </r>
  <r>
    <x v="0"/>
    <x v="12"/>
    <n v="0.1"/>
  </r>
  <r>
    <x v="0"/>
    <x v="85"/>
    <n v="0.45"/>
  </r>
  <r>
    <x v="0"/>
    <x v="41"/>
    <n v="0.35"/>
  </r>
  <r>
    <x v="0"/>
    <x v="81"/>
    <n v="0.1"/>
  </r>
  <r>
    <x v="0"/>
    <x v="76"/>
    <n v="0.1"/>
  </r>
  <r>
    <x v="0"/>
    <x v="4"/>
    <n v="0.7"/>
  </r>
  <r>
    <x v="0"/>
    <x v="41"/>
    <n v="0.3"/>
  </r>
  <r>
    <x v="0"/>
    <x v="6"/>
    <n v="0.35"/>
  </r>
  <r>
    <x v="0"/>
    <x v="7"/>
    <n v="0.25"/>
  </r>
  <r>
    <x v="0"/>
    <x v="5"/>
    <n v="0.25"/>
  </r>
  <r>
    <x v="0"/>
    <x v="17"/>
    <n v="0.15"/>
  </r>
  <r>
    <x v="0"/>
    <x v="109"/>
    <n v="0.45"/>
  </r>
  <r>
    <x v="0"/>
    <x v="110"/>
    <n v="0.35"/>
  </r>
  <r>
    <x v="0"/>
    <x v="111"/>
    <n v="0.2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41"/>
    <n v="0.7"/>
  </r>
  <r>
    <x v="0"/>
    <x v="112"/>
    <n v="0.2"/>
  </r>
  <r>
    <x v="0"/>
    <x v="43"/>
    <n v="0.1"/>
  </r>
  <r>
    <x v="0"/>
    <x v="106"/>
    <n v="0.78"/>
  </r>
  <r>
    <x v="0"/>
    <x v="14"/>
    <n v="0.1"/>
  </r>
  <r>
    <x v="0"/>
    <x v="81"/>
    <n v="7.0000000000000007E-2"/>
  </r>
  <r>
    <x v="0"/>
    <x v="54"/>
    <n v="0.05"/>
  </r>
  <r>
    <x v="0"/>
    <x v="106"/>
    <n v="0.57999999999999996"/>
  </r>
  <r>
    <x v="0"/>
    <x v="14"/>
    <n v="0.2"/>
  </r>
  <r>
    <x v="0"/>
    <x v="13"/>
    <n v="0.1"/>
  </r>
  <r>
    <x v="0"/>
    <x v="12"/>
    <n v="7.0000000000000007E-2"/>
  </r>
  <r>
    <x v="0"/>
    <x v="54"/>
    <n v="0.05"/>
  </r>
  <r>
    <x v="0"/>
    <x v="54"/>
    <n v="0.45"/>
  </r>
  <r>
    <x v="0"/>
    <x v="106"/>
    <n v="0.4"/>
  </r>
  <r>
    <x v="0"/>
    <x v="14"/>
    <n v="0.15"/>
  </r>
  <r>
    <x v="0"/>
    <x v="14"/>
    <n v="0.35"/>
  </r>
  <r>
    <x v="0"/>
    <x v="85"/>
    <n v="0.25"/>
  </r>
  <r>
    <x v="0"/>
    <x v="76"/>
    <n v="0.2"/>
  </r>
  <r>
    <x v="0"/>
    <x v="106"/>
    <n v="0.2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2"/>
    <n v="0.35"/>
  </r>
  <r>
    <x v="0"/>
    <x v="13"/>
    <n v="0.25"/>
  </r>
  <r>
    <x v="0"/>
    <x v="14"/>
    <n v="0.2"/>
  </r>
  <r>
    <x v="0"/>
    <x v="15"/>
    <n v="0.2"/>
  </r>
  <r>
    <x v="0"/>
    <x v="13"/>
    <n v="0.5"/>
  </r>
  <r>
    <x v="0"/>
    <x v="14"/>
    <n v="0.3"/>
  </r>
  <r>
    <x v="0"/>
    <x v="12"/>
    <n v="0.2"/>
  </r>
  <r>
    <x v="0"/>
    <x v="43"/>
    <n v="0.87"/>
  </r>
  <r>
    <x v="0"/>
    <x v="113"/>
    <n v="0.05"/>
  </r>
  <r>
    <x v="0"/>
    <x v="112"/>
    <n v="0.04"/>
  </r>
  <r>
    <x v="0"/>
    <x v="25"/>
    <n v="0.04"/>
  </r>
  <r>
    <x v="0"/>
    <x v="40"/>
    <n v="0.35"/>
  </r>
  <r>
    <x v="0"/>
    <x v="43"/>
    <n v="0.3"/>
  </r>
  <r>
    <x v="0"/>
    <x v="76"/>
    <n v="0.15"/>
  </r>
  <r>
    <x v="0"/>
    <x v="85"/>
    <n v="0.1"/>
  </r>
  <r>
    <x v="0"/>
    <x v="41"/>
    <n v="0.1"/>
  </r>
  <r>
    <x v="0"/>
    <x v="43"/>
    <n v="0.6"/>
  </r>
  <r>
    <x v="0"/>
    <x v="113"/>
    <n v="0.2"/>
  </r>
  <r>
    <x v="0"/>
    <x v="42"/>
    <n v="0.1"/>
  </r>
  <r>
    <x v="0"/>
    <x v="40"/>
    <n v="0.1"/>
  </r>
  <r>
    <x v="0"/>
    <x v="41"/>
    <n v="0.25"/>
  </r>
  <r>
    <x v="0"/>
    <x v="112"/>
    <n v="0.25"/>
  </r>
  <r>
    <x v="0"/>
    <x v="75"/>
    <n v="0.2"/>
  </r>
  <r>
    <x v="0"/>
    <x v="13"/>
    <n v="0.15"/>
  </r>
  <r>
    <x v="0"/>
    <x v="22"/>
    <n v="0.15"/>
  </r>
  <r>
    <x v="0"/>
    <x v="4"/>
    <n v="0.65"/>
  </r>
  <r>
    <x v="0"/>
    <x v="43"/>
    <n v="0.35"/>
  </r>
  <r>
    <x v="0"/>
    <x v="109"/>
    <n v="0.4"/>
  </r>
  <r>
    <x v="0"/>
    <x v="110"/>
    <n v="0.35"/>
  </r>
  <r>
    <x v="0"/>
    <x v="111"/>
    <n v="0.25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4"/>
    <n v="0.88"/>
  </r>
  <r>
    <x v="0"/>
    <x v="12"/>
    <n v="0.05"/>
  </r>
  <r>
    <x v="0"/>
    <x v="13"/>
    <n v="0.03"/>
  </r>
  <r>
    <x v="0"/>
    <x v="106"/>
    <n v="0.02"/>
  </r>
  <r>
    <x v="0"/>
    <x v="114"/>
    <n v="0.02"/>
  </r>
  <r>
    <x v="0"/>
    <x v="54"/>
    <n v="0.4"/>
  </r>
  <r>
    <x v="0"/>
    <x v="14"/>
    <n v="0.35"/>
  </r>
  <r>
    <x v="0"/>
    <x v="106"/>
    <n v="0.15"/>
  </r>
  <r>
    <x v="0"/>
    <x v="114"/>
    <n v="0.1"/>
  </r>
  <r>
    <x v="0"/>
    <x v="106"/>
    <n v="0.35"/>
  </r>
  <r>
    <x v="0"/>
    <x v="81"/>
    <n v="0.25"/>
  </r>
  <r>
    <x v="0"/>
    <x v="14"/>
    <n v="0.25"/>
  </r>
  <r>
    <x v="0"/>
    <x v="85"/>
    <n v="0.15"/>
  </r>
  <r>
    <x v="0"/>
    <x v="13"/>
    <n v="0.35"/>
  </r>
  <r>
    <x v="0"/>
    <x v="85"/>
    <n v="0.25"/>
  </r>
  <r>
    <x v="0"/>
    <x v="12"/>
    <n v="0.2"/>
  </r>
  <r>
    <x v="0"/>
    <x v="14"/>
    <n v="0.2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4"/>
    <n v="0.75"/>
  </r>
  <r>
    <x v="0"/>
    <x v="14"/>
    <n v="0.25"/>
  </r>
  <r>
    <x v="0"/>
    <x v="12"/>
    <n v="0.45"/>
  </r>
  <r>
    <x v="0"/>
    <x v="13"/>
    <n v="0.2"/>
  </r>
  <r>
    <x v="0"/>
    <x v="15"/>
    <n v="0.15"/>
  </r>
  <r>
    <x v="0"/>
    <x v="16"/>
    <n v="0.1"/>
  </r>
  <r>
    <x v="0"/>
    <x v="22"/>
    <n v="0.1"/>
  </r>
  <r>
    <x v="0"/>
    <x v="13"/>
    <n v="0.84"/>
  </r>
  <r>
    <x v="0"/>
    <x v="12"/>
    <n v="0.06"/>
  </r>
  <r>
    <x v="0"/>
    <x v="114"/>
    <n v="0.05"/>
  </r>
  <r>
    <x v="0"/>
    <x v="14"/>
    <n v="0.03"/>
  </r>
  <r>
    <x v="0"/>
    <x v="16"/>
    <n v="0.02"/>
  </r>
  <r>
    <x v="0"/>
    <x v="13"/>
    <n v="0.5"/>
  </r>
  <r>
    <x v="0"/>
    <x v="41"/>
    <n v="0.2"/>
  </r>
  <r>
    <x v="0"/>
    <x v="85"/>
    <n v="0.15"/>
  </r>
  <r>
    <x v="0"/>
    <x v="75"/>
    <n v="0.15"/>
  </r>
  <r>
    <x v="0"/>
    <x v="85"/>
    <n v="0.3"/>
  </r>
  <r>
    <x v="0"/>
    <x v="13"/>
    <n v="0.3"/>
  </r>
  <r>
    <x v="0"/>
    <x v="14"/>
    <n v="0.2"/>
  </r>
  <r>
    <x v="0"/>
    <x v="81"/>
    <n v="0.2"/>
  </r>
  <r>
    <x v="0"/>
    <x v="4"/>
    <n v="0.75"/>
  </r>
  <r>
    <x v="0"/>
    <x v="13"/>
    <n v="0.25"/>
  </r>
  <r>
    <x v="0"/>
    <x v="12"/>
    <n v="0.35"/>
  </r>
  <r>
    <x v="0"/>
    <x v="114"/>
    <n v="0.25"/>
  </r>
  <r>
    <x v="0"/>
    <x v="15"/>
    <n v="0.2"/>
  </r>
  <r>
    <x v="0"/>
    <x v="16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2"/>
    <n v="0.72"/>
  </r>
  <r>
    <x v="0"/>
    <x v="13"/>
    <n v="0.12"/>
  </r>
  <r>
    <x v="0"/>
    <x v="14"/>
    <n v="0.1"/>
  </r>
  <r>
    <x v="0"/>
    <x v="114"/>
    <n v="0.06"/>
  </r>
  <r>
    <x v="0"/>
    <x v="13"/>
    <n v="0.4"/>
  </r>
  <r>
    <x v="0"/>
    <x v="12"/>
    <n v="0.35"/>
  </r>
  <r>
    <x v="0"/>
    <x v="14"/>
    <n v="0.15"/>
  </r>
  <r>
    <x v="0"/>
    <x v="114"/>
    <n v="0.1"/>
  </r>
  <r>
    <x v="0"/>
    <x v="14"/>
    <n v="0.4"/>
  </r>
  <r>
    <x v="0"/>
    <x v="12"/>
    <n v="0.35"/>
  </r>
  <r>
    <x v="0"/>
    <x v="114"/>
    <n v="0.15"/>
  </r>
  <r>
    <x v="0"/>
    <x v="54"/>
    <n v="0.1"/>
  </r>
  <r>
    <x v="0"/>
    <x v="115"/>
    <n v="0.55000000000000004"/>
  </r>
  <r>
    <x v="0"/>
    <x v="4"/>
    <n v="0.25"/>
  </r>
  <r>
    <x v="0"/>
    <x v="12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4"/>
    <n v="0.75"/>
  </r>
  <r>
    <x v="0"/>
    <x v="12"/>
    <n v="0.25"/>
  </r>
  <r>
    <x v="0"/>
    <x v="15"/>
    <n v="0.35"/>
  </r>
  <r>
    <x v="0"/>
    <x v="13"/>
    <n v="0.25"/>
  </r>
  <r>
    <x v="0"/>
    <x v="14"/>
    <n v="0.2"/>
  </r>
  <r>
    <x v="0"/>
    <x v="22"/>
    <n v="0.2"/>
  </r>
  <r>
    <x v="0"/>
    <x v="75"/>
    <n v="0.84"/>
  </r>
  <r>
    <x v="0"/>
    <x v="16"/>
    <n v="0.06"/>
  </r>
  <r>
    <x v="0"/>
    <x v="13"/>
    <n v="0.05"/>
  </r>
  <r>
    <x v="0"/>
    <x v="41"/>
    <n v="0.05"/>
  </r>
  <r>
    <x v="0"/>
    <x v="75"/>
    <n v="0.55000000000000004"/>
  </r>
  <r>
    <x v="0"/>
    <x v="41"/>
    <n v="0.2"/>
  </r>
  <r>
    <x v="0"/>
    <x v="13"/>
    <n v="0.1"/>
  </r>
  <r>
    <x v="0"/>
    <x v="4"/>
    <n v="0.1"/>
  </r>
  <r>
    <x v="0"/>
    <x v="16"/>
    <n v="0.05"/>
  </r>
  <r>
    <x v="0"/>
    <x v="4"/>
    <n v="0.72"/>
  </r>
  <r>
    <x v="0"/>
    <x v="75"/>
    <n v="0.28000000000000003"/>
  </r>
  <r>
    <x v="0"/>
    <x v="41"/>
    <n v="0.35"/>
  </r>
  <r>
    <x v="0"/>
    <x v="13"/>
    <n v="0.25"/>
  </r>
  <r>
    <x v="0"/>
    <x v="85"/>
    <n v="0.2"/>
  </r>
  <r>
    <x v="0"/>
    <x v="7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16"/>
    <n v="0.3"/>
  </r>
  <r>
    <x v="0"/>
    <x v="13"/>
    <n v="0.2"/>
  </r>
  <r>
    <x v="0"/>
    <x v="22"/>
    <n v="0.15"/>
  </r>
  <r>
    <x v="0"/>
    <x v="15"/>
    <n v="0.15"/>
  </r>
  <r>
    <x v="0"/>
    <x v="41"/>
    <n v="0.1"/>
  </r>
  <r>
    <x v="0"/>
    <x v="116"/>
    <n v="0.1"/>
  </r>
  <r>
    <x v="0"/>
    <x v="109"/>
    <n v="0.45"/>
  </r>
  <r>
    <x v="0"/>
    <x v="110"/>
    <n v="0.3"/>
  </r>
  <r>
    <x v="0"/>
    <x v="111"/>
    <n v="0.25"/>
  </r>
  <r>
    <x v="0"/>
    <x v="116"/>
    <n v="0.86"/>
  </r>
  <r>
    <x v="0"/>
    <x v="117"/>
    <n v="0.08"/>
  </r>
  <r>
    <x v="0"/>
    <x v="54"/>
    <n v="0.06"/>
  </r>
  <r>
    <x v="0"/>
    <x v="116"/>
    <n v="0.48"/>
  </r>
  <r>
    <x v="0"/>
    <x v="22"/>
    <n v="0.2"/>
  </r>
  <r>
    <x v="0"/>
    <x v="16"/>
    <n v="0.12"/>
  </r>
  <r>
    <x v="0"/>
    <x v="75"/>
    <n v="0.1"/>
  </r>
  <r>
    <x v="0"/>
    <x v="13"/>
    <n v="0.1"/>
  </r>
  <r>
    <x v="0"/>
    <x v="116"/>
    <n v="0.45"/>
  </r>
  <r>
    <x v="0"/>
    <x v="7"/>
    <n v="0.2"/>
  </r>
  <r>
    <x v="0"/>
    <x v="6"/>
    <n v="0.15"/>
  </r>
  <r>
    <x v="0"/>
    <x v="17"/>
    <n v="0.1"/>
  </r>
  <r>
    <x v="0"/>
    <x v="117"/>
    <n v="0.1"/>
  </r>
  <r>
    <x v="0"/>
    <x v="4"/>
    <n v="0.65"/>
  </r>
  <r>
    <x v="0"/>
    <x v="116"/>
    <n v="0.25"/>
  </r>
  <r>
    <x v="0"/>
    <x v="117"/>
    <n v="0.1"/>
  </r>
  <r>
    <x v="0"/>
    <x v="75"/>
    <n v="0.3"/>
  </r>
  <r>
    <x v="0"/>
    <x v="41"/>
    <n v="0.25"/>
  </r>
  <r>
    <x v="0"/>
    <x v="13"/>
    <n v="0.2"/>
  </r>
  <r>
    <x v="0"/>
    <x v="116"/>
    <n v="0.25"/>
  </r>
  <r>
    <x v="0"/>
    <x v="118"/>
    <n v="0.35"/>
  </r>
  <r>
    <x v="0"/>
    <x v="69"/>
    <n v="0.25"/>
  </r>
  <r>
    <x v="0"/>
    <x v="36"/>
    <n v="0.2"/>
  </r>
  <r>
    <x v="0"/>
    <x v="34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119"/>
    <n v="0.55000000000000004"/>
  </r>
  <r>
    <x v="0"/>
    <x v="116"/>
    <n v="0.3"/>
  </r>
  <r>
    <x v="0"/>
    <x v="117"/>
    <n v="0.15"/>
  </r>
  <r>
    <x v="0"/>
    <x v="4"/>
    <n v="0.93"/>
  </r>
  <r>
    <x v="0"/>
    <x v="37"/>
    <n v="0.03"/>
  </r>
  <r>
    <x v="0"/>
    <x v="75"/>
    <n v="0.02"/>
  </r>
  <r>
    <x v="0"/>
    <x v="18"/>
    <n v="0.02"/>
  </r>
  <r>
    <x v="0"/>
    <x v="12"/>
    <n v="0.2"/>
  </r>
  <r>
    <x v="0"/>
    <x v="75"/>
    <n v="0.2"/>
  </r>
  <r>
    <x v="0"/>
    <x v="22"/>
    <n v="0.2"/>
  </r>
  <r>
    <x v="0"/>
    <x v="16"/>
    <n v="0.2"/>
  </r>
  <r>
    <x v="0"/>
    <x v="15"/>
    <n v="0.2"/>
  </r>
  <r>
    <x v="0"/>
    <x v="110"/>
    <n v="0.3"/>
  </r>
  <r>
    <x v="0"/>
    <x v="111"/>
    <n v="0.3"/>
  </r>
  <r>
    <x v="0"/>
    <x v="109"/>
    <n v="0.15"/>
  </r>
  <r>
    <x v="0"/>
    <x v="25"/>
    <n v="0.25"/>
  </r>
  <r>
    <x v="0"/>
    <x v="6"/>
    <n v="0.4"/>
  </r>
  <r>
    <x v="0"/>
    <x v="5"/>
    <n v="0.3"/>
  </r>
  <r>
    <x v="0"/>
    <x v="7"/>
    <n v="0.15"/>
  </r>
  <r>
    <x v="0"/>
    <x v="17"/>
    <n v="0.15"/>
  </r>
  <r>
    <x v="0"/>
    <x v="8"/>
    <n v="0.85"/>
  </r>
  <r>
    <x v="0"/>
    <x v="4"/>
    <n v="0.15"/>
  </r>
  <r>
    <x v="0"/>
    <x v="4"/>
    <n v="0.55000000000000004"/>
  </r>
  <r>
    <x v="0"/>
    <x v="116"/>
    <n v="0.25"/>
  </r>
  <r>
    <x v="0"/>
    <x v="117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120"/>
    <n v="0.85"/>
  </r>
  <r>
    <x v="0"/>
    <x v="11"/>
    <n v="0.1"/>
  </r>
  <r>
    <x v="0"/>
    <x v="121"/>
    <n v="0.05"/>
  </r>
  <r>
    <x v="0"/>
    <x v="120"/>
    <n v="0.56000000000000005"/>
  </r>
  <r>
    <x v="0"/>
    <x v="11"/>
    <n v="0.24"/>
  </r>
  <r>
    <x v="0"/>
    <x v="3"/>
    <n v="0.1"/>
  </r>
  <r>
    <x v="0"/>
    <x v="122"/>
    <n v="0.1"/>
  </r>
  <r>
    <x v="0"/>
    <x v="120"/>
    <n v="0.45"/>
  </r>
  <r>
    <x v="0"/>
    <x v="25"/>
    <n v="0.35"/>
  </r>
  <r>
    <x v="0"/>
    <x v="122"/>
    <n v="0.1"/>
  </r>
  <r>
    <x v="0"/>
    <x v="43"/>
    <n v="0.1"/>
  </r>
  <r>
    <x v="0"/>
    <x v="120"/>
    <n v="0.6"/>
  </r>
  <r>
    <x v="0"/>
    <x v="11"/>
    <n v="0.2"/>
  </r>
  <r>
    <x v="0"/>
    <x v="3"/>
    <n v="0.2"/>
  </r>
  <r>
    <x v="0"/>
    <x v="18"/>
    <n v="0.4"/>
  </r>
  <r>
    <x v="0"/>
    <x v="120"/>
    <n v="0.4"/>
  </r>
  <r>
    <x v="0"/>
    <x v="122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22"/>
    <n v="0.89"/>
  </r>
  <r>
    <x v="0"/>
    <x v="42"/>
    <n v="0.06"/>
  </r>
  <r>
    <x v="0"/>
    <x v="120"/>
    <n v="0.05"/>
  </r>
  <r>
    <x v="0"/>
    <x v="122"/>
    <n v="0.56000000000000005"/>
  </r>
  <r>
    <x v="0"/>
    <x v="120"/>
    <n v="0.2"/>
  </r>
  <r>
    <x v="0"/>
    <x v="42"/>
    <n v="0.14000000000000001"/>
  </r>
  <r>
    <x v="0"/>
    <x v="3"/>
    <n v="0.1"/>
  </r>
  <r>
    <x v="0"/>
    <x v="122"/>
    <n v="0.6"/>
  </r>
  <r>
    <x v="0"/>
    <x v="120"/>
    <n v="0.25"/>
  </r>
  <r>
    <x v="0"/>
    <x v="11"/>
    <n v="0.15"/>
  </r>
  <r>
    <x v="0"/>
    <x v="122"/>
    <n v="0.45"/>
  </r>
  <r>
    <x v="0"/>
    <x v="18"/>
    <n v="0.25"/>
  </r>
  <r>
    <x v="0"/>
    <x v="42"/>
    <n v="0.2"/>
  </r>
  <r>
    <x v="0"/>
    <x v="40"/>
    <n v="0.1"/>
  </r>
  <r>
    <x v="0"/>
    <x v="122"/>
    <n v="0.55000000000000004"/>
  </r>
  <r>
    <x v="0"/>
    <x v="3"/>
    <n v="0.2"/>
  </r>
  <r>
    <x v="0"/>
    <x v="120"/>
    <n v="0.15"/>
  </r>
  <r>
    <x v="0"/>
    <x v="11"/>
    <n v="0.1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4"/>
    <n v="0.25"/>
  </r>
  <r>
    <x v="0"/>
    <x v="13"/>
    <n v="0.25"/>
  </r>
  <r>
    <x v="0"/>
    <x v="41"/>
    <n v="0.2"/>
  </r>
  <r>
    <x v="0"/>
    <x v="12"/>
    <n v="0.15"/>
  </r>
  <r>
    <x v="0"/>
    <x v="22"/>
    <n v="0.15"/>
  </r>
  <r>
    <x v="0"/>
    <x v="123"/>
    <n v="0.6"/>
  </r>
  <r>
    <x v="0"/>
    <x v="25"/>
    <n v="0.25"/>
  </r>
  <r>
    <x v="0"/>
    <x v="113"/>
    <n v="0.15"/>
  </r>
  <r>
    <x v="0"/>
    <x v="42"/>
    <n v="0.85"/>
  </r>
  <r>
    <x v="0"/>
    <x v="40"/>
    <n v="0.08"/>
  </r>
  <r>
    <x v="0"/>
    <x v="113"/>
    <n v="0.04"/>
  </r>
  <r>
    <x v="0"/>
    <x v="122"/>
    <n v="0.03"/>
  </r>
  <r>
    <x v="0"/>
    <x v="42"/>
    <n v="0.56000000000000005"/>
  </r>
  <r>
    <x v="0"/>
    <x v="122"/>
    <n v="0.19"/>
  </r>
  <r>
    <x v="0"/>
    <x v="3"/>
    <n v="0.15"/>
  </r>
  <r>
    <x v="0"/>
    <x v="40"/>
    <n v="0.1"/>
  </r>
  <r>
    <x v="0"/>
    <x v="40"/>
    <n v="0.45"/>
  </r>
  <r>
    <x v="0"/>
    <x v="42"/>
    <n v="0.35"/>
  </r>
  <r>
    <x v="0"/>
    <x v="18"/>
    <n v="0.1"/>
  </r>
  <r>
    <x v="0"/>
    <x v="83"/>
    <n v="0.1"/>
  </r>
  <r>
    <x v="0"/>
    <x v="122"/>
    <n v="0.4"/>
  </r>
  <r>
    <x v="0"/>
    <x v="120"/>
    <n v="0.3"/>
  </r>
  <r>
    <x v="0"/>
    <x v="11"/>
    <n v="0.3"/>
  </r>
  <r>
    <x v="0"/>
    <x v="42"/>
    <n v="0.55000000000000004"/>
  </r>
  <r>
    <x v="0"/>
    <x v="3"/>
    <n v="0.25"/>
  </r>
  <r>
    <x v="0"/>
    <x v="122"/>
    <n v="0.2"/>
  </r>
  <r>
    <x v="0"/>
    <x v="40"/>
    <n v="0.3"/>
  </r>
  <r>
    <x v="0"/>
    <x v="14"/>
    <n v="0.25"/>
  </r>
  <r>
    <x v="0"/>
    <x v="13"/>
    <n v="0.2"/>
  </r>
  <r>
    <x v="0"/>
    <x v="41"/>
    <n v="0.15"/>
  </r>
  <r>
    <x v="0"/>
    <x v="12"/>
    <n v="0.1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10"/>
    <n v="0.91"/>
  </r>
  <r>
    <x v="0"/>
    <x v="109"/>
    <n v="0.04"/>
  </r>
  <r>
    <x v="0"/>
    <x v="111"/>
    <n v="0.03"/>
  </r>
  <r>
    <x v="0"/>
    <x v="25"/>
    <n v="0.02"/>
  </r>
  <r>
    <x v="0"/>
    <x v="110"/>
    <n v="0.56000000000000005"/>
  </r>
  <r>
    <x v="0"/>
    <x v="25"/>
    <n v="0.24"/>
  </r>
  <r>
    <x v="0"/>
    <x v="43"/>
    <n v="0.1"/>
  </r>
  <r>
    <x v="0"/>
    <x v="109"/>
    <n v="0.1"/>
  </r>
  <r>
    <x v="0"/>
    <x v="4"/>
    <n v="0.7"/>
  </r>
  <r>
    <x v="0"/>
    <x v="110"/>
    <n v="0.3"/>
  </r>
  <r>
    <x v="0"/>
    <x v="8"/>
    <n v="0.7"/>
  </r>
  <r>
    <x v="0"/>
    <x v="110"/>
    <n v="0.3"/>
  </r>
  <r>
    <x v="0"/>
    <x v="13"/>
    <n v="0.3"/>
  </r>
  <r>
    <x v="0"/>
    <x v="41"/>
    <n v="0.25"/>
  </r>
  <r>
    <x v="0"/>
    <x v="75"/>
    <n v="0.25"/>
  </r>
  <r>
    <x v="0"/>
    <x v="4"/>
    <n v="0.2"/>
  </r>
  <r>
    <x v="0"/>
    <x v="20"/>
    <n v="0.35"/>
  </r>
  <r>
    <x v="0"/>
    <x v="19"/>
    <n v="0.25"/>
  </r>
  <r>
    <x v="0"/>
    <x v="21"/>
    <n v="0.2"/>
  </r>
  <r>
    <x v="0"/>
    <x v="55"/>
    <n v="0.2"/>
  </r>
  <r>
    <x v="0"/>
    <x v="6"/>
    <n v="0.35"/>
  </r>
  <r>
    <x v="0"/>
    <x v="5"/>
    <n v="0.3"/>
  </r>
  <r>
    <x v="0"/>
    <x v="7"/>
    <n v="0.2"/>
  </r>
  <r>
    <x v="0"/>
    <x v="17"/>
    <n v="0.15"/>
  </r>
  <r>
    <x v="0"/>
    <x v="124"/>
    <n v="0.7"/>
  </r>
  <r>
    <x v="0"/>
    <x v="17"/>
    <n v="0.12"/>
  </r>
  <r>
    <x v="0"/>
    <x v="7"/>
    <n v="0.08"/>
  </r>
  <r>
    <x v="0"/>
    <x v="6"/>
    <n v="0.05"/>
  </r>
  <r>
    <x v="0"/>
    <x v="125"/>
    <n v="0.05"/>
  </r>
  <r>
    <x v="0"/>
    <x v="124"/>
    <n v="0.62"/>
  </r>
  <r>
    <x v="0"/>
    <x v="18"/>
    <n v="0.16"/>
  </r>
  <r>
    <x v="0"/>
    <x v="40"/>
    <n v="0.12"/>
  </r>
  <r>
    <x v="0"/>
    <x v="81"/>
    <n v="0.05"/>
  </r>
  <r>
    <x v="0"/>
    <x v="85"/>
    <n v="0.05"/>
  </r>
  <r>
    <x v="0"/>
    <x v="124"/>
    <n v="0.55000000000000004"/>
  </r>
  <r>
    <x v="0"/>
    <x v="25"/>
    <n v="0.15"/>
  </r>
  <r>
    <x v="0"/>
    <x v="43"/>
    <n v="0.1"/>
  </r>
  <r>
    <x v="0"/>
    <x v="18"/>
    <n v="0.1"/>
  </r>
  <r>
    <x v="0"/>
    <x v="40"/>
    <n v="0.1"/>
  </r>
  <r>
    <x v="0"/>
    <x v="124"/>
    <n v="0.48"/>
  </r>
  <r>
    <x v="0"/>
    <x v="5"/>
    <n v="0.16"/>
  </r>
  <r>
    <x v="0"/>
    <x v="126"/>
    <n v="0.14000000000000001"/>
  </r>
  <r>
    <x v="0"/>
    <x v="127"/>
    <n v="0.12"/>
  </r>
  <r>
    <x v="0"/>
    <x v="125"/>
    <n v="0.1"/>
  </r>
  <r>
    <x v="0"/>
    <x v="124"/>
    <n v="0.52"/>
  </r>
  <r>
    <x v="0"/>
    <x v="8"/>
    <n v="0.3"/>
  </r>
  <r>
    <x v="0"/>
    <x v="128"/>
    <n v="0.1"/>
  </r>
  <r>
    <x v="0"/>
    <x v="129"/>
    <n v="0.08"/>
  </r>
  <r>
    <x v="0"/>
    <x v="124"/>
    <n v="0.48"/>
  </r>
  <r>
    <x v="0"/>
    <x v="110"/>
    <n v="0.22"/>
  </r>
  <r>
    <x v="0"/>
    <x v="111"/>
    <n v="0.18"/>
  </r>
  <r>
    <x v="0"/>
    <x v="109"/>
    <n v="0.12"/>
  </r>
  <r>
    <x v="0"/>
    <x v="124"/>
    <n v="0.55000000000000004"/>
  </r>
  <r>
    <x v="0"/>
    <x v="118"/>
    <n v="0.45"/>
  </r>
  <r>
    <x v="0"/>
    <x v="124"/>
    <n v="0.46"/>
  </r>
  <r>
    <x v="0"/>
    <x v="25"/>
    <n v="0.24"/>
  </r>
  <r>
    <x v="0"/>
    <x v="43"/>
    <n v="0.18"/>
  </r>
  <r>
    <x v="0"/>
    <x v="113"/>
    <n v="0.12"/>
  </r>
  <r>
    <x v="0"/>
    <x v="124"/>
    <n v="0.5"/>
  </r>
  <r>
    <x v="0"/>
    <x v="34"/>
    <n v="0.22"/>
  </r>
  <r>
    <x v="0"/>
    <x v="35"/>
    <n v="0.16"/>
  </r>
  <r>
    <x v="0"/>
    <x v="36"/>
    <n v="0.12"/>
  </r>
  <r>
    <x v="0"/>
    <x v="124"/>
    <n v="0.55000000000000004"/>
  </r>
  <r>
    <x v="0"/>
    <x v="17"/>
    <n v="0.2"/>
  </r>
  <r>
    <x v="0"/>
    <x v="7"/>
    <n v="0.1"/>
  </r>
  <r>
    <x v="0"/>
    <x v="6"/>
    <n v="0.1"/>
  </r>
  <r>
    <x v="0"/>
    <x v="125"/>
    <n v="0.05"/>
  </r>
  <r>
    <x v="0"/>
    <x v="130"/>
    <n v="0.45"/>
  </r>
  <r>
    <x v="0"/>
    <x v="18"/>
    <n v="0.2"/>
  </r>
  <r>
    <x v="0"/>
    <x v="30"/>
    <n v="0.1"/>
  </r>
  <r>
    <x v="0"/>
    <x v="1"/>
    <n v="0.1"/>
  </r>
  <r>
    <x v="0"/>
    <x v="3"/>
    <n v="0.1"/>
  </r>
  <r>
    <x v="0"/>
    <x v="2"/>
    <n v="0.05"/>
  </r>
  <r>
    <x v="0"/>
    <x v="130"/>
    <n v="0.42"/>
  </r>
  <r>
    <x v="0"/>
    <x v="26"/>
    <n v="0.26"/>
  </r>
  <r>
    <x v="0"/>
    <x v="29"/>
    <n v="0.16"/>
  </r>
  <r>
    <x v="0"/>
    <x v="28"/>
    <n v="0.1"/>
  </r>
  <r>
    <x v="0"/>
    <x v="27"/>
    <n v="0.06"/>
  </r>
  <r>
    <x v="0"/>
    <x v="130"/>
    <n v="0.4"/>
  </r>
  <r>
    <x v="0"/>
    <x v="18"/>
    <n v="0.24"/>
  </r>
  <r>
    <x v="0"/>
    <x v="54"/>
    <n v="0.1"/>
  </r>
  <r>
    <x v="0"/>
    <x v="51"/>
    <n v="0.1"/>
  </r>
  <r>
    <x v="0"/>
    <x v="40"/>
    <n v="0.08"/>
  </r>
  <r>
    <x v="0"/>
    <x v="81"/>
    <n v="0.08"/>
  </r>
  <r>
    <x v="0"/>
    <x v="130"/>
    <n v="0.4"/>
  </r>
  <r>
    <x v="0"/>
    <x v="20"/>
    <n v="0.2"/>
  </r>
  <r>
    <x v="0"/>
    <x v="19"/>
    <n v="0.15"/>
  </r>
  <r>
    <x v="0"/>
    <x v="32"/>
    <n v="0.15"/>
  </r>
  <r>
    <x v="0"/>
    <x v="21"/>
    <n v="0.1"/>
  </r>
  <r>
    <x v="0"/>
    <x v="32"/>
    <n v="0.32"/>
  </r>
  <r>
    <x v="0"/>
    <x v="67"/>
    <n v="0.2"/>
  </r>
  <r>
    <x v="0"/>
    <x v="33"/>
    <n v="0.2"/>
  </r>
  <r>
    <x v="0"/>
    <x v="91"/>
    <n v="0.16"/>
  </r>
  <r>
    <x v="0"/>
    <x v="98"/>
    <n v="0.12"/>
  </r>
  <r>
    <x v="0"/>
    <x v="95"/>
    <n v="0.52"/>
  </r>
  <r>
    <x v="0"/>
    <x v="97"/>
    <n v="0.14000000000000001"/>
  </r>
  <r>
    <x v="0"/>
    <x v="131"/>
    <n v="0.1"/>
  </r>
  <r>
    <x v="0"/>
    <x v="94"/>
    <n v="0.1"/>
  </r>
  <r>
    <x v="0"/>
    <x v="91"/>
    <n v="0.08"/>
  </r>
  <r>
    <x v="0"/>
    <x v="130"/>
    <n v="0.06"/>
  </r>
  <r>
    <x v="0"/>
    <x v="88"/>
    <n v="0.32"/>
  </r>
  <r>
    <x v="0"/>
    <x v="89"/>
    <n v="0.24"/>
  </r>
  <r>
    <x v="0"/>
    <x v="90"/>
    <n v="0.16"/>
  </r>
  <r>
    <x v="0"/>
    <x v="92"/>
    <n v="0.12"/>
  </r>
  <r>
    <x v="0"/>
    <x v="91"/>
    <n v="0.1"/>
  </r>
  <r>
    <x v="0"/>
    <x v="130"/>
    <n v="0.06"/>
  </r>
  <r>
    <x v="0"/>
    <x v="50"/>
    <n v="0.36"/>
  </r>
  <r>
    <x v="0"/>
    <x v="49"/>
    <n v="0.22"/>
  </r>
  <r>
    <x v="0"/>
    <x v="38"/>
    <n v="0.18"/>
  </r>
  <r>
    <x v="0"/>
    <x v="48"/>
    <n v="0.12"/>
  </r>
  <r>
    <x v="0"/>
    <x v="130"/>
    <n v="0.12"/>
  </r>
  <r>
    <x v="0"/>
    <x v="7"/>
    <n v="0.3"/>
  </r>
  <r>
    <x v="0"/>
    <x v="6"/>
    <n v="0.2"/>
  </r>
  <r>
    <x v="0"/>
    <x v="17"/>
    <n v="0.2"/>
  </r>
  <r>
    <x v="0"/>
    <x v="5"/>
    <n v="0.15"/>
  </r>
  <r>
    <x v="0"/>
    <x v="125"/>
    <n v="0.15"/>
  </r>
  <r>
    <x v="0"/>
    <x v="132"/>
    <n v="0.7"/>
  </r>
  <r>
    <x v="0"/>
    <x v="133"/>
    <n v="0.15"/>
  </r>
  <r>
    <x v="0"/>
    <x v="130"/>
    <n v="0.15"/>
  </r>
  <r>
    <x v="0"/>
    <x v="134"/>
    <n v="0.34"/>
  </r>
  <r>
    <x v="0"/>
    <x v="135"/>
    <n v="0.24"/>
  </r>
  <r>
    <x v="0"/>
    <x v="136"/>
    <n v="0.18"/>
  </r>
  <r>
    <x v="0"/>
    <x v="137"/>
    <n v="0.12"/>
  </r>
  <r>
    <x v="0"/>
    <x v="130"/>
    <n v="0.12"/>
  </r>
  <r>
    <x v="0"/>
    <x v="130"/>
    <n v="0.5"/>
  </r>
  <r>
    <x v="0"/>
    <x v="29"/>
    <n v="0.25"/>
  </r>
  <r>
    <x v="0"/>
    <x v="28"/>
    <n v="0.15"/>
  </r>
  <r>
    <x v="0"/>
    <x v="26"/>
    <n v="0.1"/>
  </r>
  <r>
    <x v="0"/>
    <x v="130"/>
    <n v="0.4"/>
  </r>
  <r>
    <x v="0"/>
    <x v="3"/>
    <n v="0.2"/>
  </r>
  <r>
    <x v="0"/>
    <x v="1"/>
    <n v="0.2"/>
  </r>
  <r>
    <x v="0"/>
    <x v="2"/>
    <n v="0.2"/>
  </r>
  <r>
    <x v="0"/>
    <x v="130"/>
    <n v="0.5"/>
  </r>
  <r>
    <x v="0"/>
    <x v="26"/>
    <n v="0.18"/>
  </r>
  <r>
    <x v="0"/>
    <x v="29"/>
    <n v="0.12"/>
  </r>
  <r>
    <x v="0"/>
    <x v="28"/>
    <n v="0.06"/>
  </r>
  <r>
    <x v="0"/>
    <x v="95"/>
    <n v="0.06"/>
  </r>
  <r>
    <x v="0"/>
    <x v="20"/>
    <n v="0.04"/>
  </r>
  <r>
    <x v="0"/>
    <x v="32"/>
    <n v="0.04"/>
  </r>
  <r>
    <x v="0"/>
    <x v="138"/>
    <n v="0.4"/>
  </r>
  <r>
    <x v="0"/>
    <x v="26"/>
    <n v="0.24"/>
  </r>
  <r>
    <x v="0"/>
    <x v="29"/>
    <n v="0.14000000000000001"/>
  </r>
  <r>
    <x v="0"/>
    <x v="28"/>
    <n v="0.14000000000000001"/>
  </r>
  <r>
    <x v="0"/>
    <x v="27"/>
    <n v="0.08"/>
  </r>
  <r>
    <x v="0"/>
    <x v="138"/>
    <n v="0.42"/>
  </r>
  <r>
    <x v="0"/>
    <x v="26"/>
    <n v="0.18"/>
  </r>
  <r>
    <x v="0"/>
    <x v="18"/>
    <n v="0.14000000000000001"/>
  </r>
  <r>
    <x v="0"/>
    <x v="30"/>
    <n v="0.1"/>
  </r>
  <r>
    <x v="0"/>
    <x v="1"/>
    <n v="0.08"/>
  </r>
  <r>
    <x v="0"/>
    <x v="3"/>
    <n v="0.08"/>
  </r>
  <r>
    <x v="0"/>
    <x v="138"/>
    <n v="0.4"/>
  </r>
  <r>
    <x v="0"/>
    <x v="51"/>
    <n v="0.18"/>
  </r>
  <r>
    <x v="0"/>
    <x v="18"/>
    <n v="0.18"/>
  </r>
  <r>
    <x v="0"/>
    <x v="54"/>
    <n v="0.1"/>
  </r>
  <r>
    <x v="0"/>
    <x v="40"/>
    <n v="0.08"/>
  </r>
  <r>
    <x v="0"/>
    <x v="139"/>
    <n v="0.06"/>
  </r>
  <r>
    <x v="0"/>
    <x v="138"/>
    <n v="0.4"/>
  </r>
  <r>
    <x v="0"/>
    <x v="20"/>
    <n v="0.2"/>
  </r>
  <r>
    <x v="0"/>
    <x v="19"/>
    <n v="0.16"/>
  </r>
  <r>
    <x v="0"/>
    <x v="32"/>
    <n v="0.14000000000000001"/>
  </r>
  <r>
    <x v="0"/>
    <x v="67"/>
    <n v="0.1"/>
  </r>
  <r>
    <x v="0"/>
    <x v="32"/>
    <n v="0.32"/>
  </r>
  <r>
    <x v="0"/>
    <x v="67"/>
    <n v="0.24"/>
  </r>
  <r>
    <x v="0"/>
    <x v="33"/>
    <n v="0.2"/>
  </r>
  <r>
    <x v="0"/>
    <x v="91"/>
    <n v="0.14000000000000001"/>
  </r>
  <r>
    <x v="0"/>
    <x v="98"/>
    <n v="0.1"/>
  </r>
  <r>
    <x v="0"/>
    <x v="95"/>
    <n v="0.46"/>
  </r>
  <r>
    <x v="0"/>
    <x v="97"/>
    <n v="0.14000000000000001"/>
  </r>
  <r>
    <x v="0"/>
    <x v="88"/>
    <n v="0.12"/>
  </r>
  <r>
    <x v="0"/>
    <x v="131"/>
    <n v="0.1"/>
  </r>
  <r>
    <x v="0"/>
    <x v="94"/>
    <n v="0.1"/>
  </r>
  <r>
    <x v="0"/>
    <x v="138"/>
    <n v="0.08"/>
  </r>
  <r>
    <x v="0"/>
    <x v="88"/>
    <n v="0.3"/>
  </r>
  <r>
    <x v="0"/>
    <x v="89"/>
    <n v="0.22"/>
  </r>
  <r>
    <x v="0"/>
    <x v="90"/>
    <n v="0.16"/>
  </r>
  <r>
    <x v="0"/>
    <x v="92"/>
    <n v="0.12"/>
  </r>
  <r>
    <x v="0"/>
    <x v="91"/>
    <n v="0.1"/>
  </r>
  <r>
    <x v="0"/>
    <x v="138"/>
    <n v="0.1"/>
  </r>
  <r>
    <x v="0"/>
    <x v="7"/>
    <n v="0.34"/>
  </r>
  <r>
    <x v="0"/>
    <x v="6"/>
    <n v="0.2"/>
  </r>
  <r>
    <x v="0"/>
    <x v="17"/>
    <n v="0.16"/>
  </r>
  <r>
    <x v="0"/>
    <x v="5"/>
    <n v="0.15"/>
  </r>
  <r>
    <x v="0"/>
    <x v="125"/>
    <n v="0.15"/>
  </r>
  <r>
    <x v="0"/>
    <x v="50"/>
    <n v="0.34"/>
  </r>
  <r>
    <x v="0"/>
    <x v="49"/>
    <n v="0.24"/>
  </r>
  <r>
    <x v="0"/>
    <x v="38"/>
    <n v="0.2"/>
  </r>
  <r>
    <x v="0"/>
    <x v="48"/>
    <n v="0.1"/>
  </r>
  <r>
    <x v="0"/>
    <x v="138"/>
    <n v="0.12"/>
  </r>
  <r>
    <x v="0"/>
    <x v="132"/>
    <n v="0.56000000000000005"/>
  </r>
  <r>
    <x v="0"/>
    <x v="140"/>
    <n v="0.16"/>
  </r>
  <r>
    <x v="0"/>
    <x v="133"/>
    <n v="0.12"/>
  </r>
  <r>
    <x v="0"/>
    <x v="138"/>
    <n v="0.16"/>
  </r>
  <r>
    <x v="0"/>
    <x v="141"/>
    <n v="1"/>
  </r>
  <r>
    <x v="0"/>
    <x v="10"/>
    <n v="0.25"/>
  </r>
  <r>
    <x v="0"/>
    <x v="9"/>
    <n v="0.2"/>
  </r>
  <r>
    <x v="0"/>
    <x v="142"/>
    <n v="0.15"/>
  </r>
  <r>
    <x v="0"/>
    <x v="143"/>
    <n v="0.2"/>
  </r>
  <r>
    <x v="0"/>
    <x v="144"/>
    <n v="0.2"/>
  </r>
  <r>
    <x v="0"/>
    <x v="138"/>
    <n v="0.5"/>
  </r>
  <r>
    <x v="0"/>
    <x v="29"/>
    <n v="0.25"/>
  </r>
  <r>
    <x v="0"/>
    <x v="28"/>
    <n v="0.15"/>
  </r>
  <r>
    <x v="0"/>
    <x v="26"/>
    <n v="0.1"/>
  </r>
  <r>
    <x v="0"/>
    <x v="138"/>
    <n v="0.4"/>
  </r>
  <r>
    <x v="0"/>
    <x v="3"/>
    <n v="0.2"/>
  </r>
  <r>
    <x v="0"/>
    <x v="1"/>
    <n v="0.2"/>
  </r>
  <r>
    <x v="0"/>
    <x v="2"/>
    <n v="0.2"/>
  </r>
  <r>
    <x v="0"/>
    <x v="138"/>
    <n v="0.44"/>
  </r>
  <r>
    <x v="0"/>
    <x v="26"/>
    <n v="0.18"/>
  </r>
  <r>
    <x v="0"/>
    <x v="51"/>
    <n v="0.1"/>
  </r>
  <r>
    <x v="0"/>
    <x v="20"/>
    <n v="0.08"/>
  </r>
  <r>
    <x v="0"/>
    <x v="32"/>
    <n v="0.08"/>
  </r>
  <r>
    <x v="0"/>
    <x v="50"/>
    <n v="0.06"/>
  </r>
  <r>
    <x v="0"/>
    <x v="7"/>
    <n v="0.03"/>
  </r>
  <r>
    <x v="0"/>
    <x v="132"/>
    <n v="0.03"/>
  </r>
  <r>
    <x v="0"/>
    <x v="95"/>
    <n v="0.88"/>
  </r>
  <r>
    <x v="0"/>
    <x v="131"/>
    <n v="0.06"/>
  </r>
  <r>
    <x v="0"/>
    <x v="94"/>
    <n v="0.03"/>
  </r>
  <r>
    <x v="0"/>
    <x v="97"/>
    <n v="0.03"/>
  </r>
  <r>
    <x v="0"/>
    <x v="95"/>
    <n v="0.78"/>
  </r>
  <r>
    <x v="0"/>
    <x v="131"/>
    <n v="0.12"/>
  </r>
  <r>
    <x v="0"/>
    <x v="93"/>
    <n v="0.05"/>
  </r>
  <r>
    <x v="0"/>
    <x v="92"/>
    <n v="0.05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98"/>
    <n v="0.35"/>
  </r>
  <r>
    <x v="0"/>
    <x v="91"/>
    <n v="0.35"/>
  </r>
  <r>
    <x v="0"/>
    <x v="32"/>
    <n v="0.3"/>
  </r>
  <r>
    <x v="0"/>
    <x v="92"/>
    <n v="0.35"/>
  </r>
  <r>
    <x v="0"/>
    <x v="90"/>
    <n v="0.3"/>
  </r>
  <r>
    <x v="0"/>
    <x v="93"/>
    <n v="0.2"/>
  </r>
  <r>
    <x v="0"/>
    <x v="88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32"/>
    <n v="0.88"/>
  </r>
  <r>
    <x v="0"/>
    <x v="33"/>
    <n v="7.0000000000000007E-2"/>
  </r>
  <r>
    <x v="0"/>
    <x v="91"/>
    <n v="0.0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95"/>
    <n v="0.4"/>
  </r>
  <r>
    <x v="0"/>
    <x v="94"/>
    <n v="0.3"/>
  </r>
  <r>
    <x v="0"/>
    <x v="32"/>
    <n v="0.3"/>
  </r>
  <r>
    <x v="0"/>
    <x v="26"/>
    <n v="0.6"/>
  </r>
  <r>
    <x v="0"/>
    <x v="71"/>
    <n v="0.25"/>
  </r>
  <r>
    <x v="0"/>
    <x v="70"/>
    <n v="0.15"/>
  </r>
  <r>
    <x v="0"/>
    <x v="32"/>
    <n v="0.6"/>
  </r>
  <r>
    <x v="0"/>
    <x v="33"/>
    <n v="0.25"/>
  </r>
  <r>
    <x v="0"/>
    <x v="91"/>
    <n v="0.15"/>
  </r>
  <r>
    <x v="0"/>
    <x v="98"/>
    <n v="0.88"/>
  </r>
  <r>
    <x v="0"/>
    <x v="91"/>
    <n v="0.12"/>
  </r>
  <r>
    <x v="0"/>
    <x v="95"/>
    <n v="0.45"/>
  </r>
  <r>
    <x v="0"/>
    <x v="98"/>
    <n v="0.3"/>
  </r>
  <r>
    <x v="0"/>
    <x v="91"/>
    <n v="0.25"/>
  </r>
  <r>
    <x v="0"/>
    <x v="88"/>
    <n v="0.4"/>
  </r>
  <r>
    <x v="0"/>
    <x v="89"/>
    <n v="0.3"/>
  </r>
  <r>
    <x v="0"/>
    <x v="91"/>
    <n v="0.2"/>
  </r>
  <r>
    <x v="0"/>
    <x v="90"/>
    <n v="0.1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71"/>
    <n v="0.75"/>
  </r>
  <r>
    <x v="0"/>
    <x v="70"/>
    <n v="0.25"/>
  </r>
  <r>
    <x v="0"/>
    <x v="103"/>
    <n v="1"/>
  </r>
  <r>
    <x v="0"/>
    <x v="98"/>
    <n v="0.6"/>
  </r>
  <r>
    <x v="0"/>
    <x v="91"/>
    <n v="0.4"/>
  </r>
  <r>
    <x v="0"/>
    <x v="91"/>
    <n v="0.9"/>
  </r>
  <r>
    <x v="0"/>
    <x v="98"/>
    <n v="0.1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95"/>
    <n v="0.4"/>
  </r>
  <r>
    <x v="0"/>
    <x v="91"/>
    <n v="0.35"/>
  </r>
  <r>
    <x v="0"/>
    <x v="94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71"/>
    <n v="0.75"/>
  </r>
  <r>
    <x v="0"/>
    <x v="70"/>
    <n v="0.25"/>
  </r>
  <r>
    <x v="0"/>
    <x v="103"/>
    <n v="1"/>
  </r>
  <r>
    <x v="0"/>
    <x v="91"/>
    <n v="0.6"/>
  </r>
  <r>
    <x v="0"/>
    <x v="98"/>
    <n v="0.4"/>
  </r>
  <r>
    <x v="0"/>
    <x v="91"/>
    <n v="0.45"/>
  </r>
  <r>
    <x v="0"/>
    <x v="98"/>
    <n v="0.3"/>
  </r>
  <r>
    <x v="0"/>
    <x v="71"/>
    <n v="0.15"/>
  </r>
  <r>
    <x v="0"/>
    <x v="32"/>
    <n v="0.1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95"/>
    <n v="0.4"/>
  </r>
  <r>
    <x v="0"/>
    <x v="91"/>
    <n v="0.35"/>
  </r>
  <r>
    <x v="0"/>
    <x v="94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71"/>
    <n v="0.75"/>
  </r>
  <r>
    <x v="0"/>
    <x v="70"/>
    <n v="0.25"/>
  </r>
  <r>
    <x v="0"/>
    <x v="91"/>
    <n v="0.45"/>
  </r>
  <r>
    <x v="0"/>
    <x v="98"/>
    <n v="0.35"/>
  </r>
  <r>
    <x v="0"/>
    <x v="32"/>
    <n v="0.2"/>
  </r>
  <r>
    <x v="0"/>
    <x v="145"/>
    <n v="0.82"/>
  </r>
  <r>
    <x v="0"/>
    <x v="96"/>
    <n v="0.08"/>
  </r>
  <r>
    <x v="0"/>
    <x v="94"/>
    <n v="0.06"/>
  </r>
  <r>
    <x v="0"/>
    <x v="146"/>
    <n v="0.04"/>
  </r>
  <r>
    <x v="0"/>
    <x v="32"/>
    <n v="0.35"/>
  </r>
  <r>
    <x v="0"/>
    <x v="91"/>
    <n v="0.35"/>
  </r>
  <r>
    <x v="0"/>
    <x v="98"/>
    <n v="0.3"/>
  </r>
  <r>
    <x v="0"/>
    <x v="131"/>
    <n v="0.35"/>
  </r>
  <r>
    <x v="0"/>
    <x v="95"/>
    <n v="0.35"/>
  </r>
  <r>
    <x v="0"/>
    <x v="145"/>
    <n v="0.3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33"/>
    <n v="0.74"/>
  </r>
  <r>
    <x v="0"/>
    <x v="32"/>
    <n v="0.12"/>
  </r>
  <r>
    <x v="0"/>
    <x v="91"/>
    <n v="0.08"/>
  </r>
  <r>
    <x v="0"/>
    <x v="98"/>
    <n v="0.06"/>
  </r>
  <r>
    <x v="0"/>
    <x v="50"/>
    <n v="0.5"/>
  </r>
  <r>
    <x v="0"/>
    <x v="49"/>
    <n v="0.2"/>
  </r>
  <r>
    <x v="0"/>
    <x v="33"/>
    <n v="0.3"/>
  </r>
  <r>
    <x v="0"/>
    <x v="89"/>
    <n v="0.4"/>
  </r>
  <r>
    <x v="0"/>
    <x v="88"/>
    <n v="0.3"/>
  </r>
  <r>
    <x v="0"/>
    <x v="103"/>
    <n v="0.15"/>
  </r>
  <r>
    <x v="0"/>
    <x v="91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26"/>
    <n v="0.45"/>
  </r>
  <r>
    <x v="0"/>
    <x v="71"/>
    <n v="0.3"/>
  </r>
  <r>
    <x v="0"/>
    <x v="70"/>
    <n v="0.25"/>
  </r>
  <r>
    <x v="0"/>
    <x v="95"/>
    <n v="0.35"/>
  </r>
  <r>
    <x v="0"/>
    <x v="94"/>
    <n v="0.35"/>
  </r>
  <r>
    <x v="0"/>
    <x v="33"/>
    <n v="0.3"/>
  </r>
  <r>
    <x v="0"/>
    <x v="33"/>
    <n v="0.5"/>
  </r>
  <r>
    <x v="0"/>
    <x v="32"/>
    <n v="0.25"/>
  </r>
  <r>
    <x v="0"/>
    <x v="91"/>
    <n v="0.15"/>
  </r>
  <r>
    <x v="0"/>
    <x v="98"/>
    <n v="0.1"/>
  </r>
  <r>
    <x v="0"/>
    <x v="67"/>
    <n v="0.92"/>
  </r>
  <r>
    <x v="0"/>
    <x v="91"/>
    <n v="0.08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91"/>
    <n v="0.35"/>
  </r>
  <r>
    <x v="0"/>
    <x v="88"/>
    <n v="0.25"/>
  </r>
  <r>
    <x v="0"/>
    <x v="89"/>
    <n v="0.2"/>
  </r>
  <r>
    <x v="0"/>
    <x v="90"/>
    <n v="0.2"/>
  </r>
  <r>
    <x v="0"/>
    <x v="51"/>
    <n v="0.6"/>
  </r>
  <r>
    <x v="0"/>
    <x v="71"/>
    <n v="0.2"/>
  </r>
  <r>
    <x v="0"/>
    <x v="70"/>
    <n v="0.2"/>
  </r>
  <r>
    <x v="0"/>
    <x v="67"/>
    <n v="0.6"/>
  </r>
  <r>
    <x v="0"/>
    <x v="91"/>
    <n v="0.25"/>
  </r>
  <r>
    <x v="0"/>
    <x v="98"/>
    <n v="0.15"/>
  </r>
  <r>
    <x v="0"/>
    <x v="88"/>
    <n v="0.8"/>
  </r>
  <r>
    <x v="0"/>
    <x v="89"/>
    <n v="0.08"/>
  </r>
  <r>
    <x v="0"/>
    <x v="90"/>
    <n v="7.0000000000000007E-2"/>
  </r>
  <r>
    <x v="0"/>
    <x v="146"/>
    <n v="0.05"/>
  </r>
  <r>
    <x v="0"/>
    <x v="88"/>
    <n v="0.44"/>
  </r>
  <r>
    <x v="0"/>
    <x v="90"/>
    <n v="0.28000000000000003"/>
  </r>
  <r>
    <x v="0"/>
    <x v="92"/>
    <n v="0.16"/>
  </r>
  <r>
    <x v="0"/>
    <x v="93"/>
    <n v="0.12"/>
  </r>
  <r>
    <x v="0"/>
    <x v="88"/>
    <n v="0.3"/>
  </r>
  <r>
    <x v="0"/>
    <x v="91"/>
    <n v="0.25"/>
  </r>
  <r>
    <x v="0"/>
    <x v="32"/>
    <n v="0.2"/>
  </r>
  <r>
    <x v="0"/>
    <x v="98"/>
    <n v="0.15"/>
  </r>
  <r>
    <x v="0"/>
    <x v="33"/>
    <n v="0.1"/>
  </r>
  <r>
    <x v="0"/>
    <x v="103"/>
    <n v="1"/>
  </r>
  <r>
    <x v="0"/>
    <x v="146"/>
    <n v="0.4"/>
  </r>
  <r>
    <x v="0"/>
    <x v="95"/>
    <n v="0.25"/>
  </r>
  <r>
    <x v="0"/>
    <x v="94"/>
    <n v="0.2"/>
  </r>
  <r>
    <x v="0"/>
    <x v="145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47"/>
    <n v="0.88"/>
  </r>
  <r>
    <x v="0"/>
    <x v="104"/>
    <n v="7.0000000000000007E-2"/>
  </r>
  <r>
    <x v="0"/>
    <x v="107"/>
    <n v="0.05"/>
  </r>
  <r>
    <x v="0"/>
    <x v="92"/>
    <n v="0.35"/>
  </r>
  <r>
    <x v="0"/>
    <x v="93"/>
    <n v="0.35"/>
  </r>
  <r>
    <x v="0"/>
    <x v="90"/>
    <n v="0.15"/>
  </r>
  <r>
    <x v="0"/>
    <x v="88"/>
    <n v="0.15"/>
  </r>
  <r>
    <x v="0"/>
    <x v="92"/>
    <n v="0.35"/>
  </r>
  <r>
    <x v="0"/>
    <x v="93"/>
    <n v="0.25"/>
  </r>
  <r>
    <x v="0"/>
    <x v="131"/>
    <n v="0.2"/>
  </r>
  <r>
    <x v="0"/>
    <x v="95"/>
    <n v="0.2"/>
  </r>
  <r>
    <x v="0"/>
    <x v="88"/>
    <n v="0.35"/>
  </r>
  <r>
    <x v="0"/>
    <x v="90"/>
    <n v="0.25"/>
  </r>
  <r>
    <x v="0"/>
    <x v="89"/>
    <n v="0.2"/>
  </r>
  <r>
    <x v="0"/>
    <x v="92"/>
    <n v="0.2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04"/>
    <n v="0.9"/>
  </r>
  <r>
    <x v="0"/>
    <x v="107"/>
    <n v="0.06"/>
  </r>
  <r>
    <x v="0"/>
    <x v="147"/>
    <n v="0.04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93"/>
    <n v="0.35"/>
  </r>
  <r>
    <x v="0"/>
    <x v="92"/>
    <n v="0.25"/>
  </r>
  <r>
    <x v="0"/>
    <x v="147"/>
    <n v="0.2"/>
  </r>
  <r>
    <x v="0"/>
    <x v="90"/>
    <n v="0.2"/>
  </r>
  <r>
    <x v="0"/>
    <x v="71"/>
    <n v="0.75"/>
  </r>
  <r>
    <x v="0"/>
    <x v="70"/>
    <n v="0.25"/>
  </r>
  <r>
    <x v="0"/>
    <x v="103"/>
    <n v="1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07"/>
    <n v="0.88"/>
  </r>
  <r>
    <x v="0"/>
    <x v="104"/>
    <n v="0.08"/>
  </r>
  <r>
    <x v="0"/>
    <x v="103"/>
    <n v="0.04"/>
  </r>
  <r>
    <x v="0"/>
    <x v="103"/>
    <n v="1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93"/>
    <n v="0.35"/>
  </r>
  <r>
    <x v="0"/>
    <x v="92"/>
    <n v="0.25"/>
  </r>
  <r>
    <x v="0"/>
    <x v="147"/>
    <n v="0.2"/>
  </r>
  <r>
    <x v="0"/>
    <x v="90"/>
    <n v="0.2"/>
  </r>
  <r>
    <x v="0"/>
    <x v="103"/>
    <n v="1"/>
  </r>
  <r>
    <x v="0"/>
    <x v="103"/>
    <n v="1"/>
  </r>
  <r>
    <x v="0"/>
    <x v="103"/>
    <n v="0.5"/>
  </r>
  <r>
    <x v="0"/>
    <x v="104"/>
    <n v="0.28000000000000003"/>
  </r>
  <r>
    <x v="0"/>
    <x v="107"/>
    <n v="0.22"/>
  </r>
  <r>
    <x v="0"/>
    <x v="88"/>
    <n v="0.3"/>
  </r>
  <r>
    <x v="0"/>
    <x v="89"/>
    <n v="0.3"/>
  </r>
  <r>
    <x v="0"/>
    <x v="90"/>
    <n v="0.2"/>
  </r>
  <r>
    <x v="0"/>
    <x v="91"/>
    <n v="0.2"/>
  </r>
  <r>
    <x v="0"/>
    <x v="92"/>
    <n v="0.35"/>
  </r>
  <r>
    <x v="0"/>
    <x v="93"/>
    <n v="0.3"/>
  </r>
  <r>
    <x v="0"/>
    <x v="88"/>
    <n v="0.2"/>
  </r>
  <r>
    <x v="0"/>
    <x v="90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70"/>
    <n v="0.85"/>
  </r>
  <r>
    <x v="0"/>
    <x v="71"/>
    <n v="0.15"/>
  </r>
  <r>
    <x v="0"/>
    <x v="91"/>
    <n v="0.3"/>
  </r>
  <r>
    <x v="0"/>
    <x v="98"/>
    <n v="0.25"/>
  </r>
  <r>
    <x v="0"/>
    <x v="32"/>
    <n v="0.2"/>
  </r>
  <r>
    <x v="0"/>
    <x v="33"/>
    <n v="0.15"/>
  </r>
  <r>
    <x v="0"/>
    <x v="67"/>
    <n v="0.1"/>
  </r>
  <r>
    <x v="0"/>
    <x v="95"/>
    <n v="0.35"/>
  </r>
  <r>
    <x v="0"/>
    <x v="94"/>
    <n v="0.25"/>
  </r>
  <r>
    <x v="0"/>
    <x v="146"/>
    <n v="0.2"/>
  </r>
  <r>
    <x v="0"/>
    <x v="91"/>
    <n v="0.2"/>
  </r>
  <r>
    <x v="0"/>
    <x v="89"/>
    <n v="0.82"/>
  </r>
  <r>
    <x v="0"/>
    <x v="88"/>
    <n v="0.1"/>
  </r>
  <r>
    <x v="0"/>
    <x v="90"/>
    <n v="0.05"/>
  </r>
  <r>
    <x v="0"/>
    <x v="91"/>
    <n v="0.03"/>
  </r>
  <r>
    <x v="0"/>
    <x v="88"/>
    <n v="0.35"/>
  </r>
  <r>
    <x v="0"/>
    <x v="90"/>
    <n v="0.3"/>
  </r>
  <r>
    <x v="0"/>
    <x v="92"/>
    <n v="0.2"/>
  </r>
  <r>
    <x v="0"/>
    <x v="93"/>
    <n v="0.15"/>
  </r>
  <r>
    <x v="0"/>
    <x v="91"/>
    <n v="0.25"/>
  </r>
  <r>
    <x v="0"/>
    <x v="98"/>
    <n v="0.25"/>
  </r>
  <r>
    <x v="0"/>
    <x v="32"/>
    <n v="0.2"/>
  </r>
  <r>
    <x v="0"/>
    <x v="33"/>
    <n v="0.15"/>
  </r>
  <r>
    <x v="0"/>
    <x v="88"/>
    <n v="0.15"/>
  </r>
  <r>
    <x v="0"/>
    <x v="103"/>
    <n v="1"/>
  </r>
  <r>
    <x v="0"/>
    <x v="146"/>
    <n v="0.4"/>
  </r>
  <r>
    <x v="0"/>
    <x v="95"/>
    <n v="0.25"/>
  </r>
  <r>
    <x v="0"/>
    <x v="94"/>
    <n v="0.2"/>
  </r>
  <r>
    <x v="0"/>
    <x v="145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90"/>
    <n v="0.78"/>
  </r>
  <r>
    <x v="0"/>
    <x v="92"/>
    <n v="0.1"/>
  </r>
  <r>
    <x v="0"/>
    <x v="88"/>
    <n v="0.08"/>
  </r>
  <r>
    <x v="0"/>
    <x v="93"/>
    <n v="0.04"/>
  </r>
  <r>
    <x v="0"/>
    <x v="88"/>
    <n v="0.4"/>
  </r>
  <r>
    <x v="0"/>
    <x v="89"/>
    <n v="0.3"/>
  </r>
  <r>
    <x v="0"/>
    <x v="90"/>
    <n v="0.2"/>
  </r>
  <r>
    <x v="0"/>
    <x v="91"/>
    <n v="0.1"/>
  </r>
  <r>
    <x v="0"/>
    <x v="88"/>
    <n v="0.3"/>
  </r>
  <r>
    <x v="0"/>
    <x v="91"/>
    <n v="0.25"/>
  </r>
  <r>
    <x v="0"/>
    <x v="32"/>
    <n v="0.2"/>
  </r>
  <r>
    <x v="0"/>
    <x v="98"/>
    <n v="0.15"/>
  </r>
  <r>
    <x v="0"/>
    <x v="33"/>
    <n v="0.1"/>
  </r>
  <r>
    <x v="0"/>
    <x v="92"/>
    <n v="0.35"/>
  </r>
  <r>
    <x v="0"/>
    <x v="93"/>
    <n v="0.3"/>
  </r>
  <r>
    <x v="0"/>
    <x v="131"/>
    <n v="0.2"/>
  </r>
  <r>
    <x v="0"/>
    <x v="95"/>
    <n v="0.15"/>
  </r>
  <r>
    <x v="0"/>
    <x v="103"/>
    <n v="1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90"/>
    <n v="0.55000000000000004"/>
  </r>
  <r>
    <x v="0"/>
    <x v="92"/>
    <n v="0.25"/>
  </r>
  <r>
    <x v="0"/>
    <x v="88"/>
    <n v="0.2"/>
  </r>
  <r>
    <x v="0"/>
    <x v="92"/>
    <n v="0.82"/>
  </r>
  <r>
    <x v="0"/>
    <x v="93"/>
    <n v="0.1"/>
  </r>
  <r>
    <x v="0"/>
    <x v="90"/>
    <n v="0.05"/>
  </r>
  <r>
    <x v="0"/>
    <x v="88"/>
    <n v="0.03"/>
  </r>
  <r>
    <x v="0"/>
    <x v="93"/>
    <n v="0.35"/>
  </r>
  <r>
    <x v="0"/>
    <x v="90"/>
    <n v="0.25"/>
  </r>
  <r>
    <x v="0"/>
    <x v="131"/>
    <n v="0.2"/>
  </r>
  <r>
    <x v="0"/>
    <x v="95"/>
    <n v="0.2"/>
  </r>
  <r>
    <x v="0"/>
    <x v="88"/>
    <n v="0.35"/>
  </r>
  <r>
    <x v="0"/>
    <x v="90"/>
    <n v="0.3"/>
  </r>
  <r>
    <x v="0"/>
    <x v="89"/>
    <n v="0.2"/>
  </r>
  <r>
    <x v="0"/>
    <x v="91"/>
    <n v="0.15"/>
  </r>
  <r>
    <x v="0"/>
    <x v="147"/>
    <n v="0.4"/>
  </r>
  <r>
    <x v="0"/>
    <x v="104"/>
    <n v="0.35"/>
  </r>
  <r>
    <x v="0"/>
    <x v="107"/>
    <n v="0.25"/>
  </r>
  <r>
    <x v="0"/>
    <x v="88"/>
    <n v="0.3"/>
  </r>
  <r>
    <x v="0"/>
    <x v="91"/>
    <n v="0.25"/>
  </r>
  <r>
    <x v="0"/>
    <x v="32"/>
    <n v="0.2"/>
  </r>
  <r>
    <x v="0"/>
    <x v="98"/>
    <n v="0.15"/>
  </r>
  <r>
    <x v="0"/>
    <x v="33"/>
    <n v="0.1"/>
  </r>
  <r>
    <x v="0"/>
    <x v="71"/>
    <n v="0.75"/>
  </r>
  <r>
    <x v="0"/>
    <x v="70"/>
    <n v="0.25"/>
  </r>
  <r>
    <x v="0"/>
    <x v="103"/>
    <n v="1"/>
  </r>
  <r>
    <x v="0"/>
    <x v="93"/>
    <n v="0.78"/>
  </r>
  <r>
    <x v="0"/>
    <x v="92"/>
    <n v="0.12"/>
  </r>
  <r>
    <x v="0"/>
    <x v="90"/>
    <n v="0.06"/>
  </r>
  <r>
    <x v="0"/>
    <x v="148"/>
    <n v="0.04"/>
  </r>
  <r>
    <x v="0"/>
    <x v="92"/>
    <n v="0.35"/>
  </r>
  <r>
    <x v="0"/>
    <x v="90"/>
    <n v="0.25"/>
  </r>
  <r>
    <x v="0"/>
    <x v="131"/>
    <n v="0.2"/>
  </r>
  <r>
    <x v="0"/>
    <x v="95"/>
    <n v="0.2"/>
  </r>
  <r>
    <x v="0"/>
    <x v="104"/>
    <n v="0.4"/>
  </r>
  <r>
    <x v="0"/>
    <x v="147"/>
    <n v="0.35"/>
  </r>
  <r>
    <x v="0"/>
    <x v="148"/>
    <n v="0.25"/>
  </r>
  <r>
    <x v="0"/>
    <x v="92"/>
    <n v="0.35"/>
  </r>
  <r>
    <x v="0"/>
    <x v="88"/>
    <n v="0.25"/>
  </r>
  <r>
    <x v="0"/>
    <x v="90"/>
    <n v="0.2"/>
  </r>
  <r>
    <x v="0"/>
    <x v="89"/>
    <n v="0.2"/>
  </r>
  <r>
    <x v="0"/>
    <x v="88"/>
    <n v="0.3"/>
  </r>
  <r>
    <x v="0"/>
    <x v="91"/>
    <n v="0.25"/>
  </r>
  <r>
    <x v="0"/>
    <x v="32"/>
    <n v="0.2"/>
  </r>
  <r>
    <x v="0"/>
    <x v="98"/>
    <n v="0.15"/>
  </r>
  <r>
    <x v="0"/>
    <x v="33"/>
    <n v="0.1"/>
  </r>
  <r>
    <x v="0"/>
    <x v="71"/>
    <n v="0.75"/>
  </r>
  <r>
    <x v="0"/>
    <x v="70"/>
    <n v="0.25"/>
  </r>
  <r>
    <x v="0"/>
    <x v="103"/>
    <n v="1"/>
  </r>
  <r>
    <x v="0"/>
    <x v="93"/>
    <n v="0.55000000000000004"/>
  </r>
  <r>
    <x v="0"/>
    <x v="92"/>
    <n v="0.25"/>
  </r>
  <r>
    <x v="0"/>
    <x v="90"/>
    <n v="0.2"/>
  </r>
  <r>
    <x v="0"/>
    <x v="148"/>
    <n v="0.72"/>
  </r>
  <r>
    <x v="0"/>
    <x v="104"/>
    <n v="0.13"/>
  </r>
  <r>
    <x v="0"/>
    <x v="103"/>
    <n v="0.1"/>
  </r>
  <r>
    <x v="0"/>
    <x v="107"/>
    <n v="0.05"/>
  </r>
  <r>
    <x v="0"/>
    <x v="103"/>
    <n v="1"/>
  </r>
  <r>
    <x v="0"/>
    <x v="93"/>
    <n v="0.35"/>
  </r>
  <r>
    <x v="0"/>
    <x v="92"/>
    <n v="0.25"/>
  </r>
  <r>
    <x v="0"/>
    <x v="131"/>
    <n v="0.2"/>
  </r>
  <r>
    <x v="0"/>
    <x v="95"/>
    <n v="0.2"/>
  </r>
  <r>
    <x v="0"/>
    <x v="93"/>
    <n v="0.35"/>
  </r>
  <r>
    <x v="0"/>
    <x v="92"/>
    <n v="0.25"/>
  </r>
  <r>
    <x v="0"/>
    <x v="147"/>
    <n v="0.2"/>
  </r>
  <r>
    <x v="0"/>
    <x v="90"/>
    <n v="0.2"/>
  </r>
  <r>
    <x v="0"/>
    <x v="88"/>
    <n v="0.35"/>
  </r>
  <r>
    <x v="0"/>
    <x v="89"/>
    <n v="0.3"/>
  </r>
  <r>
    <x v="0"/>
    <x v="90"/>
    <n v="0.2"/>
  </r>
  <r>
    <x v="0"/>
    <x v="91"/>
    <n v="0.15"/>
  </r>
  <r>
    <x v="0"/>
    <x v="71"/>
    <n v="0.75"/>
  </r>
  <r>
    <x v="0"/>
    <x v="70"/>
    <n v="0.2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48"/>
    <n v="0.45"/>
  </r>
  <r>
    <x v="0"/>
    <x v="104"/>
    <n v="0.2"/>
  </r>
  <r>
    <x v="0"/>
    <x v="103"/>
    <n v="0.2"/>
  </r>
  <r>
    <x v="0"/>
    <x v="93"/>
    <n v="0.15"/>
  </r>
  <r>
    <x v="0"/>
    <x v="34"/>
    <n v="0.94"/>
  </r>
  <r>
    <x v="0"/>
    <x v="35"/>
    <n v="0.04"/>
  </r>
  <r>
    <x v="0"/>
    <x v="36"/>
    <n v="0.02"/>
  </r>
  <r>
    <x v="0"/>
    <x v="21"/>
    <n v="0.3"/>
  </r>
  <r>
    <x v="0"/>
    <x v="55"/>
    <n v="0.25"/>
  </r>
  <r>
    <x v="0"/>
    <x v="56"/>
    <n v="0.25"/>
  </r>
  <r>
    <x v="0"/>
    <x v="57"/>
    <n v="0.2"/>
  </r>
  <r>
    <x v="0"/>
    <x v="71"/>
    <n v="0.6"/>
  </r>
  <r>
    <x v="0"/>
    <x v="70"/>
    <n v="0.4"/>
  </r>
  <r>
    <x v="0"/>
    <x v="118"/>
    <n v="1"/>
  </r>
  <r>
    <x v="0"/>
    <x v="35"/>
    <n v="0.94"/>
  </r>
  <r>
    <x v="0"/>
    <x v="34"/>
    <n v="0.04"/>
  </r>
  <r>
    <x v="0"/>
    <x v="36"/>
    <n v="0.02"/>
  </r>
  <r>
    <x v="0"/>
    <x v="55"/>
    <n v="0.3"/>
  </r>
  <r>
    <x v="0"/>
    <x v="21"/>
    <n v="0.25"/>
  </r>
  <r>
    <x v="0"/>
    <x v="56"/>
    <n v="0.25"/>
  </r>
  <r>
    <x v="0"/>
    <x v="57"/>
    <n v="0.2"/>
  </r>
  <r>
    <x v="0"/>
    <x v="6"/>
    <n v="0.35"/>
  </r>
  <r>
    <x v="0"/>
    <x v="7"/>
    <n v="0.25"/>
  </r>
  <r>
    <x v="0"/>
    <x v="17"/>
    <n v="0.2"/>
  </r>
  <r>
    <x v="0"/>
    <x v="5"/>
    <n v="0.2"/>
  </r>
  <r>
    <x v="0"/>
    <x v="71"/>
    <n v="0.65"/>
  </r>
  <r>
    <x v="0"/>
    <x v="51"/>
    <n v="0.35"/>
  </r>
  <r>
    <x v="0"/>
    <x v="118"/>
    <n v="1"/>
  </r>
  <r>
    <x v="0"/>
    <x v="36"/>
    <n v="0.9"/>
  </r>
  <r>
    <x v="0"/>
    <x v="35"/>
    <n v="0.05"/>
  </r>
  <r>
    <x v="0"/>
    <x v="69"/>
    <n v="0.03"/>
  </r>
  <r>
    <x v="0"/>
    <x v="34"/>
    <n v="0.02"/>
  </r>
  <r>
    <x v="0"/>
    <x v="7"/>
    <n v="0.3"/>
  </r>
  <r>
    <x v="0"/>
    <x v="6"/>
    <n v="0.25"/>
  </r>
  <r>
    <x v="0"/>
    <x v="17"/>
    <n v="0.25"/>
  </r>
  <r>
    <x v="0"/>
    <x v="5"/>
    <n v="0.2"/>
  </r>
  <r>
    <x v="0"/>
    <x v="55"/>
    <n v="0.3"/>
  </r>
  <r>
    <x v="0"/>
    <x v="21"/>
    <n v="0.25"/>
  </r>
  <r>
    <x v="0"/>
    <x v="56"/>
    <n v="0.25"/>
  </r>
  <r>
    <x v="0"/>
    <x v="57"/>
    <n v="0.2"/>
  </r>
  <r>
    <x v="0"/>
    <x v="54"/>
    <n v="0.7"/>
  </r>
  <r>
    <x v="0"/>
    <x v="149"/>
    <n v="0.3"/>
  </r>
  <r>
    <x v="0"/>
    <x v="118"/>
    <n v="1"/>
  </r>
  <r>
    <x v="0"/>
    <x v="118"/>
    <n v="0.96"/>
  </r>
  <r>
    <x v="0"/>
    <x v="17"/>
    <n v="0.02"/>
  </r>
  <r>
    <x v="0"/>
    <x v="7"/>
    <n v="0.02"/>
  </r>
  <r>
    <x v="0"/>
    <x v="17"/>
    <n v="0.35"/>
  </r>
  <r>
    <x v="0"/>
    <x v="6"/>
    <n v="0.25"/>
  </r>
  <r>
    <x v="0"/>
    <x v="7"/>
    <n v="0.25"/>
  </r>
  <r>
    <x v="0"/>
    <x v="5"/>
    <n v="0.15"/>
  </r>
  <r>
    <x v="0"/>
    <x v="69"/>
    <n v="0.5"/>
  </r>
  <r>
    <x v="0"/>
    <x v="36"/>
    <n v="0.25"/>
  </r>
  <r>
    <x v="0"/>
    <x v="35"/>
    <n v="0.15"/>
  </r>
  <r>
    <x v="0"/>
    <x v="34"/>
    <n v="0.1"/>
  </r>
  <r>
    <x v="0"/>
    <x v="150"/>
    <n v="0.45"/>
  </r>
  <r>
    <x v="0"/>
    <x v="10"/>
    <n v="0.3"/>
  </r>
  <r>
    <x v="0"/>
    <x v="9"/>
    <n v="0.25"/>
  </r>
  <r>
    <x v="0"/>
    <x v="150"/>
    <n v="0.5"/>
  </r>
  <r>
    <x v="0"/>
    <x v="55"/>
    <n v="0.25"/>
  </r>
  <r>
    <x v="0"/>
    <x v="21"/>
    <n v="0.25"/>
  </r>
  <r>
    <x v="0"/>
    <x v="20"/>
    <n v="0.88"/>
  </r>
  <r>
    <x v="0"/>
    <x v="19"/>
    <n v="0.06"/>
  </r>
  <r>
    <x v="0"/>
    <x v="151"/>
    <n v="0.06"/>
  </r>
  <r>
    <x v="0"/>
    <x v="20"/>
    <n v="0.55000000000000004"/>
  </r>
  <r>
    <x v="0"/>
    <x v="55"/>
    <n v="0.25"/>
  </r>
  <r>
    <x v="0"/>
    <x v="21"/>
    <n v="0.2"/>
  </r>
  <r>
    <x v="0"/>
    <x v="58"/>
    <n v="0.45"/>
  </r>
  <r>
    <x v="0"/>
    <x v="62"/>
    <n v="0.35"/>
  </r>
  <r>
    <x v="0"/>
    <x v="63"/>
    <n v="0.2"/>
  </r>
  <r>
    <x v="0"/>
    <x v="34"/>
    <n v="0.4"/>
  </r>
  <r>
    <x v="0"/>
    <x v="35"/>
    <n v="0.3"/>
  </r>
  <r>
    <x v="0"/>
    <x v="36"/>
    <n v="0.3"/>
  </r>
  <r>
    <x v="0"/>
    <x v="20"/>
    <n v="0.6"/>
  </r>
  <r>
    <x v="0"/>
    <x v="19"/>
    <n v="0.2"/>
  </r>
  <r>
    <x v="0"/>
    <x v="151"/>
    <n v="0.2"/>
  </r>
  <r>
    <x v="0"/>
    <x v="19"/>
    <n v="0.84"/>
  </r>
  <r>
    <x v="0"/>
    <x v="84"/>
    <n v="0.08"/>
  </r>
  <r>
    <x v="0"/>
    <x v="57"/>
    <n v="0.04"/>
  </r>
  <r>
    <x v="0"/>
    <x v="151"/>
    <n v="0.04"/>
  </r>
  <r>
    <x v="0"/>
    <x v="55"/>
    <n v="0.35"/>
  </r>
  <r>
    <x v="0"/>
    <x v="61"/>
    <n v="0.35"/>
  </r>
  <r>
    <x v="0"/>
    <x v="20"/>
    <n v="0.3"/>
  </r>
  <r>
    <x v="0"/>
    <x v="58"/>
    <n v="0.45"/>
  </r>
  <r>
    <x v="0"/>
    <x v="62"/>
    <n v="0.35"/>
  </r>
  <r>
    <x v="0"/>
    <x v="63"/>
    <n v="0.2"/>
  </r>
  <r>
    <x v="0"/>
    <x v="19"/>
    <n v="0.6"/>
  </r>
  <r>
    <x v="0"/>
    <x v="84"/>
    <n v="0.2"/>
  </r>
  <r>
    <x v="0"/>
    <x v="57"/>
    <n v="0.2"/>
  </r>
  <r>
    <x v="0"/>
    <x v="21"/>
    <n v="0.9"/>
  </r>
  <r>
    <x v="0"/>
    <x v="55"/>
    <n v="0.06"/>
  </r>
  <r>
    <x v="0"/>
    <x v="56"/>
    <n v="0.04"/>
  </r>
  <r>
    <x v="0"/>
    <x v="55"/>
    <n v="0.4"/>
  </r>
  <r>
    <x v="0"/>
    <x v="61"/>
    <n v="0.3"/>
  </r>
  <r>
    <x v="0"/>
    <x v="34"/>
    <n v="0.3"/>
  </r>
  <r>
    <x v="0"/>
    <x v="34"/>
    <n v="0.4"/>
  </r>
  <r>
    <x v="0"/>
    <x v="35"/>
    <n v="0.3"/>
  </r>
  <r>
    <x v="0"/>
    <x v="36"/>
    <n v="0.3"/>
  </r>
  <r>
    <x v="0"/>
    <x v="58"/>
    <n v="0.45"/>
  </r>
  <r>
    <x v="0"/>
    <x v="62"/>
    <n v="0.35"/>
  </r>
  <r>
    <x v="0"/>
    <x v="63"/>
    <n v="0.2"/>
  </r>
  <r>
    <x v="0"/>
    <x v="55"/>
    <n v="0.78"/>
  </r>
  <r>
    <x v="0"/>
    <x v="21"/>
    <n v="0.12"/>
  </r>
  <r>
    <x v="0"/>
    <x v="61"/>
    <n v="0.1"/>
  </r>
  <r>
    <x v="0"/>
    <x v="55"/>
    <n v="0.55000000000000004"/>
  </r>
  <r>
    <x v="0"/>
    <x v="21"/>
    <n v="0.2"/>
  </r>
  <r>
    <x v="0"/>
    <x v="56"/>
    <n v="0.15"/>
  </r>
  <r>
    <x v="0"/>
    <x v="57"/>
    <n v="0.1"/>
  </r>
  <r>
    <x v="0"/>
    <x v="34"/>
    <n v="0.4"/>
  </r>
  <r>
    <x v="0"/>
    <x v="35"/>
    <n v="0.35"/>
  </r>
  <r>
    <x v="0"/>
    <x v="36"/>
    <n v="0.25"/>
  </r>
  <r>
    <x v="0"/>
    <x v="58"/>
    <n v="0.4"/>
  </r>
  <r>
    <x v="0"/>
    <x v="62"/>
    <n v="0.3"/>
  </r>
  <r>
    <x v="0"/>
    <x v="63"/>
    <n v="0.3"/>
  </r>
  <r>
    <x v="0"/>
    <x v="55"/>
    <n v="0.55000000000000004"/>
  </r>
  <r>
    <x v="0"/>
    <x v="21"/>
    <n v="0.25"/>
  </r>
  <r>
    <x v="0"/>
    <x v="56"/>
    <n v="0.2"/>
  </r>
  <r>
    <x v="0"/>
    <x v="57"/>
    <n v="0.84"/>
  </r>
  <r>
    <x v="0"/>
    <x v="19"/>
    <n v="0.08"/>
  </r>
  <r>
    <x v="0"/>
    <x v="56"/>
    <n v="0.04"/>
  </r>
  <r>
    <x v="0"/>
    <x v="61"/>
    <n v="0.04"/>
  </r>
  <r>
    <x v="0"/>
    <x v="61"/>
    <n v="0.35"/>
  </r>
  <r>
    <x v="0"/>
    <x v="55"/>
    <n v="0.35"/>
  </r>
  <r>
    <x v="0"/>
    <x v="20"/>
    <n v="0.3"/>
  </r>
  <r>
    <x v="0"/>
    <x v="58"/>
    <n v="0.45"/>
  </r>
  <r>
    <x v="0"/>
    <x v="62"/>
    <n v="0.35"/>
  </r>
  <r>
    <x v="0"/>
    <x v="63"/>
    <n v="0.2"/>
  </r>
  <r>
    <x v="0"/>
    <x v="57"/>
    <n v="0.55000000000000004"/>
  </r>
  <r>
    <x v="0"/>
    <x v="19"/>
    <n v="0.25"/>
  </r>
  <r>
    <x v="0"/>
    <x v="61"/>
    <n v="0.2"/>
  </r>
  <r>
    <x v="0"/>
    <x v="58"/>
    <n v="0.7"/>
  </r>
  <r>
    <x v="0"/>
    <x v="62"/>
    <n v="0.12"/>
  </r>
  <r>
    <x v="0"/>
    <x v="63"/>
    <n v="0.1"/>
  </r>
  <r>
    <x v="0"/>
    <x v="152"/>
    <n v="0.08"/>
  </r>
  <r>
    <x v="0"/>
    <x v="58"/>
    <n v="0.4"/>
  </r>
  <r>
    <x v="0"/>
    <x v="20"/>
    <n v="0.3"/>
  </r>
  <r>
    <x v="0"/>
    <x v="19"/>
    <n v="0.15"/>
  </r>
  <r>
    <x v="0"/>
    <x v="57"/>
    <n v="0.15"/>
  </r>
  <r>
    <x v="0"/>
    <x v="58"/>
    <n v="0.45"/>
  </r>
  <r>
    <x v="0"/>
    <x v="153"/>
    <n v="0.25"/>
  </r>
  <r>
    <x v="0"/>
    <x v="150"/>
    <n v="0.15"/>
  </r>
  <r>
    <x v="0"/>
    <x v="20"/>
    <n v="0.15"/>
  </r>
  <r>
    <x v="0"/>
    <x v="144"/>
    <n v="0.35"/>
  </r>
  <r>
    <x v="0"/>
    <x v="143"/>
    <n v="0.35"/>
  </r>
  <r>
    <x v="0"/>
    <x v="154"/>
    <n v="0.3"/>
  </r>
  <r>
    <x v="0"/>
    <x v="155"/>
    <n v="0.35"/>
  </r>
  <r>
    <x v="0"/>
    <x v="156"/>
    <n v="0.35"/>
  </r>
  <r>
    <x v="0"/>
    <x v="101"/>
    <n v="0.3"/>
  </r>
  <r>
    <x v="0"/>
    <x v="58"/>
    <n v="0.55000000000000004"/>
  </r>
  <r>
    <x v="0"/>
    <x v="62"/>
    <n v="0.2"/>
  </r>
  <r>
    <x v="0"/>
    <x v="63"/>
    <n v="0.15"/>
  </r>
  <r>
    <x v="0"/>
    <x v="152"/>
    <n v="0.1"/>
  </r>
  <r>
    <x v="0"/>
    <x v="62"/>
    <n v="0.84"/>
  </r>
  <r>
    <x v="0"/>
    <x v="63"/>
    <n v="0.08"/>
  </r>
  <r>
    <x v="0"/>
    <x v="73"/>
    <n v="0.04"/>
  </r>
  <r>
    <x v="0"/>
    <x v="157"/>
    <n v="0.04"/>
  </r>
  <r>
    <x v="0"/>
    <x v="144"/>
    <n v="0.35"/>
  </r>
  <r>
    <x v="0"/>
    <x v="73"/>
    <n v="0.25"/>
  </r>
  <r>
    <x v="0"/>
    <x v="143"/>
    <n v="0.2"/>
  </r>
  <r>
    <x v="0"/>
    <x v="154"/>
    <n v="0.2"/>
  </r>
  <r>
    <x v="0"/>
    <x v="155"/>
    <n v="0.4"/>
  </r>
  <r>
    <x v="0"/>
    <x v="156"/>
    <n v="0.3"/>
  </r>
  <r>
    <x v="0"/>
    <x v="101"/>
    <n v="0.3"/>
  </r>
  <r>
    <x v="0"/>
    <x v="58"/>
    <n v="0.35"/>
  </r>
  <r>
    <x v="0"/>
    <x v="20"/>
    <n v="0.25"/>
  </r>
  <r>
    <x v="0"/>
    <x v="19"/>
    <n v="0.2"/>
  </r>
  <r>
    <x v="0"/>
    <x v="57"/>
    <n v="0.2"/>
  </r>
  <r>
    <x v="0"/>
    <x v="10"/>
    <n v="0.4"/>
  </r>
  <r>
    <x v="0"/>
    <x v="9"/>
    <n v="0.3"/>
  </r>
  <r>
    <x v="0"/>
    <x v="150"/>
    <n v="0.3"/>
  </r>
  <r>
    <x v="0"/>
    <x v="62"/>
    <n v="0.55000000000000004"/>
  </r>
  <r>
    <x v="0"/>
    <x v="63"/>
    <n v="0.25"/>
  </r>
  <r>
    <x v="0"/>
    <x v="73"/>
    <n v="0.1"/>
  </r>
  <r>
    <x v="0"/>
    <x v="144"/>
    <n v="0.1"/>
  </r>
  <r>
    <x v="0"/>
    <x v="100"/>
    <n v="0.78"/>
  </r>
  <r>
    <x v="0"/>
    <x v="62"/>
    <n v="0.12"/>
  </r>
  <r>
    <x v="0"/>
    <x v="63"/>
    <n v="0.06"/>
  </r>
  <r>
    <x v="0"/>
    <x v="155"/>
    <n v="0.04"/>
  </r>
  <r>
    <x v="0"/>
    <x v="155"/>
    <n v="0.35"/>
  </r>
  <r>
    <x v="0"/>
    <x v="156"/>
    <n v="0.3"/>
  </r>
  <r>
    <x v="0"/>
    <x v="101"/>
    <n v="0.2"/>
  </r>
  <r>
    <x v="0"/>
    <x v="100"/>
    <n v="0.15"/>
  </r>
  <r>
    <x v="0"/>
    <x v="155"/>
    <n v="0.35"/>
  </r>
  <r>
    <x v="0"/>
    <x v="154"/>
    <n v="0.35"/>
  </r>
  <r>
    <x v="0"/>
    <x v="144"/>
    <n v="0.3"/>
  </r>
  <r>
    <x v="0"/>
    <x v="58"/>
    <n v="0.35"/>
  </r>
  <r>
    <x v="0"/>
    <x v="20"/>
    <n v="0.25"/>
  </r>
  <r>
    <x v="0"/>
    <x v="19"/>
    <n v="0.2"/>
  </r>
  <r>
    <x v="0"/>
    <x v="57"/>
    <n v="0.2"/>
  </r>
  <r>
    <x v="0"/>
    <x v="100"/>
    <n v="0.5"/>
  </r>
  <r>
    <x v="0"/>
    <x v="62"/>
    <n v="0.2"/>
  </r>
  <r>
    <x v="0"/>
    <x v="63"/>
    <n v="0.15"/>
  </r>
  <r>
    <x v="0"/>
    <x v="155"/>
    <n v="0.15"/>
  </r>
  <r>
    <x v="0"/>
    <x v="158"/>
    <n v="0.78"/>
  </r>
  <r>
    <x v="0"/>
    <x v="156"/>
    <n v="0.1"/>
  </r>
  <r>
    <x v="0"/>
    <x v="155"/>
    <n v="7.0000000000000007E-2"/>
  </r>
  <r>
    <x v="0"/>
    <x v="101"/>
    <n v="0.05"/>
  </r>
  <r>
    <x v="0"/>
    <x v="156"/>
    <n v="0.3"/>
  </r>
  <r>
    <x v="0"/>
    <x v="155"/>
    <n v="0.25"/>
  </r>
  <r>
    <x v="0"/>
    <x v="154"/>
    <n v="0.25"/>
  </r>
  <r>
    <x v="0"/>
    <x v="143"/>
    <n v="0.2"/>
  </r>
  <r>
    <x v="0"/>
    <x v="20"/>
    <n v="0.3"/>
  </r>
  <r>
    <x v="0"/>
    <x v="19"/>
    <n v="0.25"/>
  </r>
  <r>
    <x v="0"/>
    <x v="58"/>
    <n v="0.25"/>
  </r>
  <r>
    <x v="0"/>
    <x v="57"/>
    <n v="0.2"/>
  </r>
  <r>
    <x v="0"/>
    <x v="10"/>
    <n v="0.4"/>
  </r>
  <r>
    <x v="0"/>
    <x v="9"/>
    <n v="0.3"/>
  </r>
  <r>
    <x v="0"/>
    <x v="150"/>
    <n v="0.3"/>
  </r>
  <r>
    <x v="0"/>
    <x v="50"/>
    <n v="0.48"/>
  </r>
  <r>
    <x v="0"/>
    <x v="49"/>
    <n v="0.18"/>
  </r>
  <r>
    <x v="0"/>
    <x v="38"/>
    <n v="0.18"/>
  </r>
  <r>
    <x v="0"/>
    <x v="48"/>
    <n v="0.16"/>
  </r>
  <r>
    <x v="0"/>
    <x v="30"/>
    <n v="0.3"/>
  </r>
  <r>
    <x v="0"/>
    <x v="18"/>
    <n v="0.25"/>
  </r>
  <r>
    <x v="0"/>
    <x v="26"/>
    <n v="0.25"/>
  </r>
  <r>
    <x v="0"/>
    <x v="72"/>
    <n v="0.2"/>
  </r>
  <r>
    <x v="0"/>
    <x v="158"/>
    <n v="0.55000000000000004"/>
  </r>
  <r>
    <x v="0"/>
    <x v="156"/>
    <n v="0.2"/>
  </r>
  <r>
    <x v="0"/>
    <x v="155"/>
    <n v="0.15"/>
  </r>
  <r>
    <x v="0"/>
    <x v="101"/>
    <n v="0.1"/>
  </r>
  <r>
    <x v="0"/>
    <x v="143"/>
    <n v="0.86"/>
  </r>
  <r>
    <x v="0"/>
    <x v="144"/>
    <n v="0.06"/>
  </r>
  <r>
    <x v="0"/>
    <x v="154"/>
    <n v="0.04"/>
  </r>
  <r>
    <x v="0"/>
    <x v="10"/>
    <n v="0.04"/>
  </r>
  <r>
    <x v="0"/>
    <x v="10"/>
    <n v="0.4"/>
  </r>
  <r>
    <x v="0"/>
    <x v="9"/>
    <n v="0.35"/>
  </r>
  <r>
    <x v="0"/>
    <x v="150"/>
    <n v="0.25"/>
  </r>
  <r>
    <x v="0"/>
    <x v="154"/>
    <n v="0.35"/>
  </r>
  <r>
    <x v="0"/>
    <x v="144"/>
    <n v="0.3"/>
  </r>
  <r>
    <x v="0"/>
    <x v="155"/>
    <n v="0.2"/>
  </r>
  <r>
    <x v="0"/>
    <x v="156"/>
    <n v="0.15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20"/>
    <n v="0.3"/>
  </r>
  <r>
    <x v="0"/>
    <x v="19"/>
    <n v="0.25"/>
  </r>
  <r>
    <x v="0"/>
    <x v="58"/>
    <n v="0.25"/>
  </r>
  <r>
    <x v="0"/>
    <x v="57"/>
    <n v="0.2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54"/>
    <n v="0.8"/>
  </r>
  <r>
    <x v="0"/>
    <x v="143"/>
    <n v="0.08"/>
  </r>
  <r>
    <x v="0"/>
    <x v="144"/>
    <n v="0.06"/>
  </r>
  <r>
    <x v="0"/>
    <x v="162"/>
    <n v="0.06"/>
  </r>
  <r>
    <x v="0"/>
    <x v="10"/>
    <n v="0.4"/>
  </r>
  <r>
    <x v="0"/>
    <x v="9"/>
    <n v="0.35"/>
  </r>
  <r>
    <x v="0"/>
    <x v="150"/>
    <n v="0.25"/>
  </r>
  <r>
    <x v="0"/>
    <x v="155"/>
    <n v="0.3"/>
  </r>
  <r>
    <x v="0"/>
    <x v="162"/>
    <n v="0.25"/>
  </r>
  <r>
    <x v="0"/>
    <x v="156"/>
    <n v="0.25"/>
  </r>
  <r>
    <x v="0"/>
    <x v="158"/>
    <n v="0.2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44"/>
    <n v="0.84"/>
  </r>
  <r>
    <x v="0"/>
    <x v="143"/>
    <n v="0.08"/>
  </r>
  <r>
    <x v="0"/>
    <x v="154"/>
    <n v="0.04"/>
  </r>
  <r>
    <x v="0"/>
    <x v="73"/>
    <n v="0.04"/>
  </r>
  <r>
    <x v="0"/>
    <x v="10"/>
    <n v="0.4"/>
  </r>
  <r>
    <x v="0"/>
    <x v="9"/>
    <n v="0.35"/>
  </r>
  <r>
    <x v="0"/>
    <x v="150"/>
    <n v="0.25"/>
  </r>
  <r>
    <x v="0"/>
    <x v="62"/>
    <n v="0.4"/>
  </r>
  <r>
    <x v="0"/>
    <x v="73"/>
    <n v="0.3"/>
  </r>
  <r>
    <x v="0"/>
    <x v="154"/>
    <n v="0.3"/>
  </r>
  <r>
    <x v="0"/>
    <x v="154"/>
    <n v="0.3"/>
  </r>
  <r>
    <x v="0"/>
    <x v="155"/>
    <n v="0.25"/>
  </r>
  <r>
    <x v="0"/>
    <x v="156"/>
    <n v="0.25"/>
  </r>
  <r>
    <x v="0"/>
    <x v="158"/>
    <n v="0.2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25"/>
    <n v="0.65"/>
  </r>
  <r>
    <x v="0"/>
    <x v="17"/>
    <n v="0.2"/>
  </r>
  <r>
    <x v="0"/>
    <x v="6"/>
    <n v="0.08"/>
  </r>
  <r>
    <x v="0"/>
    <x v="5"/>
    <n v="7.0000000000000007E-2"/>
  </r>
  <r>
    <x v="0"/>
    <x v="127"/>
    <n v="0.5"/>
  </r>
  <r>
    <x v="0"/>
    <x v="159"/>
    <n v="0.2"/>
  </r>
  <r>
    <x v="0"/>
    <x v="161"/>
    <n v="0.15"/>
  </r>
  <r>
    <x v="0"/>
    <x v="125"/>
    <n v="0.15"/>
  </r>
  <r>
    <x v="0"/>
    <x v="118"/>
    <n v="1"/>
  </r>
  <r>
    <x v="0"/>
    <x v="4"/>
    <n v="0.75"/>
  </r>
  <r>
    <x v="0"/>
    <x v="125"/>
    <n v="0.25"/>
  </r>
  <r>
    <x v="0"/>
    <x v="8"/>
    <n v="0.8"/>
  </r>
  <r>
    <x v="0"/>
    <x v="125"/>
    <n v="0.2"/>
  </r>
  <r>
    <x v="0"/>
    <x v="5"/>
    <n v="0.82"/>
  </r>
  <r>
    <x v="0"/>
    <x v="6"/>
    <n v="0.08"/>
  </r>
  <r>
    <x v="0"/>
    <x v="7"/>
    <n v="0.05"/>
  </r>
  <r>
    <x v="0"/>
    <x v="17"/>
    <n v="0.05"/>
  </r>
  <r>
    <x v="0"/>
    <x v="8"/>
    <n v="0.85"/>
  </r>
  <r>
    <x v="0"/>
    <x v="5"/>
    <n v="0.15"/>
  </r>
  <r>
    <x v="0"/>
    <x v="127"/>
    <n v="0.4"/>
  </r>
  <r>
    <x v="0"/>
    <x v="125"/>
    <n v="0.25"/>
  </r>
  <r>
    <x v="0"/>
    <x v="161"/>
    <n v="0.2"/>
  </r>
  <r>
    <x v="0"/>
    <x v="159"/>
    <n v="0.15"/>
  </r>
  <r>
    <x v="0"/>
    <x v="4"/>
    <n v="0.75"/>
  </r>
  <r>
    <x v="0"/>
    <x v="5"/>
    <n v="0.25"/>
  </r>
  <r>
    <x v="0"/>
    <x v="109"/>
    <n v="0.35"/>
  </r>
  <r>
    <x v="0"/>
    <x v="111"/>
    <n v="0.35"/>
  </r>
  <r>
    <x v="0"/>
    <x v="110"/>
    <n v="0.3"/>
  </r>
  <r>
    <x v="0"/>
    <x v="118"/>
    <n v="1"/>
  </r>
  <r>
    <x v="0"/>
    <x v="8"/>
    <n v="1"/>
  </r>
  <r>
    <x v="0"/>
    <x v="5"/>
    <n v="0.45"/>
  </r>
  <r>
    <x v="0"/>
    <x v="6"/>
    <n v="0.2"/>
  </r>
  <r>
    <x v="0"/>
    <x v="7"/>
    <n v="0.2"/>
  </r>
  <r>
    <x v="0"/>
    <x v="17"/>
    <n v="0.15"/>
  </r>
  <r>
    <x v="0"/>
    <x v="4"/>
    <n v="0.75"/>
  </r>
  <r>
    <x v="0"/>
    <x v="8"/>
    <n v="0.25"/>
  </r>
  <r>
    <x v="0"/>
    <x v="111"/>
    <n v="0.45"/>
  </r>
  <r>
    <x v="0"/>
    <x v="109"/>
    <n v="0.3"/>
  </r>
  <r>
    <x v="0"/>
    <x v="110"/>
    <n v="0.25"/>
  </r>
  <r>
    <x v="0"/>
    <x v="5"/>
    <n v="0.35"/>
  </r>
  <r>
    <x v="0"/>
    <x v="127"/>
    <n v="0.3"/>
  </r>
  <r>
    <x v="0"/>
    <x v="161"/>
    <n v="0.2"/>
  </r>
  <r>
    <x v="0"/>
    <x v="159"/>
    <n v="0.15"/>
  </r>
  <r>
    <x v="0"/>
    <x v="8"/>
    <n v="0.7"/>
  </r>
  <r>
    <x v="0"/>
    <x v="129"/>
    <n v="0.3"/>
  </r>
  <r>
    <x v="0"/>
    <x v="127"/>
    <n v="0.94"/>
  </r>
  <r>
    <x v="0"/>
    <x v="125"/>
    <n v="0.03"/>
  </r>
  <r>
    <x v="0"/>
    <x v="161"/>
    <n v="0.03"/>
  </r>
  <r>
    <x v="0"/>
    <x v="125"/>
    <n v="0.35"/>
  </r>
  <r>
    <x v="0"/>
    <x v="17"/>
    <n v="0.25"/>
  </r>
  <r>
    <x v="0"/>
    <x v="6"/>
    <n v="0.2"/>
  </r>
  <r>
    <x v="0"/>
    <x v="7"/>
    <n v="0.2"/>
  </r>
  <r>
    <x v="0"/>
    <x v="118"/>
    <n v="1"/>
  </r>
  <r>
    <x v="0"/>
    <x v="8"/>
    <n v="1"/>
  </r>
  <r>
    <x v="0"/>
    <x v="9"/>
    <n v="0.45"/>
  </r>
  <r>
    <x v="0"/>
    <x v="10"/>
    <n v="0.3"/>
  </r>
  <r>
    <x v="0"/>
    <x v="150"/>
    <n v="0.25"/>
  </r>
  <r>
    <x v="0"/>
    <x v="160"/>
    <n v="0.92"/>
  </r>
  <r>
    <x v="0"/>
    <x v="159"/>
    <n v="0.05"/>
  </r>
  <r>
    <x v="0"/>
    <x v="127"/>
    <n v="0.03"/>
  </r>
  <r>
    <x v="0"/>
    <x v="8"/>
    <n v="1"/>
  </r>
  <r>
    <x v="0"/>
    <x v="9"/>
    <n v="0.45"/>
  </r>
  <r>
    <x v="0"/>
    <x v="10"/>
    <n v="0.3"/>
  </r>
  <r>
    <x v="0"/>
    <x v="150"/>
    <n v="0.25"/>
  </r>
  <r>
    <x v="0"/>
    <x v="125"/>
    <n v="0.35"/>
  </r>
  <r>
    <x v="0"/>
    <x v="17"/>
    <n v="0.25"/>
  </r>
  <r>
    <x v="0"/>
    <x v="6"/>
    <n v="0.2"/>
  </r>
  <r>
    <x v="0"/>
    <x v="7"/>
    <n v="0.2"/>
  </r>
  <r>
    <x v="0"/>
    <x v="118"/>
    <n v="1"/>
  </r>
  <r>
    <x v="0"/>
    <x v="159"/>
    <n v="0.76"/>
  </r>
  <r>
    <x v="0"/>
    <x v="127"/>
    <n v="0.1"/>
  </r>
  <r>
    <x v="0"/>
    <x v="160"/>
    <n v="0.08"/>
  </r>
  <r>
    <x v="0"/>
    <x v="125"/>
    <n v="0.06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8"/>
    <n v="1"/>
  </r>
  <r>
    <x v="0"/>
    <x v="125"/>
    <n v="0.3"/>
  </r>
  <r>
    <x v="0"/>
    <x v="17"/>
    <n v="0.25"/>
  </r>
  <r>
    <x v="0"/>
    <x v="7"/>
    <n v="0.25"/>
  </r>
  <r>
    <x v="0"/>
    <x v="6"/>
    <n v="0.2"/>
  </r>
  <r>
    <x v="0"/>
    <x v="9"/>
    <n v="0.45"/>
  </r>
  <r>
    <x v="0"/>
    <x v="10"/>
    <n v="0.3"/>
  </r>
  <r>
    <x v="0"/>
    <x v="150"/>
    <n v="0.25"/>
  </r>
  <r>
    <x v="0"/>
    <x v="143"/>
    <n v="0.35"/>
  </r>
  <r>
    <x v="0"/>
    <x v="154"/>
    <n v="0.35"/>
  </r>
  <r>
    <x v="0"/>
    <x v="150"/>
    <n v="0.3"/>
  </r>
  <r>
    <x v="0"/>
    <x v="118"/>
    <n v="1"/>
  </r>
  <r>
    <x v="0"/>
    <x v="4"/>
    <n v="1"/>
  </r>
  <r>
    <x v="0"/>
    <x v="163"/>
    <n v="0.8"/>
  </r>
  <r>
    <x v="0"/>
    <x v="127"/>
    <n v="0.1"/>
  </r>
  <r>
    <x v="0"/>
    <x v="125"/>
    <n v="0.05"/>
  </r>
  <r>
    <x v="0"/>
    <x v="159"/>
    <n v="0.05"/>
  </r>
  <r>
    <x v="0"/>
    <x v="34"/>
    <n v="0.45"/>
  </r>
  <r>
    <x v="0"/>
    <x v="35"/>
    <n v="0.3"/>
  </r>
  <r>
    <x v="0"/>
    <x v="36"/>
    <n v="0.25"/>
  </r>
  <r>
    <x v="0"/>
    <x v="21"/>
    <n v="0.3"/>
  </r>
  <r>
    <x v="0"/>
    <x v="20"/>
    <n v="0.25"/>
  </r>
  <r>
    <x v="0"/>
    <x v="19"/>
    <n v="0.2"/>
  </r>
  <r>
    <x v="0"/>
    <x v="55"/>
    <n v="0.15"/>
  </r>
  <r>
    <x v="0"/>
    <x v="57"/>
    <n v="0.1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25"/>
    <n v="0.3"/>
  </r>
  <r>
    <x v="0"/>
    <x v="17"/>
    <n v="0.25"/>
  </r>
  <r>
    <x v="0"/>
    <x v="7"/>
    <n v="0.25"/>
  </r>
  <r>
    <x v="0"/>
    <x v="6"/>
    <n v="0.2"/>
  </r>
  <r>
    <x v="0"/>
    <x v="8"/>
    <n v="1"/>
  </r>
  <r>
    <x v="0"/>
    <x v="118"/>
    <n v="1"/>
  </r>
  <r>
    <x v="0"/>
    <x v="9"/>
    <n v="0.45"/>
  </r>
  <r>
    <x v="0"/>
    <x v="10"/>
    <n v="0.3"/>
  </r>
  <r>
    <x v="0"/>
    <x v="150"/>
    <n v="0.25"/>
  </r>
  <r>
    <x v="0"/>
    <x v="161"/>
    <n v="0.84"/>
  </r>
  <r>
    <x v="0"/>
    <x v="127"/>
    <n v="0.08"/>
  </r>
  <r>
    <x v="0"/>
    <x v="5"/>
    <n v="0.05"/>
  </r>
  <r>
    <x v="0"/>
    <x v="125"/>
    <n v="0.03"/>
  </r>
  <r>
    <x v="0"/>
    <x v="5"/>
    <n v="0.3"/>
  </r>
  <r>
    <x v="0"/>
    <x v="17"/>
    <n v="0.25"/>
  </r>
  <r>
    <x v="0"/>
    <x v="125"/>
    <n v="0.25"/>
  </r>
  <r>
    <x v="0"/>
    <x v="6"/>
    <n v="0.2"/>
  </r>
  <r>
    <x v="0"/>
    <x v="8"/>
    <n v="1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18"/>
    <n v="1"/>
  </r>
  <r>
    <x v="0"/>
    <x v="9"/>
    <n v="0.45"/>
  </r>
  <r>
    <x v="0"/>
    <x v="10"/>
    <n v="0.3"/>
  </r>
  <r>
    <x v="0"/>
    <x v="150"/>
    <n v="0.25"/>
  </r>
  <r>
    <x v="0"/>
    <x v="164"/>
    <n v="0.8"/>
  </r>
  <r>
    <x v="0"/>
    <x v="127"/>
    <n v="0.1"/>
  </r>
  <r>
    <x v="0"/>
    <x v="161"/>
    <n v="0.06"/>
  </r>
  <r>
    <x v="0"/>
    <x v="159"/>
    <n v="0.04"/>
  </r>
  <r>
    <x v="0"/>
    <x v="8"/>
    <n v="1"/>
  </r>
  <r>
    <x v="0"/>
    <x v="5"/>
    <n v="0.3"/>
  </r>
  <r>
    <x v="0"/>
    <x v="125"/>
    <n v="0.25"/>
  </r>
  <r>
    <x v="0"/>
    <x v="17"/>
    <n v="0.25"/>
  </r>
  <r>
    <x v="0"/>
    <x v="6"/>
    <n v="0.2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118"/>
    <n v="1"/>
  </r>
  <r>
    <x v="0"/>
    <x v="9"/>
    <n v="0.45"/>
  </r>
  <r>
    <x v="0"/>
    <x v="10"/>
    <n v="0.3"/>
  </r>
  <r>
    <x v="0"/>
    <x v="150"/>
    <n v="0.25"/>
  </r>
  <r>
    <x v="0"/>
    <x v="4"/>
    <n v="1"/>
  </r>
  <r>
    <x v="0"/>
    <x v="49"/>
    <n v="0.78"/>
  </r>
  <r>
    <x v="0"/>
    <x v="39"/>
    <n v="0.1"/>
  </r>
  <r>
    <x v="0"/>
    <x v="165"/>
    <n v="7.0000000000000007E-2"/>
  </r>
  <r>
    <x v="0"/>
    <x v="50"/>
    <n v="0.05"/>
  </r>
  <r>
    <x v="0"/>
    <x v="50"/>
    <n v="0.88"/>
  </r>
  <r>
    <x v="0"/>
    <x v="49"/>
    <n v="7.0000000000000007E-2"/>
  </r>
  <r>
    <x v="0"/>
    <x v="165"/>
    <n v="0.03"/>
  </r>
  <r>
    <x v="0"/>
    <x v="39"/>
    <n v="0.02"/>
  </r>
  <r>
    <x v="0"/>
    <x v="39"/>
    <n v="0.88"/>
  </r>
  <r>
    <x v="0"/>
    <x v="49"/>
    <n v="0.08"/>
  </r>
  <r>
    <x v="0"/>
    <x v="38"/>
    <n v="0.04"/>
  </r>
  <r>
    <x v="0"/>
    <x v="165"/>
    <n v="0.82"/>
  </r>
  <r>
    <x v="0"/>
    <x v="48"/>
    <n v="0.12"/>
  </r>
  <r>
    <x v="0"/>
    <x v="49"/>
    <n v="0.06"/>
  </r>
  <r>
    <x v="0"/>
    <x v="166"/>
    <n v="0.7"/>
  </r>
  <r>
    <x v="0"/>
    <x v="50"/>
    <n v="0.3"/>
  </r>
  <r>
    <x v="0"/>
    <x v="128"/>
    <n v="0.55000000000000004"/>
  </r>
  <r>
    <x v="0"/>
    <x v="8"/>
    <n v="0.45"/>
  </r>
  <r>
    <x v="0"/>
    <x v="127"/>
    <n v="0.4"/>
  </r>
  <r>
    <x v="0"/>
    <x v="159"/>
    <n v="0.25"/>
  </r>
  <r>
    <x v="0"/>
    <x v="160"/>
    <n v="0.2"/>
  </r>
  <r>
    <x v="0"/>
    <x v="161"/>
    <n v="0.15"/>
  </r>
  <r>
    <x v="0"/>
    <x v="143"/>
    <n v="0.4"/>
  </r>
  <r>
    <x v="0"/>
    <x v="154"/>
    <n v="0.35"/>
  </r>
  <r>
    <x v="0"/>
    <x v="144"/>
    <n v="0.25"/>
  </r>
  <r>
    <x v="0"/>
    <x v="50"/>
    <n v="0.55000000000000004"/>
  </r>
  <r>
    <x v="0"/>
    <x v="49"/>
    <n v="0.2"/>
  </r>
  <r>
    <x v="0"/>
    <x v="39"/>
    <n v="0.15"/>
  </r>
  <r>
    <x v="0"/>
    <x v="165"/>
    <n v="0.1"/>
  </r>
  <r>
    <x v="0"/>
    <x v="167"/>
    <n v="0.72"/>
  </r>
  <r>
    <x v="0"/>
    <x v="168"/>
    <n v="0.14000000000000001"/>
  </r>
  <r>
    <x v="0"/>
    <x v="169"/>
    <n v="0.08"/>
  </r>
  <r>
    <x v="0"/>
    <x v="129"/>
    <n v="0.06"/>
  </r>
  <r>
    <x v="0"/>
    <x v="129"/>
    <n v="0.45"/>
  </r>
  <r>
    <x v="0"/>
    <x v="167"/>
    <n v="0.35"/>
  </r>
  <r>
    <x v="0"/>
    <x v="169"/>
    <n v="0.2"/>
  </r>
  <r>
    <x v="0"/>
    <x v="132"/>
    <n v="0.75"/>
  </r>
  <r>
    <x v="0"/>
    <x v="167"/>
    <n v="0.25"/>
  </r>
  <r>
    <x v="0"/>
    <x v="25"/>
    <n v="0.6"/>
  </r>
  <r>
    <x v="0"/>
    <x v="43"/>
    <n v="0.2"/>
  </r>
  <r>
    <x v="0"/>
    <x v="113"/>
    <n v="0.2"/>
  </r>
  <r>
    <x v="0"/>
    <x v="4"/>
    <n v="0.7"/>
  </r>
  <r>
    <x v="0"/>
    <x v="111"/>
    <n v="0.3"/>
  </r>
  <r>
    <x v="0"/>
    <x v="170"/>
    <n v="1"/>
  </r>
  <r>
    <x v="0"/>
    <x v="132"/>
    <n v="0.5"/>
  </r>
  <r>
    <x v="0"/>
    <x v="167"/>
    <n v="0.5"/>
  </r>
  <r>
    <x v="0"/>
    <x v="167"/>
    <n v="0.55000000000000004"/>
  </r>
  <r>
    <x v="0"/>
    <x v="168"/>
    <n v="0.25"/>
  </r>
  <r>
    <x v="0"/>
    <x v="169"/>
    <n v="0.2"/>
  </r>
  <r>
    <x v="0"/>
    <x v="168"/>
    <n v="0.82"/>
  </r>
  <r>
    <x v="0"/>
    <x v="167"/>
    <n v="0.08"/>
  </r>
  <r>
    <x v="0"/>
    <x v="169"/>
    <n v="0.05"/>
  </r>
  <r>
    <x v="0"/>
    <x v="129"/>
    <n v="0.05"/>
  </r>
  <r>
    <x v="0"/>
    <x v="129"/>
    <n v="0.55000000000000004"/>
  </r>
  <r>
    <x v="0"/>
    <x v="168"/>
    <n v="0.45"/>
  </r>
  <r>
    <x v="0"/>
    <x v="4"/>
    <n v="0.7"/>
  </r>
  <r>
    <x v="0"/>
    <x v="111"/>
    <n v="0.3"/>
  </r>
  <r>
    <x v="0"/>
    <x v="8"/>
    <n v="0.6"/>
  </r>
  <r>
    <x v="0"/>
    <x v="128"/>
    <n v="0.4"/>
  </r>
  <r>
    <x v="0"/>
    <x v="132"/>
    <n v="0.7"/>
  </r>
  <r>
    <x v="0"/>
    <x v="168"/>
    <n v="0.3"/>
  </r>
  <r>
    <x v="0"/>
    <x v="25"/>
    <n v="0.6"/>
  </r>
  <r>
    <x v="0"/>
    <x v="43"/>
    <n v="0.2"/>
  </r>
  <r>
    <x v="0"/>
    <x v="167"/>
    <n v="0.2"/>
  </r>
  <r>
    <x v="0"/>
    <x v="171"/>
    <n v="0.52"/>
  </r>
  <r>
    <x v="0"/>
    <x v="172"/>
    <n v="0.48"/>
  </r>
  <r>
    <x v="0"/>
    <x v="108"/>
    <n v="0.7"/>
  </r>
  <r>
    <x v="0"/>
    <x v="172"/>
    <n v="0.3"/>
  </r>
  <r>
    <x v="0"/>
    <x v="173"/>
    <n v="0.3"/>
  </r>
  <r>
    <x v="0"/>
    <x v="174"/>
    <n v="0.25"/>
  </r>
  <r>
    <x v="0"/>
    <x v="175"/>
    <n v="0.25"/>
  </r>
  <r>
    <x v="0"/>
    <x v="176"/>
    <n v="0.2"/>
  </r>
  <r>
    <x v="0"/>
    <x v="177"/>
    <n v="0.4"/>
  </r>
  <r>
    <x v="0"/>
    <x v="178"/>
    <n v="0.3"/>
  </r>
  <r>
    <x v="0"/>
    <x v="179"/>
    <n v="0.2"/>
  </r>
  <r>
    <x v="0"/>
    <x v="180"/>
    <n v="0.1"/>
  </r>
  <r>
    <x v="0"/>
    <x v="170"/>
    <n v="1"/>
  </r>
  <r>
    <x v="0"/>
    <x v="167"/>
    <n v="0.35"/>
  </r>
  <r>
    <x v="0"/>
    <x v="168"/>
    <n v="0.3"/>
  </r>
  <r>
    <x v="0"/>
    <x v="169"/>
    <n v="0.2"/>
  </r>
  <r>
    <x v="0"/>
    <x v="129"/>
    <n v="0.15"/>
  </r>
  <r>
    <x v="0"/>
    <x v="181"/>
    <n v="1"/>
  </r>
  <r>
    <x v="0"/>
    <x v="180"/>
    <n v="0.6"/>
  </r>
  <r>
    <x v="0"/>
    <x v="182"/>
    <n v="0.4"/>
  </r>
  <r>
    <x v="0"/>
    <x v="183"/>
    <n v="0.6"/>
  </r>
  <r>
    <x v="0"/>
    <x v="49"/>
    <n v="0.4"/>
  </r>
  <r>
    <x v="0"/>
    <x v="171"/>
    <n v="0.6"/>
  </r>
  <r>
    <x v="0"/>
    <x v="172"/>
    <n v="0.4"/>
  </r>
  <r>
    <x v="0"/>
    <x v="181"/>
    <n v="0.98"/>
  </r>
  <r>
    <x v="0"/>
    <x v="170"/>
    <n v="0.02"/>
  </r>
  <r>
    <x v="0"/>
    <x v="170"/>
    <n v="1"/>
  </r>
  <r>
    <x v="0"/>
    <x v="171"/>
    <n v="0.6"/>
  </r>
  <r>
    <x v="0"/>
    <x v="172"/>
    <n v="0.4"/>
  </r>
  <r>
    <x v="0"/>
    <x v="180"/>
    <n v="0.4"/>
  </r>
  <r>
    <x v="0"/>
    <x v="182"/>
    <n v="0.3"/>
  </r>
  <r>
    <x v="0"/>
    <x v="177"/>
    <n v="0.3"/>
  </r>
  <r>
    <x v="0"/>
    <x v="180"/>
    <n v="0.55000000000000004"/>
  </r>
  <r>
    <x v="0"/>
    <x v="182"/>
    <n v="0.45"/>
  </r>
  <r>
    <x v="0"/>
    <x v="170"/>
    <n v="0.98"/>
  </r>
  <r>
    <x v="0"/>
    <x v="171"/>
    <n v="0.02"/>
  </r>
  <r>
    <x v="0"/>
    <x v="171"/>
    <n v="0.7"/>
  </r>
  <r>
    <x v="0"/>
    <x v="172"/>
    <n v="0.3"/>
  </r>
  <r>
    <x v="0"/>
    <x v="181"/>
    <n v="1"/>
  </r>
  <r>
    <x v="0"/>
    <x v="167"/>
    <n v="0.5"/>
  </r>
  <r>
    <x v="0"/>
    <x v="168"/>
    <n v="0.3"/>
  </r>
  <r>
    <x v="0"/>
    <x v="169"/>
    <n v="0.2"/>
  </r>
  <r>
    <x v="0"/>
    <x v="180"/>
    <n v="0.5"/>
  </r>
  <r>
    <x v="0"/>
    <x v="177"/>
    <n v="0.25"/>
  </r>
  <r>
    <x v="0"/>
    <x v="178"/>
    <n v="0.25"/>
  </r>
  <r>
    <x v="0"/>
    <x v="180"/>
    <n v="0.55000000000000004"/>
  </r>
  <r>
    <x v="0"/>
    <x v="182"/>
    <n v="0.45"/>
  </r>
  <r>
    <x v="0"/>
    <x v="172"/>
    <n v="0.57999999999999996"/>
  </r>
  <r>
    <x v="0"/>
    <x v="171"/>
    <n v="0.32"/>
  </r>
  <r>
    <x v="0"/>
    <x v="133"/>
    <n v="0.1"/>
  </r>
  <r>
    <x v="0"/>
    <x v="181"/>
    <n v="1"/>
  </r>
  <r>
    <x v="0"/>
    <x v="180"/>
    <n v="0.3"/>
  </r>
  <r>
    <x v="0"/>
    <x v="177"/>
    <n v="0.25"/>
  </r>
  <r>
    <x v="0"/>
    <x v="178"/>
    <n v="0.25"/>
  </r>
  <r>
    <x v="0"/>
    <x v="179"/>
    <n v="0.2"/>
  </r>
  <r>
    <x v="0"/>
    <x v="170"/>
    <n v="1"/>
  </r>
  <r>
    <x v="0"/>
    <x v="180"/>
    <n v="0.55000000000000004"/>
  </r>
  <r>
    <x v="0"/>
    <x v="182"/>
    <n v="0.45"/>
  </r>
  <r>
    <x v="0"/>
    <x v="108"/>
    <n v="1"/>
  </r>
  <r>
    <x v="0"/>
    <x v="174"/>
    <n v="0.3"/>
  </r>
  <r>
    <x v="0"/>
    <x v="175"/>
    <n v="0.25"/>
  </r>
  <r>
    <x v="0"/>
    <x v="173"/>
    <n v="0.25"/>
  </r>
  <r>
    <x v="0"/>
    <x v="176"/>
    <n v="0.2"/>
  </r>
  <r>
    <x v="0"/>
    <x v="172"/>
    <n v="0.55000000000000004"/>
  </r>
  <r>
    <x v="0"/>
    <x v="171"/>
    <n v="0.45"/>
  </r>
  <r>
    <x v="0"/>
    <x v="172"/>
    <n v="0.7"/>
  </r>
  <r>
    <x v="0"/>
    <x v="171"/>
    <n v="0.2"/>
  </r>
  <r>
    <x v="0"/>
    <x v="140"/>
    <n v="0.1"/>
  </r>
  <r>
    <x v="0"/>
    <x v="178"/>
    <n v="0.35"/>
  </r>
  <r>
    <x v="0"/>
    <x v="177"/>
    <n v="0.35"/>
  </r>
  <r>
    <x v="0"/>
    <x v="180"/>
    <n v="0.15"/>
  </r>
  <r>
    <x v="0"/>
    <x v="179"/>
    <n v="0.15"/>
  </r>
  <r>
    <x v="0"/>
    <x v="181"/>
    <n v="1"/>
  </r>
  <r>
    <x v="0"/>
    <x v="50"/>
    <n v="0.45"/>
  </r>
  <r>
    <x v="0"/>
    <x v="184"/>
    <n v="0.3"/>
  </r>
  <r>
    <x v="0"/>
    <x v="185"/>
    <n v="0.25"/>
  </r>
  <r>
    <x v="0"/>
    <x v="170"/>
    <n v="1"/>
  </r>
  <r>
    <x v="0"/>
    <x v="180"/>
    <n v="0.55000000000000004"/>
  </r>
  <r>
    <x v="0"/>
    <x v="182"/>
    <n v="0.45"/>
  </r>
  <r>
    <x v="0"/>
    <x v="108"/>
    <n v="1"/>
  </r>
  <r>
    <x v="0"/>
    <x v="174"/>
    <n v="0.3"/>
  </r>
  <r>
    <x v="0"/>
    <x v="175"/>
    <n v="0.25"/>
  </r>
  <r>
    <x v="0"/>
    <x v="173"/>
    <n v="0.25"/>
  </r>
  <r>
    <x v="0"/>
    <x v="176"/>
    <n v="0.2"/>
  </r>
  <r>
    <x v="0"/>
    <x v="172"/>
    <n v="0.65"/>
  </r>
  <r>
    <x v="0"/>
    <x v="171"/>
    <n v="0.35"/>
  </r>
  <r>
    <x v="0"/>
    <x v="108"/>
    <n v="0.96"/>
  </r>
  <r>
    <x v="0"/>
    <x v="175"/>
    <n v="0.02"/>
  </r>
  <r>
    <x v="0"/>
    <x v="176"/>
    <n v="0.02"/>
  </r>
  <r>
    <x v="0"/>
    <x v="172"/>
    <n v="0.7"/>
  </r>
  <r>
    <x v="0"/>
    <x v="171"/>
    <n v="0.3"/>
  </r>
  <r>
    <x v="0"/>
    <x v="177"/>
    <n v="0.35"/>
  </r>
  <r>
    <x v="0"/>
    <x v="178"/>
    <n v="0.3"/>
  </r>
  <r>
    <x v="0"/>
    <x v="180"/>
    <n v="0.2"/>
  </r>
  <r>
    <x v="0"/>
    <x v="179"/>
    <n v="0.15"/>
  </r>
  <r>
    <x v="0"/>
    <x v="50"/>
    <n v="0.45"/>
  </r>
  <r>
    <x v="0"/>
    <x v="185"/>
    <n v="0.3"/>
  </r>
  <r>
    <x v="0"/>
    <x v="184"/>
    <n v="0.25"/>
  </r>
  <r>
    <x v="0"/>
    <x v="170"/>
    <n v="1"/>
  </r>
  <r>
    <x v="0"/>
    <x v="174"/>
    <n v="0.94"/>
  </r>
  <r>
    <x v="0"/>
    <x v="176"/>
    <n v="0.03"/>
  </r>
  <r>
    <x v="0"/>
    <x v="175"/>
    <n v="0.03"/>
  </r>
  <r>
    <x v="0"/>
    <x v="172"/>
    <n v="0.7"/>
  </r>
  <r>
    <x v="0"/>
    <x v="171"/>
    <n v="0.3"/>
  </r>
  <r>
    <x v="0"/>
    <x v="186"/>
    <n v="0.3"/>
  </r>
  <r>
    <x v="0"/>
    <x v="178"/>
    <n v="0.25"/>
  </r>
  <r>
    <x v="0"/>
    <x v="177"/>
    <n v="0.25"/>
  </r>
  <r>
    <x v="0"/>
    <x v="179"/>
    <n v="0.2"/>
  </r>
  <r>
    <x v="0"/>
    <x v="50"/>
    <n v="0.45"/>
  </r>
  <r>
    <x v="0"/>
    <x v="185"/>
    <n v="0.3"/>
  </r>
  <r>
    <x v="0"/>
    <x v="184"/>
    <n v="0.25"/>
  </r>
  <r>
    <x v="0"/>
    <x v="170"/>
    <n v="1"/>
  </r>
  <r>
    <x v="0"/>
    <x v="186"/>
    <n v="0.48"/>
  </r>
  <r>
    <x v="0"/>
    <x v="177"/>
    <n v="0.26"/>
  </r>
  <r>
    <x v="0"/>
    <x v="185"/>
    <n v="0.16"/>
  </r>
  <r>
    <x v="0"/>
    <x v="187"/>
    <n v="0.1"/>
  </r>
  <r>
    <x v="0"/>
    <x v="177"/>
    <n v="0.45"/>
  </r>
  <r>
    <x v="0"/>
    <x v="178"/>
    <n v="0.35"/>
  </r>
  <r>
    <x v="0"/>
    <x v="172"/>
    <n v="0.2"/>
  </r>
  <r>
    <x v="0"/>
    <x v="185"/>
    <n v="0.5"/>
  </r>
  <r>
    <x v="0"/>
    <x v="50"/>
    <n v="0.3"/>
  </r>
  <r>
    <x v="0"/>
    <x v="184"/>
    <n v="0.2"/>
  </r>
  <r>
    <x v="0"/>
    <x v="174"/>
    <n v="0.3"/>
  </r>
  <r>
    <x v="0"/>
    <x v="175"/>
    <n v="0.25"/>
  </r>
  <r>
    <x v="0"/>
    <x v="108"/>
    <n v="0.25"/>
  </r>
  <r>
    <x v="0"/>
    <x v="173"/>
    <n v="0.2"/>
  </r>
  <r>
    <x v="0"/>
    <x v="180"/>
    <n v="0.55000000000000004"/>
  </r>
  <r>
    <x v="0"/>
    <x v="182"/>
    <n v="0.45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186"/>
    <n v="0.32"/>
  </r>
  <r>
    <x v="0"/>
    <x v="177"/>
    <n v="0.18"/>
  </r>
  <r>
    <x v="0"/>
    <x v="185"/>
    <n v="0.12"/>
  </r>
  <r>
    <x v="0"/>
    <x v="178"/>
    <n v="0.12"/>
  </r>
  <r>
    <x v="0"/>
    <x v="187"/>
    <n v="0.1"/>
  </r>
  <r>
    <x v="0"/>
    <x v="184"/>
    <n v="0.06"/>
  </r>
  <r>
    <x v="0"/>
    <x v="188"/>
    <n v="0.1"/>
  </r>
  <r>
    <x v="0"/>
    <x v="188"/>
    <n v="0.38"/>
  </r>
  <r>
    <x v="0"/>
    <x v="189"/>
    <n v="0.24"/>
  </r>
  <r>
    <x v="0"/>
    <x v="179"/>
    <n v="0.18"/>
  </r>
  <r>
    <x v="0"/>
    <x v="186"/>
    <n v="0.1"/>
  </r>
  <r>
    <x v="0"/>
    <x v="177"/>
    <n v="0.1"/>
  </r>
  <r>
    <x v="0"/>
    <x v="180"/>
    <n v="0.55000000000000004"/>
  </r>
  <r>
    <x v="0"/>
    <x v="182"/>
    <n v="0.45"/>
  </r>
  <r>
    <x v="0"/>
    <x v="177"/>
    <n v="0.35"/>
  </r>
  <r>
    <x v="0"/>
    <x v="178"/>
    <n v="0.35"/>
  </r>
  <r>
    <x v="0"/>
    <x v="172"/>
    <n v="0.3"/>
  </r>
  <r>
    <x v="0"/>
    <x v="174"/>
    <n v="0.3"/>
  </r>
  <r>
    <x v="0"/>
    <x v="175"/>
    <n v="0.25"/>
  </r>
  <r>
    <x v="0"/>
    <x v="108"/>
    <n v="0.25"/>
  </r>
  <r>
    <x v="0"/>
    <x v="173"/>
    <n v="0.2"/>
  </r>
  <r>
    <x v="0"/>
    <x v="190"/>
    <n v="0.45"/>
  </r>
  <r>
    <x v="0"/>
    <x v="191"/>
    <n v="0.3"/>
  </r>
  <r>
    <x v="0"/>
    <x v="192"/>
    <n v="0.25"/>
  </r>
  <r>
    <x v="0"/>
    <x v="50"/>
    <n v="0.45"/>
  </r>
  <r>
    <x v="0"/>
    <x v="185"/>
    <n v="0.3"/>
  </r>
  <r>
    <x v="0"/>
    <x v="184"/>
    <n v="0.25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180"/>
    <n v="0.52"/>
  </r>
  <r>
    <x v="0"/>
    <x v="182"/>
    <n v="0.48"/>
  </r>
  <r>
    <x v="0"/>
    <x v="179"/>
    <n v="0.3"/>
  </r>
  <r>
    <x v="0"/>
    <x v="186"/>
    <n v="0.25"/>
  </r>
  <r>
    <x v="0"/>
    <x v="177"/>
    <n v="0.2"/>
  </r>
  <r>
    <x v="0"/>
    <x v="187"/>
    <n v="0.15"/>
  </r>
  <r>
    <x v="0"/>
    <x v="188"/>
    <n v="0.1"/>
  </r>
  <r>
    <x v="0"/>
    <x v="172"/>
    <n v="0.45"/>
  </r>
  <r>
    <x v="0"/>
    <x v="177"/>
    <n v="0.3"/>
  </r>
  <r>
    <x v="0"/>
    <x v="178"/>
    <n v="0.25"/>
  </r>
  <r>
    <x v="0"/>
    <x v="108"/>
    <n v="0.35"/>
  </r>
  <r>
    <x v="0"/>
    <x v="174"/>
    <n v="0.25"/>
  </r>
  <r>
    <x v="0"/>
    <x v="175"/>
    <n v="0.2"/>
  </r>
  <r>
    <x v="0"/>
    <x v="173"/>
    <n v="0.2"/>
  </r>
  <r>
    <x v="0"/>
    <x v="50"/>
    <n v="0.45"/>
  </r>
  <r>
    <x v="0"/>
    <x v="185"/>
    <n v="0.3"/>
  </r>
  <r>
    <x v="0"/>
    <x v="184"/>
    <n v="0.25"/>
  </r>
  <r>
    <x v="0"/>
    <x v="181"/>
    <n v="1"/>
  </r>
  <r>
    <x v="0"/>
    <x v="178"/>
    <n v="0.44"/>
  </r>
  <r>
    <x v="0"/>
    <x v="187"/>
    <n v="0.26"/>
  </r>
  <r>
    <x v="0"/>
    <x v="184"/>
    <n v="0.18"/>
  </r>
  <r>
    <x v="0"/>
    <x v="177"/>
    <n v="7.0000000000000007E-2"/>
  </r>
  <r>
    <x v="0"/>
    <x v="186"/>
    <n v="0.05"/>
  </r>
  <r>
    <x v="0"/>
    <x v="178"/>
    <n v="0.24"/>
  </r>
  <r>
    <x v="0"/>
    <x v="187"/>
    <n v="0.16"/>
  </r>
  <r>
    <x v="0"/>
    <x v="184"/>
    <n v="0.12"/>
  </r>
  <r>
    <x v="0"/>
    <x v="177"/>
    <n v="0.12"/>
  </r>
  <r>
    <x v="0"/>
    <x v="186"/>
    <n v="0.1"/>
  </r>
  <r>
    <x v="0"/>
    <x v="185"/>
    <n v="0.08"/>
  </r>
  <r>
    <x v="0"/>
    <x v="180"/>
    <n v="0.06"/>
  </r>
  <r>
    <x v="0"/>
    <x v="188"/>
    <n v="0.06"/>
  </r>
  <r>
    <x v="0"/>
    <x v="179"/>
    <n v="0.06"/>
  </r>
  <r>
    <x v="0"/>
    <x v="178"/>
    <n v="0.45"/>
  </r>
  <r>
    <x v="0"/>
    <x v="172"/>
    <n v="0.3"/>
  </r>
  <r>
    <x v="0"/>
    <x v="177"/>
    <n v="0.25"/>
  </r>
  <r>
    <x v="0"/>
    <x v="184"/>
    <n v="0.45"/>
  </r>
  <r>
    <x v="0"/>
    <x v="50"/>
    <n v="0.35"/>
  </r>
  <r>
    <x v="0"/>
    <x v="185"/>
    <n v="0.2"/>
  </r>
  <r>
    <x v="0"/>
    <x v="180"/>
    <n v="0.55000000000000004"/>
  </r>
  <r>
    <x v="0"/>
    <x v="182"/>
    <n v="0.45"/>
  </r>
  <r>
    <x v="0"/>
    <x v="108"/>
    <n v="0.35"/>
  </r>
  <r>
    <x v="0"/>
    <x v="174"/>
    <n v="0.25"/>
  </r>
  <r>
    <x v="0"/>
    <x v="175"/>
    <n v="0.2"/>
  </r>
  <r>
    <x v="0"/>
    <x v="173"/>
    <n v="0.2"/>
  </r>
  <r>
    <x v="0"/>
    <x v="127"/>
    <n v="0.35"/>
  </r>
  <r>
    <x v="0"/>
    <x v="159"/>
    <n v="0.25"/>
  </r>
  <r>
    <x v="0"/>
    <x v="160"/>
    <n v="0.2"/>
  </r>
  <r>
    <x v="0"/>
    <x v="161"/>
    <n v="0.2"/>
  </r>
  <r>
    <x v="0"/>
    <x v="181"/>
    <n v="1"/>
  </r>
  <r>
    <x v="0"/>
    <x v="170"/>
    <n v="1"/>
  </r>
  <r>
    <x v="0"/>
    <x v="26"/>
    <n v="0.48"/>
  </r>
  <r>
    <x v="0"/>
    <x v="28"/>
    <n v="0.16"/>
  </r>
  <r>
    <x v="0"/>
    <x v="29"/>
    <n v="0.14000000000000001"/>
  </r>
  <r>
    <x v="0"/>
    <x v="27"/>
    <n v="0.1"/>
  </r>
  <r>
    <x v="0"/>
    <x v="193"/>
    <n v="0.12"/>
  </r>
  <r>
    <x v="0"/>
    <x v="26"/>
    <n v="0.35"/>
  </r>
  <r>
    <x v="0"/>
    <x v="28"/>
    <n v="0.2"/>
  </r>
  <r>
    <x v="0"/>
    <x v="29"/>
    <n v="0.2"/>
  </r>
  <r>
    <x v="0"/>
    <x v="137"/>
    <n v="0.25"/>
  </r>
  <r>
    <x v="0"/>
    <x v="180"/>
    <n v="1"/>
  </r>
  <r>
    <x v="0"/>
    <x v="186"/>
    <n v="0.28000000000000003"/>
  </r>
  <r>
    <x v="0"/>
    <x v="177"/>
    <n v="0.22"/>
  </r>
  <r>
    <x v="0"/>
    <x v="178"/>
    <n v="0.2"/>
  </r>
  <r>
    <x v="0"/>
    <x v="188"/>
    <n v="0.15"/>
  </r>
  <r>
    <x v="0"/>
    <x v="179"/>
    <n v="0.15"/>
  </r>
  <r>
    <x v="0"/>
    <x v="108"/>
    <n v="0.7"/>
  </r>
  <r>
    <x v="0"/>
    <x v="178"/>
    <n v="0.15"/>
  </r>
  <r>
    <x v="0"/>
    <x v="177"/>
    <n v="0.15"/>
  </r>
  <r>
    <x v="0"/>
    <x v="174"/>
    <n v="0.4"/>
  </r>
  <r>
    <x v="0"/>
    <x v="175"/>
    <n v="0.3"/>
  </r>
  <r>
    <x v="0"/>
    <x v="176"/>
    <n v="0.3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194"/>
    <n v="0.35"/>
  </r>
  <r>
    <x v="0"/>
    <x v="134"/>
    <n v="0.25"/>
  </r>
  <r>
    <x v="0"/>
    <x v="135"/>
    <n v="0.2"/>
  </r>
  <r>
    <x v="0"/>
    <x v="195"/>
    <n v="0.2"/>
  </r>
  <r>
    <x v="0"/>
    <x v="190"/>
    <n v="0.35"/>
  </r>
  <r>
    <x v="0"/>
    <x v="191"/>
    <n v="0.25"/>
  </r>
  <r>
    <x v="0"/>
    <x v="192"/>
    <n v="0.2"/>
  </r>
  <r>
    <x v="0"/>
    <x v="195"/>
    <n v="0.2"/>
  </r>
  <r>
    <x v="0"/>
    <x v="26"/>
    <n v="0.4"/>
  </r>
  <r>
    <x v="0"/>
    <x v="28"/>
    <n v="0.18"/>
  </r>
  <r>
    <x v="0"/>
    <x v="29"/>
    <n v="0.14000000000000001"/>
  </r>
  <r>
    <x v="0"/>
    <x v="27"/>
    <n v="0.08"/>
  </r>
  <r>
    <x v="0"/>
    <x v="193"/>
    <n v="0.2"/>
  </r>
  <r>
    <x v="0"/>
    <x v="26"/>
    <n v="0.4"/>
  </r>
  <r>
    <x v="0"/>
    <x v="28"/>
    <n v="0.18"/>
  </r>
  <r>
    <x v="0"/>
    <x v="29"/>
    <n v="0.16"/>
  </r>
  <r>
    <x v="0"/>
    <x v="27"/>
    <n v="0.1"/>
  </r>
  <r>
    <x v="0"/>
    <x v="137"/>
    <n v="0.16"/>
  </r>
  <r>
    <x v="0"/>
    <x v="194"/>
    <n v="0.38"/>
  </r>
  <r>
    <x v="0"/>
    <x v="134"/>
    <n v="0.22"/>
  </r>
  <r>
    <x v="0"/>
    <x v="135"/>
    <n v="0.2"/>
  </r>
  <r>
    <x v="0"/>
    <x v="195"/>
    <n v="0.2"/>
  </r>
  <r>
    <x v="0"/>
    <x v="190"/>
    <n v="0.35"/>
  </r>
  <r>
    <x v="0"/>
    <x v="191"/>
    <n v="0.25"/>
  </r>
  <r>
    <x v="0"/>
    <x v="192"/>
    <n v="0.2"/>
  </r>
  <r>
    <x v="0"/>
    <x v="195"/>
    <n v="0.2"/>
  </r>
  <r>
    <x v="0"/>
    <x v="180"/>
    <n v="1"/>
  </r>
  <r>
    <x v="0"/>
    <x v="186"/>
    <n v="0.28000000000000003"/>
  </r>
  <r>
    <x v="0"/>
    <x v="177"/>
    <n v="0.22"/>
  </r>
  <r>
    <x v="0"/>
    <x v="178"/>
    <n v="0.2"/>
  </r>
  <r>
    <x v="0"/>
    <x v="188"/>
    <n v="0.15"/>
  </r>
  <r>
    <x v="0"/>
    <x v="179"/>
    <n v="0.15"/>
  </r>
  <r>
    <x v="0"/>
    <x v="108"/>
    <n v="0.7"/>
  </r>
  <r>
    <x v="0"/>
    <x v="178"/>
    <n v="0.15"/>
  </r>
  <r>
    <x v="0"/>
    <x v="177"/>
    <n v="0.15"/>
  </r>
  <r>
    <x v="0"/>
    <x v="174"/>
    <n v="0.4"/>
  </r>
  <r>
    <x v="0"/>
    <x v="175"/>
    <n v="0.3"/>
  </r>
  <r>
    <x v="0"/>
    <x v="176"/>
    <n v="0.3"/>
  </r>
  <r>
    <x v="0"/>
    <x v="50"/>
    <n v="0.45"/>
  </r>
  <r>
    <x v="0"/>
    <x v="49"/>
    <n v="0.2"/>
  </r>
  <r>
    <x v="0"/>
    <x v="38"/>
    <n v="0.2"/>
  </r>
  <r>
    <x v="0"/>
    <x v="48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0"/>
    <x v="26"/>
    <n v="0.3"/>
  </r>
  <r>
    <x v="0"/>
    <x v="28"/>
    <n v="0.15"/>
  </r>
  <r>
    <x v="0"/>
    <x v="29"/>
    <n v="0.15"/>
  </r>
  <r>
    <x v="0"/>
    <x v="27"/>
    <n v="0.1"/>
  </r>
  <r>
    <x v="0"/>
    <x v="194"/>
    <n v="0.15"/>
  </r>
  <r>
    <x v="0"/>
    <x v="134"/>
    <n v="0.15"/>
  </r>
  <r>
    <x v="0"/>
    <x v="195"/>
    <n v="0.5"/>
  </r>
  <r>
    <x v="0"/>
    <x v="190"/>
    <n v="0.2"/>
  </r>
  <r>
    <x v="0"/>
    <x v="191"/>
    <n v="0.15"/>
  </r>
  <r>
    <x v="0"/>
    <x v="192"/>
    <n v="0.15"/>
  </r>
  <r>
    <x v="0"/>
    <x v="195"/>
    <n v="0.5"/>
  </r>
  <r>
    <x v="0"/>
    <x v="134"/>
    <n v="0.25"/>
  </r>
  <r>
    <x v="0"/>
    <x v="135"/>
    <n v="0.25"/>
  </r>
  <r>
    <x v="0"/>
    <x v="196"/>
    <n v="0.55000000000000004"/>
  </r>
  <r>
    <x v="0"/>
    <x v="50"/>
    <n v="0.25"/>
  </r>
  <r>
    <x v="0"/>
    <x v="49"/>
    <n v="0.1"/>
  </r>
  <r>
    <x v="0"/>
    <x v="38"/>
    <n v="0.1"/>
  </r>
  <r>
    <x v="0"/>
    <x v="193"/>
    <n v="0.4"/>
  </r>
  <r>
    <x v="0"/>
    <x v="137"/>
    <n v="0.35"/>
  </r>
  <r>
    <x v="0"/>
    <x v="26"/>
    <n v="0.25"/>
  </r>
  <r>
    <x v="0"/>
    <x v="180"/>
    <n v="1"/>
  </r>
  <r>
    <x v="0"/>
    <x v="186"/>
    <n v="0.4"/>
  </r>
  <r>
    <x v="0"/>
    <x v="179"/>
    <n v="0.35"/>
  </r>
  <r>
    <x v="0"/>
    <x v="188"/>
    <n v="0.25"/>
  </r>
  <r>
    <x v="0"/>
    <x v="195"/>
    <n v="0.45"/>
  </r>
  <r>
    <x v="0"/>
    <x v="134"/>
    <n v="0.3"/>
  </r>
  <r>
    <x v="0"/>
    <x v="135"/>
    <n v="0.25"/>
  </r>
  <r>
    <x v="0"/>
    <x v="195"/>
    <n v="0.4"/>
  </r>
  <r>
    <x v="0"/>
    <x v="190"/>
    <n v="0.25"/>
  </r>
  <r>
    <x v="0"/>
    <x v="191"/>
    <n v="0.2"/>
  </r>
  <r>
    <x v="0"/>
    <x v="192"/>
    <n v="0.15"/>
  </r>
  <r>
    <x v="0"/>
    <x v="196"/>
    <n v="0.45"/>
  </r>
  <r>
    <x v="0"/>
    <x v="50"/>
    <n v="0.25"/>
  </r>
  <r>
    <x v="0"/>
    <x v="195"/>
    <n v="0.15"/>
  </r>
  <r>
    <x v="0"/>
    <x v="49"/>
    <n v="0.15"/>
  </r>
  <r>
    <x v="0"/>
    <x v="20"/>
    <n v="0.35"/>
  </r>
  <r>
    <x v="0"/>
    <x v="19"/>
    <n v="0.25"/>
  </r>
  <r>
    <x v="0"/>
    <x v="21"/>
    <n v="0.2"/>
  </r>
  <r>
    <x v="0"/>
    <x v="57"/>
    <n v="0.2"/>
  </r>
  <r>
    <x v="1"/>
    <x v="197"/>
    <n v="0.45"/>
  </r>
  <r>
    <x v="1"/>
    <x v="51"/>
    <n v="0.2"/>
  </r>
  <r>
    <x v="1"/>
    <x v="18"/>
    <n v="0.2"/>
  </r>
  <r>
    <x v="1"/>
    <x v="52"/>
    <n v="0.15"/>
  </r>
  <r>
    <x v="1"/>
    <x v="70"/>
    <n v="0.82"/>
  </r>
  <r>
    <x v="1"/>
    <x v="197"/>
    <n v="0.18"/>
  </r>
  <r>
    <x v="1"/>
    <x v="34"/>
    <n v="0.6"/>
  </r>
  <r>
    <x v="1"/>
    <x v="35"/>
    <n v="0.25"/>
  </r>
  <r>
    <x v="1"/>
    <x v="36"/>
    <n v="0.15"/>
  </r>
  <r>
    <x v="1"/>
    <x v="87"/>
    <n v="0.35"/>
  </r>
  <r>
    <x v="1"/>
    <x v="59"/>
    <n v="0.2"/>
  </r>
  <r>
    <x v="1"/>
    <x v="21"/>
    <n v="0.2"/>
  </r>
  <r>
    <x v="1"/>
    <x v="55"/>
    <n v="0.15"/>
  </r>
  <r>
    <x v="1"/>
    <x v="57"/>
    <n v="0.1"/>
  </r>
  <r>
    <x v="1"/>
    <x v="15"/>
    <n v="0.35"/>
  </r>
  <r>
    <x v="1"/>
    <x v="12"/>
    <n v="0.25"/>
  </r>
  <r>
    <x v="1"/>
    <x v="13"/>
    <n v="0.15"/>
  </r>
  <r>
    <x v="1"/>
    <x v="22"/>
    <n v="0.15"/>
  </r>
  <r>
    <x v="1"/>
    <x v="14"/>
    <n v="0.1"/>
  </r>
  <r>
    <x v="1"/>
    <x v="4"/>
    <n v="0.85"/>
  </r>
  <r>
    <x v="1"/>
    <x v="197"/>
    <n v="0.15"/>
  </r>
  <r>
    <x v="1"/>
    <x v="117"/>
    <n v="0.46"/>
  </r>
  <r>
    <x v="1"/>
    <x v="37"/>
    <n v="0.22"/>
  </r>
  <r>
    <x v="1"/>
    <x v="116"/>
    <n v="0.2"/>
  </r>
  <r>
    <x v="1"/>
    <x v="7"/>
    <n v="0.12"/>
  </r>
  <r>
    <x v="1"/>
    <x v="117"/>
    <n v="0.52"/>
  </r>
  <r>
    <x v="1"/>
    <x v="116"/>
    <n v="0.28000000000000003"/>
  </r>
  <r>
    <x v="1"/>
    <x v="54"/>
    <n v="0.2"/>
  </r>
  <r>
    <x v="1"/>
    <x v="37"/>
    <n v="0.45"/>
  </r>
  <r>
    <x v="1"/>
    <x v="4"/>
    <n v="0.4"/>
  </r>
  <r>
    <x v="1"/>
    <x v="198"/>
    <n v="0.15"/>
  </r>
  <r>
    <x v="1"/>
    <x v="116"/>
    <n v="0.35"/>
  </r>
  <r>
    <x v="1"/>
    <x v="75"/>
    <n v="0.2"/>
  </r>
  <r>
    <x v="1"/>
    <x v="13"/>
    <n v="0.15"/>
  </r>
  <r>
    <x v="1"/>
    <x v="117"/>
    <n v="0.15"/>
  </r>
  <r>
    <x v="1"/>
    <x v="37"/>
    <n v="0.15"/>
  </r>
  <r>
    <x v="1"/>
    <x v="118"/>
    <n v="0.35"/>
  </r>
  <r>
    <x v="1"/>
    <x v="69"/>
    <n v="0.25"/>
  </r>
  <r>
    <x v="1"/>
    <x v="7"/>
    <n v="0.2"/>
  </r>
  <r>
    <x v="1"/>
    <x v="36"/>
    <n v="0.2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7"/>
    <n v="0.35"/>
  </r>
  <r>
    <x v="1"/>
    <x v="6"/>
    <n v="0.25"/>
  </r>
  <r>
    <x v="1"/>
    <x v="17"/>
    <n v="0.2"/>
  </r>
  <r>
    <x v="1"/>
    <x v="5"/>
    <n v="0.2"/>
  </r>
  <r>
    <x v="1"/>
    <x v="117"/>
    <n v="0.45"/>
  </r>
  <r>
    <x v="1"/>
    <x v="149"/>
    <n v="0.25"/>
  </r>
  <r>
    <x v="1"/>
    <x v="116"/>
    <n v="0.2"/>
  </r>
  <r>
    <x v="1"/>
    <x v="54"/>
    <n v="0.1"/>
  </r>
  <r>
    <x v="1"/>
    <x v="109"/>
    <n v="0.93"/>
  </r>
  <r>
    <x v="1"/>
    <x v="110"/>
    <n v="0.04"/>
  </r>
  <r>
    <x v="1"/>
    <x v="25"/>
    <n v="0.03"/>
  </r>
  <r>
    <x v="1"/>
    <x v="8"/>
    <n v="0.75"/>
  </r>
  <r>
    <x v="1"/>
    <x v="109"/>
    <n v="0.25"/>
  </r>
  <r>
    <x v="1"/>
    <x v="4"/>
    <n v="0.65"/>
  </r>
  <r>
    <x v="1"/>
    <x v="109"/>
    <n v="0.35"/>
  </r>
  <r>
    <x v="1"/>
    <x v="25"/>
    <n v="0.45"/>
  </r>
  <r>
    <x v="1"/>
    <x v="110"/>
    <n v="0.25"/>
  </r>
  <r>
    <x v="1"/>
    <x v="43"/>
    <n v="0.15"/>
  </r>
  <r>
    <x v="1"/>
    <x v="109"/>
    <n v="0.15"/>
  </r>
  <r>
    <x v="1"/>
    <x v="7"/>
    <n v="0.45"/>
  </r>
  <r>
    <x v="1"/>
    <x v="6"/>
    <n v="0.25"/>
  </r>
  <r>
    <x v="1"/>
    <x v="5"/>
    <n v="0.2"/>
  </r>
  <r>
    <x v="1"/>
    <x v="17"/>
    <n v="0.1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111"/>
    <n v="0.91"/>
  </r>
  <r>
    <x v="1"/>
    <x v="110"/>
    <n v="0.05"/>
  </r>
  <r>
    <x v="1"/>
    <x v="25"/>
    <n v="0.04"/>
  </r>
  <r>
    <x v="1"/>
    <x v="4"/>
    <n v="0.75"/>
  </r>
  <r>
    <x v="1"/>
    <x v="111"/>
    <n v="0.25"/>
  </r>
  <r>
    <x v="1"/>
    <x v="8"/>
    <n v="0.8"/>
  </r>
  <r>
    <x v="1"/>
    <x v="111"/>
    <n v="0.2"/>
  </r>
  <r>
    <x v="1"/>
    <x v="25"/>
    <n v="0.5"/>
  </r>
  <r>
    <x v="1"/>
    <x v="110"/>
    <n v="0.2"/>
  </r>
  <r>
    <x v="1"/>
    <x v="43"/>
    <n v="0.15"/>
  </r>
  <r>
    <x v="1"/>
    <x v="111"/>
    <n v="0.15"/>
  </r>
  <r>
    <x v="1"/>
    <x v="5"/>
    <n v="0.35"/>
  </r>
  <r>
    <x v="1"/>
    <x v="6"/>
    <n v="0.25"/>
  </r>
  <r>
    <x v="1"/>
    <x v="7"/>
    <n v="0.2"/>
  </r>
  <r>
    <x v="1"/>
    <x v="17"/>
    <n v="0.2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25"/>
    <n v="0.91"/>
  </r>
  <r>
    <x v="1"/>
    <x v="113"/>
    <n v="0.03"/>
  </r>
  <r>
    <x v="1"/>
    <x v="43"/>
    <n v="0.03"/>
  </r>
  <r>
    <x v="1"/>
    <x v="167"/>
    <n v="0.03"/>
  </r>
  <r>
    <x v="1"/>
    <x v="25"/>
    <n v="0.7"/>
  </r>
  <r>
    <x v="1"/>
    <x v="113"/>
    <n v="0.15"/>
  </r>
  <r>
    <x v="1"/>
    <x v="11"/>
    <n v="0.1"/>
  </r>
  <r>
    <x v="1"/>
    <x v="120"/>
    <n v="0.05"/>
  </r>
  <r>
    <x v="1"/>
    <x v="25"/>
    <n v="0.6"/>
  </r>
  <r>
    <x v="1"/>
    <x v="11"/>
    <n v="0.2"/>
  </r>
  <r>
    <x v="1"/>
    <x v="120"/>
    <n v="0.1"/>
  </r>
  <r>
    <x v="1"/>
    <x v="199"/>
    <n v="0.1"/>
  </r>
  <r>
    <x v="1"/>
    <x v="110"/>
    <n v="0.2"/>
  </r>
  <r>
    <x v="1"/>
    <x v="109"/>
    <n v="0.15"/>
  </r>
  <r>
    <x v="1"/>
    <x v="111"/>
    <n v="0.2"/>
  </r>
  <r>
    <x v="1"/>
    <x v="25"/>
    <n v="0.45"/>
  </r>
  <r>
    <x v="1"/>
    <x v="200"/>
    <n v="0.5"/>
  </r>
  <r>
    <x v="1"/>
    <x v="4"/>
    <n v="0.35"/>
  </r>
  <r>
    <x v="1"/>
    <x v="111"/>
    <n v="0.15"/>
  </r>
  <r>
    <x v="1"/>
    <x v="168"/>
    <n v="0.7"/>
  </r>
  <r>
    <x v="1"/>
    <x v="167"/>
    <n v="0.15"/>
  </r>
  <r>
    <x v="1"/>
    <x v="25"/>
    <n v="0.15"/>
  </r>
  <r>
    <x v="1"/>
    <x v="129"/>
    <n v="0.7"/>
  </r>
  <r>
    <x v="1"/>
    <x v="169"/>
    <n v="0.15"/>
  </r>
  <r>
    <x v="1"/>
    <x v="25"/>
    <n v="0.15"/>
  </r>
  <r>
    <x v="1"/>
    <x v="6"/>
    <n v="0.35"/>
  </r>
  <r>
    <x v="1"/>
    <x v="5"/>
    <n v="0.3"/>
  </r>
  <r>
    <x v="1"/>
    <x v="7"/>
    <n v="0.2"/>
  </r>
  <r>
    <x v="1"/>
    <x v="17"/>
    <n v="0.15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201"/>
    <n v="0.42"/>
  </r>
  <r>
    <x v="1"/>
    <x v="71"/>
    <n v="0.38"/>
  </r>
  <r>
    <x v="1"/>
    <x v="51"/>
    <n v="0.2"/>
  </r>
  <r>
    <x v="1"/>
    <x v="51"/>
    <n v="0.6"/>
  </r>
  <r>
    <x v="1"/>
    <x v="71"/>
    <n v="0.25"/>
  </r>
  <r>
    <x v="1"/>
    <x v="201"/>
    <n v="0.15"/>
  </r>
  <r>
    <x v="1"/>
    <x v="34"/>
    <n v="0.75"/>
  </r>
  <r>
    <x v="1"/>
    <x v="35"/>
    <n v="0.15"/>
  </r>
  <r>
    <x v="1"/>
    <x v="36"/>
    <n v="0.1"/>
  </r>
  <r>
    <x v="1"/>
    <x v="88"/>
    <n v="0.3"/>
  </r>
  <r>
    <x v="1"/>
    <x v="89"/>
    <n v="0.3"/>
  </r>
  <r>
    <x v="1"/>
    <x v="104"/>
    <n v="0.2"/>
  </r>
  <r>
    <x v="1"/>
    <x v="90"/>
    <n v="0.2"/>
  </r>
  <r>
    <x v="1"/>
    <x v="105"/>
    <n v="0.35"/>
  </r>
  <r>
    <x v="1"/>
    <x v="54"/>
    <n v="0.65"/>
  </r>
  <r>
    <x v="1"/>
    <x v="54"/>
    <n v="0.8"/>
  </r>
  <r>
    <x v="1"/>
    <x v="105"/>
    <n v="0.2"/>
  </r>
  <r>
    <x v="1"/>
    <x v="34"/>
    <n v="0.6"/>
  </r>
  <r>
    <x v="1"/>
    <x v="36"/>
    <n v="0.25"/>
  </r>
  <r>
    <x v="1"/>
    <x v="35"/>
    <n v="0.15"/>
  </r>
  <r>
    <x v="1"/>
    <x v="22"/>
    <n v="0.3"/>
  </r>
  <r>
    <x v="1"/>
    <x v="14"/>
    <n v="0.25"/>
  </r>
  <r>
    <x v="1"/>
    <x v="13"/>
    <n v="0.2"/>
  </r>
  <r>
    <x v="1"/>
    <x v="12"/>
    <n v="0.15"/>
  </r>
  <r>
    <x v="1"/>
    <x v="15"/>
    <n v="0.1"/>
  </r>
  <r>
    <x v="1"/>
    <x v="149"/>
    <n v="0.84"/>
  </r>
  <r>
    <x v="1"/>
    <x v="54"/>
    <n v="0.1"/>
  </r>
  <r>
    <x v="1"/>
    <x v="26"/>
    <n v="0.06"/>
  </r>
  <r>
    <x v="1"/>
    <x v="149"/>
    <n v="0.5"/>
  </r>
  <r>
    <x v="1"/>
    <x v="7"/>
    <n v="0.2"/>
  </r>
  <r>
    <x v="1"/>
    <x v="17"/>
    <n v="0.12"/>
  </r>
  <r>
    <x v="1"/>
    <x v="6"/>
    <n v="0.1"/>
  </r>
  <r>
    <x v="1"/>
    <x v="117"/>
    <n v="0.08"/>
  </r>
  <r>
    <x v="1"/>
    <x v="69"/>
    <n v="0.35"/>
  </r>
  <r>
    <x v="1"/>
    <x v="36"/>
    <n v="0.3"/>
  </r>
  <r>
    <x v="1"/>
    <x v="34"/>
    <n v="0.2"/>
  </r>
  <r>
    <x v="1"/>
    <x v="35"/>
    <n v="0.15"/>
  </r>
  <r>
    <x v="1"/>
    <x v="149"/>
    <n v="0.6"/>
  </r>
  <r>
    <x v="1"/>
    <x v="26"/>
    <n v="0.3"/>
  </r>
  <r>
    <x v="1"/>
    <x v="29"/>
    <n v="0.1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4"/>
    <n v="0.75"/>
  </r>
  <r>
    <x v="1"/>
    <x v="37"/>
    <n v="0.25"/>
  </r>
  <r>
    <x v="1"/>
    <x v="112"/>
    <n v="0.73"/>
  </r>
  <r>
    <x v="1"/>
    <x v="41"/>
    <n v="0.19"/>
  </r>
  <r>
    <x v="1"/>
    <x v="43"/>
    <n v="0.08"/>
  </r>
  <r>
    <x v="1"/>
    <x v="41"/>
    <n v="0.35"/>
  </r>
  <r>
    <x v="1"/>
    <x v="75"/>
    <n v="0.25"/>
  </r>
  <r>
    <x v="1"/>
    <x v="13"/>
    <n v="0.2"/>
  </r>
  <r>
    <x v="1"/>
    <x v="22"/>
    <n v="0.1"/>
  </r>
  <r>
    <x v="1"/>
    <x v="16"/>
    <n v="0.1"/>
  </r>
  <r>
    <x v="1"/>
    <x v="41"/>
    <n v="0.55000000000000004"/>
  </r>
  <r>
    <x v="1"/>
    <x v="85"/>
    <n v="0.2"/>
  </r>
  <r>
    <x v="1"/>
    <x v="76"/>
    <n v="0.15"/>
  </r>
  <r>
    <x v="1"/>
    <x v="81"/>
    <n v="0.1"/>
  </r>
  <r>
    <x v="1"/>
    <x v="4"/>
    <n v="0.6"/>
  </r>
  <r>
    <x v="1"/>
    <x v="112"/>
    <n v="0.4"/>
  </r>
  <r>
    <x v="1"/>
    <x v="109"/>
    <n v="0.4"/>
  </r>
  <r>
    <x v="1"/>
    <x v="110"/>
    <n v="0.35"/>
  </r>
  <r>
    <x v="1"/>
    <x v="111"/>
    <n v="0.2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112"/>
    <n v="0.7"/>
  </r>
  <r>
    <x v="1"/>
    <x v="43"/>
    <n v="0.2"/>
  </r>
  <r>
    <x v="1"/>
    <x v="113"/>
    <n v="0.1"/>
  </r>
  <r>
    <x v="1"/>
    <x v="113"/>
    <n v="0.91"/>
  </r>
  <r>
    <x v="1"/>
    <x v="25"/>
    <n v="0.05"/>
  </r>
  <r>
    <x v="1"/>
    <x v="43"/>
    <n v="0.04"/>
  </r>
  <r>
    <x v="1"/>
    <x v="40"/>
    <n v="0.4"/>
  </r>
  <r>
    <x v="1"/>
    <x v="42"/>
    <n v="0.25"/>
  </r>
  <r>
    <x v="1"/>
    <x v="113"/>
    <n v="0.2"/>
  </r>
  <r>
    <x v="1"/>
    <x v="43"/>
    <n v="0.15"/>
  </r>
  <r>
    <x v="1"/>
    <x v="113"/>
    <n v="0.65"/>
  </r>
  <r>
    <x v="1"/>
    <x v="42"/>
    <n v="0.2"/>
  </r>
  <r>
    <x v="1"/>
    <x v="122"/>
    <n v="0.15"/>
  </r>
  <r>
    <x v="1"/>
    <x v="43"/>
    <n v="0.35"/>
  </r>
  <r>
    <x v="1"/>
    <x v="41"/>
    <n v="0.25"/>
  </r>
  <r>
    <x v="1"/>
    <x v="13"/>
    <n v="0.2"/>
  </r>
  <r>
    <x v="1"/>
    <x v="75"/>
    <n v="0.2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109"/>
    <n v="0.4"/>
  </r>
  <r>
    <x v="1"/>
    <x v="110"/>
    <n v="0.35"/>
  </r>
  <r>
    <x v="1"/>
    <x v="111"/>
    <n v="0.25"/>
  </r>
  <r>
    <x v="1"/>
    <x v="13"/>
    <n v="0.5"/>
  </r>
  <r>
    <x v="1"/>
    <x v="14"/>
    <n v="0.25"/>
  </r>
  <r>
    <x v="1"/>
    <x v="12"/>
    <n v="0.25"/>
  </r>
  <r>
    <x v="1"/>
    <x v="13"/>
    <n v="0.55000000000000004"/>
  </r>
  <r>
    <x v="1"/>
    <x v="12"/>
    <n v="0.25"/>
  </r>
  <r>
    <x v="1"/>
    <x v="14"/>
    <n v="0.2"/>
  </r>
  <r>
    <x v="1"/>
    <x v="14"/>
    <n v="0.4"/>
  </r>
  <r>
    <x v="1"/>
    <x v="13"/>
    <n v="0.4"/>
  </r>
  <r>
    <x v="1"/>
    <x v="12"/>
    <n v="0.2"/>
  </r>
  <r>
    <x v="1"/>
    <x v="22"/>
    <n v="0.7"/>
  </r>
  <r>
    <x v="1"/>
    <x v="13"/>
    <n v="0.3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4"/>
    <n v="0.75"/>
  </r>
  <r>
    <x v="1"/>
    <x v="202"/>
    <n v="0.25"/>
  </r>
  <r>
    <x v="1"/>
    <x v="22"/>
    <n v="0.44"/>
  </r>
  <r>
    <x v="1"/>
    <x v="15"/>
    <n v="0.28000000000000003"/>
  </r>
  <r>
    <x v="1"/>
    <x v="13"/>
    <n v="0.14000000000000001"/>
  </r>
  <r>
    <x v="1"/>
    <x v="16"/>
    <n v="0.08"/>
  </r>
  <r>
    <x v="1"/>
    <x v="114"/>
    <n v="0.06"/>
  </r>
  <r>
    <x v="1"/>
    <x v="13"/>
    <n v="0.35"/>
  </r>
  <r>
    <x v="1"/>
    <x v="15"/>
    <n v="0.3"/>
  </r>
  <r>
    <x v="1"/>
    <x v="22"/>
    <n v="0.2"/>
  </r>
  <r>
    <x v="1"/>
    <x v="16"/>
    <n v="0.15"/>
  </r>
  <r>
    <x v="1"/>
    <x v="4"/>
    <n v="0.7"/>
  </r>
  <r>
    <x v="1"/>
    <x v="15"/>
    <n v="0.3"/>
  </r>
  <r>
    <x v="1"/>
    <x v="22"/>
    <n v="0.55000000000000004"/>
  </r>
  <r>
    <x v="1"/>
    <x v="16"/>
    <n v="0.2"/>
  </r>
  <r>
    <x v="1"/>
    <x v="13"/>
    <n v="0.15"/>
  </r>
  <r>
    <x v="1"/>
    <x v="114"/>
    <n v="0.1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6"/>
    <n v="0.35"/>
  </r>
  <r>
    <x v="1"/>
    <x v="5"/>
    <n v="0.3"/>
  </r>
  <r>
    <x v="1"/>
    <x v="7"/>
    <n v="0.2"/>
  </r>
  <r>
    <x v="1"/>
    <x v="17"/>
    <n v="0.15"/>
  </r>
  <r>
    <x v="1"/>
    <x v="13"/>
    <n v="0.45"/>
  </r>
  <r>
    <x v="1"/>
    <x v="12"/>
    <n v="0.3"/>
  </r>
  <r>
    <x v="1"/>
    <x v="14"/>
    <n v="0.25"/>
  </r>
  <r>
    <x v="1"/>
    <x v="22"/>
    <n v="0.9"/>
  </r>
  <r>
    <x v="1"/>
    <x v="15"/>
    <n v="0.05"/>
  </r>
  <r>
    <x v="1"/>
    <x v="16"/>
    <n v="0.03"/>
  </r>
  <r>
    <x v="1"/>
    <x v="114"/>
    <n v="0.02"/>
  </r>
  <r>
    <x v="1"/>
    <x v="54"/>
    <n v="0.45"/>
  </r>
  <r>
    <x v="1"/>
    <x v="22"/>
    <n v="0.35"/>
  </r>
  <r>
    <x v="1"/>
    <x v="116"/>
    <n v="0.2"/>
  </r>
  <r>
    <x v="1"/>
    <x v="4"/>
    <n v="0.7"/>
  </r>
  <r>
    <x v="1"/>
    <x v="22"/>
    <n v="0.3"/>
  </r>
  <r>
    <x v="1"/>
    <x v="16"/>
    <n v="0.35"/>
  </r>
  <r>
    <x v="1"/>
    <x v="13"/>
    <n v="0.25"/>
  </r>
  <r>
    <x v="1"/>
    <x v="22"/>
    <n v="0.2"/>
  </r>
  <r>
    <x v="1"/>
    <x v="15"/>
    <n v="0.2"/>
  </r>
  <r>
    <x v="1"/>
    <x v="203"/>
    <n v="0.55000000000000004"/>
  </r>
  <r>
    <x v="1"/>
    <x v="4"/>
    <n v="0.25"/>
  </r>
  <r>
    <x v="1"/>
    <x v="22"/>
    <n v="0.2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15"/>
    <n v="0.4"/>
  </r>
  <r>
    <x v="1"/>
    <x v="16"/>
    <n v="0.25"/>
  </r>
  <r>
    <x v="1"/>
    <x v="114"/>
    <n v="0.2"/>
  </r>
  <r>
    <x v="1"/>
    <x v="13"/>
    <n v="0.15"/>
  </r>
  <r>
    <x v="1"/>
    <x v="16"/>
    <n v="0.54"/>
  </r>
  <r>
    <x v="1"/>
    <x v="75"/>
    <n v="0.14000000000000001"/>
  </r>
  <r>
    <x v="1"/>
    <x v="13"/>
    <n v="0.12"/>
  </r>
  <r>
    <x v="1"/>
    <x v="22"/>
    <n v="0.1"/>
  </r>
  <r>
    <x v="1"/>
    <x v="15"/>
    <n v="0.1"/>
  </r>
  <r>
    <x v="1"/>
    <x v="75"/>
    <n v="0.3"/>
  </r>
  <r>
    <x v="1"/>
    <x v="13"/>
    <n v="0.25"/>
  </r>
  <r>
    <x v="1"/>
    <x v="16"/>
    <n v="0.25"/>
  </r>
  <r>
    <x v="1"/>
    <x v="22"/>
    <n v="0.2"/>
  </r>
  <r>
    <x v="1"/>
    <x v="4"/>
    <n v="0.7"/>
  </r>
  <r>
    <x v="1"/>
    <x v="16"/>
    <n v="0.3"/>
  </r>
  <r>
    <x v="1"/>
    <x v="22"/>
    <n v="0.4"/>
  </r>
  <r>
    <x v="1"/>
    <x v="15"/>
    <n v="0.25"/>
  </r>
  <r>
    <x v="1"/>
    <x v="16"/>
    <n v="0.2"/>
  </r>
  <r>
    <x v="1"/>
    <x v="13"/>
    <n v="0.15"/>
  </r>
  <r>
    <x v="1"/>
    <x v="116"/>
    <n v="0.4"/>
  </r>
  <r>
    <x v="1"/>
    <x v="22"/>
    <n v="0.3"/>
  </r>
  <r>
    <x v="1"/>
    <x v="16"/>
    <n v="0.3"/>
  </r>
  <r>
    <x v="1"/>
    <x v="20"/>
    <n v="0.35"/>
  </r>
  <r>
    <x v="1"/>
    <x v="19"/>
    <n v="0.25"/>
  </r>
  <r>
    <x v="1"/>
    <x v="21"/>
    <n v="0.2"/>
  </r>
  <r>
    <x v="1"/>
    <x v="55"/>
    <n v="0.2"/>
  </r>
  <r>
    <x v="1"/>
    <x v="6"/>
    <n v="0.35"/>
  </r>
  <r>
    <x v="1"/>
    <x v="5"/>
    <n v="0.3"/>
  </r>
  <r>
    <x v="1"/>
    <x v="7"/>
    <n v="0.2"/>
  </r>
  <r>
    <x v="1"/>
    <x v="17"/>
    <n v="0.15"/>
  </r>
  <r>
    <x v="1"/>
    <x v="33"/>
    <n v="0.3"/>
  </r>
  <r>
    <x v="1"/>
    <x v="32"/>
    <n v="0.2"/>
  </r>
  <r>
    <x v="1"/>
    <x v="204"/>
    <n v="0.2"/>
  </r>
  <r>
    <x v="1"/>
    <x v="103"/>
    <n v="0.15"/>
  </r>
  <r>
    <x v="1"/>
    <x v="30"/>
    <n v="0.15"/>
  </r>
  <r>
    <x v="1"/>
    <x v="103"/>
    <n v="0.3"/>
  </r>
  <r>
    <x v="1"/>
    <x v="204"/>
    <n v="0.25"/>
  </r>
  <r>
    <x v="1"/>
    <x v="89"/>
    <n v="0.2"/>
  </r>
  <r>
    <x v="1"/>
    <x v="88"/>
    <n v="0.15"/>
  </r>
  <r>
    <x v="1"/>
    <x v="33"/>
    <n v="0.1"/>
  </r>
  <r>
    <x v="1"/>
    <x v="49"/>
    <n v="0.45"/>
  </r>
  <r>
    <x v="1"/>
    <x v="50"/>
    <n v="0.2"/>
  </r>
  <r>
    <x v="1"/>
    <x v="33"/>
    <n v="0.2"/>
  </r>
  <r>
    <x v="1"/>
    <x v="204"/>
    <n v="0.15"/>
  </r>
  <r>
    <x v="1"/>
    <x v="103"/>
    <n v="1"/>
  </r>
  <r>
    <x v="1"/>
    <x v="103"/>
    <n v="1"/>
  </r>
  <r>
    <x v="1"/>
    <x v="33"/>
    <n v="0.3"/>
  </r>
  <r>
    <x v="1"/>
    <x v="95"/>
    <n v="0.25"/>
  </r>
  <r>
    <x v="1"/>
    <x v="146"/>
    <n v="0.25"/>
  </r>
  <r>
    <x v="1"/>
    <x v="204"/>
    <n v="0.2"/>
  </r>
  <r>
    <x v="1"/>
    <x v="30"/>
    <n v="0.5"/>
  </r>
  <r>
    <x v="1"/>
    <x v="70"/>
    <n v="0.25"/>
  </r>
  <r>
    <x v="1"/>
    <x v="71"/>
    <n v="0.25"/>
  </r>
  <r>
    <x v="1"/>
    <x v="33"/>
    <n v="0.25"/>
  </r>
  <r>
    <x v="1"/>
    <x v="32"/>
    <n v="0.2"/>
  </r>
  <r>
    <x v="1"/>
    <x v="103"/>
    <n v="0.2"/>
  </r>
  <r>
    <x v="1"/>
    <x v="204"/>
    <n v="0.2"/>
  </r>
  <r>
    <x v="1"/>
    <x v="30"/>
    <n v="0.15"/>
  </r>
  <r>
    <x v="1"/>
    <x v="103"/>
    <n v="0.25"/>
  </r>
  <r>
    <x v="1"/>
    <x v="33"/>
    <n v="0.2"/>
  </r>
  <r>
    <x v="1"/>
    <x v="89"/>
    <n v="0.2"/>
  </r>
  <r>
    <x v="1"/>
    <x v="88"/>
    <n v="0.15"/>
  </r>
  <r>
    <x v="1"/>
    <x v="49"/>
    <n v="0.1"/>
  </r>
  <r>
    <x v="1"/>
    <x v="50"/>
    <n v="0.1"/>
  </r>
  <r>
    <x v="1"/>
    <x v="33"/>
    <n v="0.3"/>
  </r>
  <r>
    <x v="1"/>
    <x v="32"/>
    <n v="0.2"/>
  </r>
  <r>
    <x v="1"/>
    <x v="205"/>
    <n v="0.2"/>
  </r>
  <r>
    <x v="1"/>
    <x v="103"/>
    <n v="0.15"/>
  </r>
  <r>
    <x v="1"/>
    <x v="26"/>
    <n v="0.15"/>
  </r>
  <r>
    <x v="1"/>
    <x v="49"/>
    <n v="0.45"/>
  </r>
  <r>
    <x v="1"/>
    <x v="50"/>
    <n v="0.2"/>
  </r>
  <r>
    <x v="1"/>
    <x v="33"/>
    <n v="0.2"/>
  </r>
  <r>
    <x v="1"/>
    <x v="103"/>
    <n v="0.15"/>
  </r>
  <r>
    <x v="1"/>
    <x v="103"/>
    <n v="1"/>
  </r>
  <r>
    <x v="1"/>
    <x v="33"/>
    <n v="0.3"/>
  </r>
  <r>
    <x v="1"/>
    <x v="95"/>
    <n v="0.25"/>
  </r>
  <r>
    <x v="1"/>
    <x v="146"/>
    <n v="0.25"/>
  </r>
  <r>
    <x v="1"/>
    <x v="103"/>
    <n v="0.2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26"/>
    <n v="0.5"/>
  </r>
  <r>
    <x v="1"/>
    <x v="70"/>
    <n v="0.25"/>
  </r>
  <r>
    <x v="1"/>
    <x v="71"/>
    <n v="0.25"/>
  </r>
  <r>
    <x v="1"/>
    <x v="103"/>
    <n v="0.25"/>
  </r>
  <r>
    <x v="1"/>
    <x v="33"/>
    <n v="0.2"/>
  </r>
  <r>
    <x v="1"/>
    <x v="89"/>
    <n v="0.2"/>
  </r>
  <r>
    <x v="1"/>
    <x v="88"/>
    <n v="0.2"/>
  </r>
  <r>
    <x v="1"/>
    <x v="49"/>
    <n v="0.15"/>
  </r>
  <r>
    <x v="1"/>
    <x v="30"/>
    <n v="0.25"/>
  </r>
  <r>
    <x v="1"/>
    <x v="91"/>
    <n v="0.2"/>
  </r>
  <r>
    <x v="1"/>
    <x v="33"/>
    <n v="0.2"/>
  </r>
  <r>
    <x v="1"/>
    <x v="89"/>
    <n v="0.2"/>
  </r>
  <r>
    <x v="1"/>
    <x v="206"/>
    <n v="0.15"/>
  </r>
  <r>
    <x v="1"/>
    <x v="89"/>
    <n v="0.35"/>
  </r>
  <r>
    <x v="1"/>
    <x v="88"/>
    <n v="0.3"/>
  </r>
  <r>
    <x v="1"/>
    <x v="103"/>
    <n v="0.2"/>
  </r>
  <r>
    <x v="1"/>
    <x v="33"/>
    <n v="0.1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146"/>
    <n v="0.35"/>
  </r>
  <r>
    <x v="1"/>
    <x v="95"/>
    <n v="0.25"/>
  </r>
  <r>
    <x v="1"/>
    <x v="91"/>
    <n v="0.2"/>
  </r>
  <r>
    <x v="1"/>
    <x v="94"/>
    <n v="0.2"/>
  </r>
  <r>
    <x v="1"/>
    <x v="30"/>
    <n v="0.5"/>
  </r>
  <r>
    <x v="1"/>
    <x v="71"/>
    <n v="0.25"/>
  </r>
  <r>
    <x v="1"/>
    <x v="70"/>
    <n v="0.25"/>
  </r>
  <r>
    <x v="1"/>
    <x v="103"/>
    <n v="1"/>
  </r>
  <r>
    <x v="1"/>
    <x v="30"/>
    <n v="0.2"/>
  </r>
  <r>
    <x v="1"/>
    <x v="91"/>
    <n v="0.2"/>
  </r>
  <r>
    <x v="1"/>
    <x v="33"/>
    <n v="0.2"/>
  </r>
  <r>
    <x v="1"/>
    <x v="89"/>
    <n v="0.2"/>
  </r>
  <r>
    <x v="1"/>
    <x v="103"/>
    <n v="0.2"/>
  </r>
  <r>
    <x v="1"/>
    <x v="30"/>
    <n v="0.25"/>
  </r>
  <r>
    <x v="1"/>
    <x v="91"/>
    <n v="0.2"/>
  </r>
  <r>
    <x v="1"/>
    <x v="89"/>
    <n v="0.2"/>
  </r>
  <r>
    <x v="1"/>
    <x v="88"/>
    <n v="0.2"/>
  </r>
  <r>
    <x v="1"/>
    <x v="207"/>
    <n v="0.15"/>
  </r>
  <r>
    <x v="1"/>
    <x v="89"/>
    <n v="0.35"/>
  </r>
  <r>
    <x v="1"/>
    <x v="88"/>
    <n v="0.3"/>
  </r>
  <r>
    <x v="1"/>
    <x v="103"/>
    <n v="0.2"/>
  </r>
  <r>
    <x v="1"/>
    <x v="33"/>
    <n v="0.1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146"/>
    <n v="0.35"/>
  </r>
  <r>
    <x v="1"/>
    <x v="95"/>
    <n v="0.25"/>
  </r>
  <r>
    <x v="1"/>
    <x v="91"/>
    <n v="0.2"/>
  </r>
  <r>
    <x v="1"/>
    <x v="94"/>
    <n v="0.2"/>
  </r>
  <r>
    <x v="1"/>
    <x v="30"/>
    <n v="0.5"/>
  </r>
  <r>
    <x v="1"/>
    <x v="71"/>
    <n v="0.25"/>
  </r>
  <r>
    <x v="1"/>
    <x v="70"/>
    <n v="0.25"/>
  </r>
  <r>
    <x v="1"/>
    <x v="103"/>
    <n v="1"/>
  </r>
  <r>
    <x v="1"/>
    <x v="30"/>
    <n v="0.2"/>
  </r>
  <r>
    <x v="1"/>
    <x v="91"/>
    <n v="0.2"/>
  </r>
  <r>
    <x v="1"/>
    <x v="89"/>
    <n v="0.2"/>
  </r>
  <r>
    <x v="1"/>
    <x v="88"/>
    <n v="0.2"/>
  </r>
  <r>
    <x v="1"/>
    <x v="103"/>
    <n v="0.2"/>
  </r>
  <r>
    <x v="1"/>
    <x v="51"/>
    <n v="0.35"/>
  </r>
  <r>
    <x v="1"/>
    <x v="67"/>
    <n v="0.2"/>
  </r>
  <r>
    <x v="1"/>
    <x v="91"/>
    <n v="0.2"/>
  </r>
  <r>
    <x v="1"/>
    <x v="33"/>
    <n v="0.15"/>
  </r>
  <r>
    <x v="1"/>
    <x v="32"/>
    <n v="0.1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9"/>
    <n v="0.35"/>
  </r>
  <r>
    <x v="1"/>
    <x v="88"/>
    <n v="0.3"/>
  </r>
  <r>
    <x v="1"/>
    <x v="103"/>
    <n v="0.2"/>
  </r>
  <r>
    <x v="1"/>
    <x v="91"/>
    <n v="0.15"/>
  </r>
  <r>
    <x v="1"/>
    <x v="51"/>
    <n v="0.6"/>
  </r>
  <r>
    <x v="1"/>
    <x v="71"/>
    <n v="0.2"/>
  </r>
  <r>
    <x v="1"/>
    <x v="70"/>
    <n v="0.2"/>
  </r>
  <r>
    <x v="1"/>
    <x v="51"/>
    <n v="0.25"/>
  </r>
  <r>
    <x v="1"/>
    <x v="67"/>
    <n v="0.25"/>
  </r>
  <r>
    <x v="1"/>
    <x v="91"/>
    <n v="0.2"/>
  </r>
  <r>
    <x v="1"/>
    <x v="33"/>
    <n v="0.15"/>
  </r>
  <r>
    <x v="1"/>
    <x v="32"/>
    <n v="0.15"/>
  </r>
  <r>
    <x v="1"/>
    <x v="51"/>
    <n v="0.35"/>
  </r>
  <r>
    <x v="1"/>
    <x v="67"/>
    <n v="0.2"/>
  </r>
  <r>
    <x v="1"/>
    <x v="91"/>
    <n v="0.2"/>
  </r>
  <r>
    <x v="1"/>
    <x v="33"/>
    <n v="0.15"/>
  </r>
  <r>
    <x v="1"/>
    <x v="32"/>
    <n v="0.1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9"/>
    <n v="0.35"/>
  </r>
  <r>
    <x v="1"/>
    <x v="88"/>
    <n v="0.3"/>
  </r>
  <r>
    <x v="1"/>
    <x v="103"/>
    <n v="0.2"/>
  </r>
  <r>
    <x v="1"/>
    <x v="91"/>
    <n v="0.15"/>
  </r>
  <r>
    <x v="1"/>
    <x v="51"/>
    <n v="0.6"/>
  </r>
  <r>
    <x v="1"/>
    <x v="71"/>
    <n v="0.2"/>
  </r>
  <r>
    <x v="1"/>
    <x v="70"/>
    <n v="0.2"/>
  </r>
  <r>
    <x v="1"/>
    <x v="51"/>
    <n v="0.25"/>
  </r>
  <r>
    <x v="1"/>
    <x v="67"/>
    <n v="0.25"/>
  </r>
  <r>
    <x v="1"/>
    <x v="91"/>
    <n v="0.2"/>
  </r>
  <r>
    <x v="1"/>
    <x v="33"/>
    <n v="0.15"/>
  </r>
  <r>
    <x v="1"/>
    <x v="32"/>
    <n v="0.15"/>
  </r>
  <r>
    <x v="1"/>
    <x v="103"/>
    <n v="0.3"/>
  </r>
  <r>
    <x v="1"/>
    <x v="88"/>
    <n v="0.25"/>
  </r>
  <r>
    <x v="1"/>
    <x v="89"/>
    <n v="0.2"/>
  </r>
  <r>
    <x v="1"/>
    <x v="51"/>
    <n v="0.15"/>
  </r>
  <r>
    <x v="1"/>
    <x v="208"/>
    <n v="0.1"/>
  </r>
  <r>
    <x v="1"/>
    <x v="51"/>
    <n v="0.25"/>
  </r>
  <r>
    <x v="1"/>
    <x v="67"/>
    <n v="0.2"/>
  </r>
  <r>
    <x v="1"/>
    <x v="91"/>
    <n v="0.2"/>
  </r>
  <r>
    <x v="1"/>
    <x v="33"/>
    <n v="0.2"/>
  </r>
  <r>
    <x v="1"/>
    <x v="32"/>
    <n v="0.15"/>
  </r>
  <r>
    <x v="1"/>
    <x v="103"/>
    <n v="1"/>
  </r>
  <r>
    <x v="1"/>
    <x v="88"/>
    <n v="0.35"/>
  </r>
  <r>
    <x v="1"/>
    <x v="90"/>
    <n v="0.3"/>
  </r>
  <r>
    <x v="1"/>
    <x v="92"/>
    <n v="0.2"/>
  </r>
  <r>
    <x v="1"/>
    <x v="93"/>
    <n v="0.1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51"/>
    <n v="0.6"/>
  </r>
  <r>
    <x v="1"/>
    <x v="70"/>
    <n v="0.2"/>
  </r>
  <r>
    <x v="1"/>
    <x v="71"/>
    <n v="0.2"/>
  </r>
  <r>
    <x v="1"/>
    <x v="103"/>
    <n v="0.3"/>
  </r>
  <r>
    <x v="1"/>
    <x v="88"/>
    <n v="0.25"/>
  </r>
  <r>
    <x v="1"/>
    <x v="89"/>
    <n v="0.2"/>
  </r>
  <r>
    <x v="1"/>
    <x v="51"/>
    <n v="0.15"/>
  </r>
  <r>
    <x v="1"/>
    <x v="208"/>
    <n v="0.1"/>
  </r>
  <r>
    <x v="1"/>
    <x v="32"/>
    <n v="0.45"/>
  </r>
  <r>
    <x v="1"/>
    <x v="33"/>
    <n v="0.3"/>
  </r>
  <r>
    <x v="1"/>
    <x v="91"/>
    <n v="0.15"/>
  </r>
  <r>
    <x v="1"/>
    <x v="26"/>
    <n v="0.1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9"/>
    <n v="0.35"/>
  </r>
  <r>
    <x v="1"/>
    <x v="88"/>
    <n v="0.3"/>
  </r>
  <r>
    <x v="1"/>
    <x v="103"/>
    <n v="0.2"/>
  </r>
  <r>
    <x v="1"/>
    <x v="91"/>
    <n v="0.15"/>
  </r>
  <r>
    <x v="1"/>
    <x v="26"/>
    <n v="0.6"/>
  </r>
  <r>
    <x v="1"/>
    <x v="70"/>
    <n v="0.2"/>
  </r>
  <r>
    <x v="1"/>
    <x v="71"/>
    <n v="0.2"/>
  </r>
  <r>
    <x v="1"/>
    <x v="32"/>
    <n v="0.5"/>
  </r>
  <r>
    <x v="1"/>
    <x v="33"/>
    <n v="0.3"/>
  </r>
  <r>
    <x v="1"/>
    <x v="91"/>
    <n v="0.2"/>
  </r>
  <r>
    <x v="1"/>
    <x v="51"/>
    <n v="0.3"/>
  </r>
  <r>
    <x v="1"/>
    <x v="33"/>
    <n v="0.25"/>
  </r>
  <r>
    <x v="1"/>
    <x v="32"/>
    <n v="0.2"/>
  </r>
  <r>
    <x v="1"/>
    <x v="91"/>
    <n v="0.15"/>
  </r>
  <r>
    <x v="1"/>
    <x v="67"/>
    <n v="0.1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9"/>
    <n v="0.35"/>
  </r>
  <r>
    <x v="1"/>
    <x v="88"/>
    <n v="0.3"/>
  </r>
  <r>
    <x v="1"/>
    <x v="103"/>
    <n v="0.2"/>
  </r>
  <r>
    <x v="1"/>
    <x v="91"/>
    <n v="0.15"/>
  </r>
  <r>
    <x v="1"/>
    <x v="51"/>
    <n v="0.5"/>
  </r>
  <r>
    <x v="1"/>
    <x v="26"/>
    <n v="0.3"/>
  </r>
  <r>
    <x v="1"/>
    <x v="71"/>
    <n v="0.2"/>
  </r>
  <r>
    <x v="1"/>
    <x v="33"/>
    <n v="0.35"/>
  </r>
  <r>
    <x v="1"/>
    <x v="32"/>
    <n v="0.25"/>
  </r>
  <r>
    <x v="1"/>
    <x v="67"/>
    <n v="0.2"/>
  </r>
  <r>
    <x v="1"/>
    <x v="91"/>
    <n v="0.2"/>
  </r>
  <r>
    <x v="1"/>
    <x v="33"/>
    <n v="0.45"/>
  </r>
  <r>
    <x v="1"/>
    <x v="32"/>
    <n v="0.3"/>
  </r>
  <r>
    <x v="1"/>
    <x v="205"/>
    <n v="0.15"/>
  </r>
  <r>
    <x v="1"/>
    <x v="26"/>
    <n v="0.1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9"/>
    <n v="0.35"/>
  </r>
  <r>
    <x v="1"/>
    <x v="88"/>
    <n v="0.3"/>
  </r>
  <r>
    <x v="1"/>
    <x v="103"/>
    <n v="0.2"/>
  </r>
  <r>
    <x v="1"/>
    <x v="91"/>
    <n v="0.15"/>
  </r>
  <r>
    <x v="1"/>
    <x v="26"/>
    <n v="0.6"/>
  </r>
  <r>
    <x v="1"/>
    <x v="71"/>
    <n v="0.2"/>
  </r>
  <r>
    <x v="1"/>
    <x v="70"/>
    <n v="0.2"/>
  </r>
  <r>
    <x v="1"/>
    <x v="33"/>
    <n v="0.45"/>
  </r>
  <r>
    <x v="1"/>
    <x v="32"/>
    <n v="0.35"/>
  </r>
  <r>
    <x v="1"/>
    <x v="205"/>
    <n v="0.2"/>
  </r>
  <r>
    <x v="1"/>
    <x v="146"/>
    <n v="0.68"/>
  </r>
  <r>
    <x v="1"/>
    <x v="145"/>
    <n v="0.12"/>
  </r>
  <r>
    <x v="1"/>
    <x v="88"/>
    <n v="0.1"/>
  </r>
  <r>
    <x v="1"/>
    <x v="96"/>
    <n v="0.1"/>
  </r>
  <r>
    <x v="1"/>
    <x v="32"/>
    <n v="0.35"/>
  </r>
  <r>
    <x v="1"/>
    <x v="91"/>
    <n v="0.35"/>
  </r>
  <r>
    <x v="1"/>
    <x v="98"/>
    <n v="0.3"/>
  </r>
  <r>
    <x v="1"/>
    <x v="88"/>
    <n v="0.4"/>
  </r>
  <r>
    <x v="1"/>
    <x v="89"/>
    <n v="0.3"/>
  </r>
  <r>
    <x v="1"/>
    <x v="90"/>
    <n v="0.2"/>
  </r>
  <r>
    <x v="1"/>
    <x v="91"/>
    <n v="0.1"/>
  </r>
  <r>
    <x v="1"/>
    <x v="131"/>
    <n v="0.35"/>
  </r>
  <r>
    <x v="1"/>
    <x v="95"/>
    <n v="0.35"/>
  </r>
  <r>
    <x v="1"/>
    <x v="146"/>
    <n v="0.3"/>
  </r>
  <r>
    <x v="1"/>
    <x v="71"/>
    <n v="0.75"/>
  </r>
  <r>
    <x v="1"/>
    <x v="70"/>
    <n v="0.2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88"/>
    <n v="0.4"/>
  </r>
  <r>
    <x v="1"/>
    <x v="90"/>
    <n v="0.3"/>
  </r>
  <r>
    <x v="1"/>
    <x v="92"/>
    <n v="0.2"/>
  </r>
  <r>
    <x v="1"/>
    <x v="93"/>
    <n v="0.1"/>
  </r>
  <r>
    <x v="1"/>
    <x v="131"/>
    <n v="0.68"/>
  </r>
  <r>
    <x v="1"/>
    <x v="95"/>
    <n v="0.18"/>
  </r>
  <r>
    <x v="1"/>
    <x v="94"/>
    <n v="0.08"/>
  </r>
  <r>
    <x v="1"/>
    <x v="97"/>
    <n v="0.06"/>
  </r>
  <r>
    <x v="1"/>
    <x v="131"/>
    <n v="0.76"/>
  </r>
  <r>
    <x v="1"/>
    <x v="95"/>
    <n v="0.16"/>
  </r>
  <r>
    <x v="1"/>
    <x v="93"/>
    <n v="0.08"/>
  </r>
  <r>
    <x v="1"/>
    <x v="88"/>
    <n v="0.35"/>
  </r>
  <r>
    <x v="1"/>
    <x v="89"/>
    <n v="0.3"/>
  </r>
  <r>
    <x v="1"/>
    <x v="90"/>
    <n v="0.2"/>
  </r>
  <r>
    <x v="1"/>
    <x v="91"/>
    <n v="0.15"/>
  </r>
  <r>
    <x v="1"/>
    <x v="98"/>
    <n v="0.35"/>
  </r>
  <r>
    <x v="1"/>
    <x v="91"/>
    <n v="0.35"/>
  </r>
  <r>
    <x v="1"/>
    <x v="32"/>
    <n v="0.3"/>
  </r>
  <r>
    <x v="1"/>
    <x v="92"/>
    <n v="0.35"/>
  </r>
  <r>
    <x v="1"/>
    <x v="90"/>
    <n v="0.3"/>
  </r>
  <r>
    <x v="1"/>
    <x v="93"/>
    <n v="0.2"/>
  </r>
  <r>
    <x v="1"/>
    <x v="88"/>
    <n v="0.15"/>
  </r>
  <r>
    <x v="1"/>
    <x v="71"/>
    <n v="0.75"/>
  </r>
  <r>
    <x v="1"/>
    <x v="70"/>
    <n v="0.25"/>
  </r>
  <r>
    <x v="1"/>
    <x v="131"/>
    <n v="0.45"/>
  </r>
  <r>
    <x v="1"/>
    <x v="95"/>
    <n v="0.25"/>
  </r>
  <r>
    <x v="1"/>
    <x v="94"/>
    <n v="0.15"/>
  </r>
  <r>
    <x v="1"/>
    <x v="97"/>
    <n v="0.15"/>
  </r>
  <r>
    <x v="1"/>
    <x v="94"/>
    <n v="0.8"/>
  </r>
  <r>
    <x v="1"/>
    <x v="97"/>
    <n v="0.1"/>
  </r>
  <r>
    <x v="1"/>
    <x v="96"/>
    <n v="0.05"/>
  </r>
  <r>
    <x v="1"/>
    <x v="95"/>
    <n v="0.05"/>
  </r>
  <r>
    <x v="1"/>
    <x v="94"/>
    <n v="0.6"/>
  </r>
  <r>
    <x v="1"/>
    <x v="131"/>
    <n v="0.25"/>
  </r>
  <r>
    <x v="1"/>
    <x v="95"/>
    <n v="0.15"/>
  </r>
  <r>
    <x v="1"/>
    <x v="32"/>
    <n v="0.35"/>
  </r>
  <r>
    <x v="1"/>
    <x v="91"/>
    <n v="0.35"/>
  </r>
  <r>
    <x v="1"/>
    <x v="98"/>
    <n v="0.3"/>
  </r>
  <r>
    <x v="1"/>
    <x v="88"/>
    <n v="0.35"/>
  </r>
  <r>
    <x v="1"/>
    <x v="89"/>
    <n v="0.3"/>
  </r>
  <r>
    <x v="1"/>
    <x v="90"/>
    <n v="0.2"/>
  </r>
  <r>
    <x v="1"/>
    <x v="91"/>
    <n v="0.15"/>
  </r>
  <r>
    <x v="1"/>
    <x v="71"/>
    <n v="0.75"/>
  </r>
  <r>
    <x v="1"/>
    <x v="70"/>
    <n v="0.2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97"/>
    <n v="0.78"/>
  </r>
  <r>
    <x v="1"/>
    <x v="94"/>
    <n v="0.1"/>
  </r>
  <r>
    <x v="1"/>
    <x v="131"/>
    <n v="7.0000000000000007E-2"/>
  </r>
  <r>
    <x v="1"/>
    <x v="95"/>
    <n v="0.05"/>
  </r>
  <r>
    <x v="1"/>
    <x v="131"/>
    <n v="0.35"/>
  </r>
  <r>
    <x v="1"/>
    <x v="95"/>
    <n v="0.35"/>
  </r>
  <r>
    <x v="1"/>
    <x v="97"/>
    <n v="0.3"/>
  </r>
  <r>
    <x v="1"/>
    <x v="32"/>
    <n v="0.35"/>
  </r>
  <r>
    <x v="1"/>
    <x v="91"/>
    <n v="0.35"/>
  </r>
  <r>
    <x v="1"/>
    <x v="98"/>
    <n v="0.3"/>
  </r>
  <r>
    <x v="1"/>
    <x v="88"/>
    <n v="0.35"/>
  </r>
  <r>
    <x v="1"/>
    <x v="89"/>
    <n v="0.3"/>
  </r>
  <r>
    <x v="1"/>
    <x v="90"/>
    <n v="0.2"/>
  </r>
  <r>
    <x v="1"/>
    <x v="91"/>
    <n v="0.15"/>
  </r>
  <r>
    <x v="1"/>
    <x v="71"/>
    <n v="0.75"/>
  </r>
  <r>
    <x v="1"/>
    <x v="70"/>
    <n v="0.2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96"/>
    <n v="0.78"/>
  </r>
  <r>
    <x v="1"/>
    <x v="94"/>
    <n v="0.1"/>
  </r>
  <r>
    <x v="1"/>
    <x v="145"/>
    <n v="7.0000000000000007E-2"/>
  </r>
  <r>
    <x v="1"/>
    <x v="97"/>
    <n v="0.05"/>
  </r>
  <r>
    <x v="1"/>
    <x v="131"/>
    <n v="0.35"/>
  </r>
  <r>
    <x v="1"/>
    <x v="95"/>
    <n v="0.35"/>
  </r>
  <r>
    <x v="1"/>
    <x v="96"/>
    <n v="0.3"/>
  </r>
  <r>
    <x v="1"/>
    <x v="32"/>
    <n v="0.35"/>
  </r>
  <r>
    <x v="1"/>
    <x v="91"/>
    <n v="0.35"/>
  </r>
  <r>
    <x v="1"/>
    <x v="98"/>
    <n v="0.3"/>
  </r>
  <r>
    <x v="1"/>
    <x v="88"/>
    <n v="0.35"/>
  </r>
  <r>
    <x v="1"/>
    <x v="89"/>
    <n v="0.3"/>
  </r>
  <r>
    <x v="1"/>
    <x v="90"/>
    <n v="0.2"/>
  </r>
  <r>
    <x v="1"/>
    <x v="91"/>
    <n v="0.15"/>
  </r>
  <r>
    <x v="1"/>
    <x v="71"/>
    <n v="0.75"/>
  </r>
  <r>
    <x v="1"/>
    <x v="70"/>
    <n v="0.25"/>
  </r>
  <r>
    <x v="1"/>
    <x v="20"/>
    <n v="0.35"/>
  </r>
  <r>
    <x v="1"/>
    <x v="19"/>
    <n v="0.25"/>
  </r>
  <r>
    <x v="1"/>
    <x v="21"/>
    <n v="0.2"/>
  </r>
  <r>
    <x v="1"/>
    <x v="57"/>
    <n v="0.2"/>
  </r>
  <r>
    <x v="1"/>
    <x v="69"/>
    <n v="0.8"/>
  </r>
  <r>
    <x v="1"/>
    <x v="36"/>
    <n v="0.1"/>
  </r>
  <r>
    <x v="1"/>
    <x v="35"/>
    <n v="0.06"/>
  </r>
  <r>
    <x v="1"/>
    <x v="118"/>
    <n v="0.04"/>
  </r>
  <r>
    <x v="1"/>
    <x v="118"/>
    <n v="0.85"/>
  </r>
  <r>
    <x v="1"/>
    <x v="69"/>
    <n v="0.15"/>
  </r>
  <r>
    <x v="1"/>
    <x v="150"/>
    <n v="0.5"/>
  </r>
  <r>
    <x v="1"/>
    <x v="55"/>
    <n v="0.3"/>
  </r>
  <r>
    <x v="1"/>
    <x v="21"/>
    <n v="0.2"/>
  </r>
  <r>
    <x v="1"/>
    <x v="17"/>
    <n v="0.3"/>
  </r>
  <r>
    <x v="1"/>
    <x v="6"/>
    <n v="0.25"/>
  </r>
  <r>
    <x v="1"/>
    <x v="7"/>
    <n v="0.2"/>
  </r>
  <r>
    <x v="1"/>
    <x v="5"/>
    <n v="0.25"/>
  </r>
  <r>
    <x v="1"/>
    <x v="55"/>
    <n v="0.3"/>
  </r>
  <r>
    <x v="1"/>
    <x v="21"/>
    <n v="0.25"/>
  </r>
  <r>
    <x v="1"/>
    <x v="56"/>
    <n v="0.25"/>
  </r>
  <r>
    <x v="1"/>
    <x v="57"/>
    <n v="0.2"/>
  </r>
  <r>
    <x v="1"/>
    <x v="56"/>
    <n v="0.86"/>
  </r>
  <r>
    <x v="1"/>
    <x v="21"/>
    <n v="0.08"/>
  </r>
  <r>
    <x v="1"/>
    <x v="55"/>
    <n v="0.06"/>
  </r>
  <r>
    <x v="1"/>
    <x v="55"/>
    <n v="0.4"/>
  </r>
  <r>
    <x v="1"/>
    <x v="21"/>
    <n v="0.3"/>
  </r>
  <r>
    <x v="1"/>
    <x v="61"/>
    <n v="0.3"/>
  </r>
  <r>
    <x v="1"/>
    <x v="58"/>
    <n v="0.45"/>
  </r>
  <r>
    <x v="1"/>
    <x v="62"/>
    <n v="0.35"/>
  </r>
  <r>
    <x v="1"/>
    <x v="63"/>
    <n v="0.2"/>
  </r>
  <r>
    <x v="1"/>
    <x v="34"/>
    <n v="0.4"/>
  </r>
  <r>
    <x v="1"/>
    <x v="35"/>
    <n v="0.3"/>
  </r>
  <r>
    <x v="1"/>
    <x v="36"/>
    <n v="0.3"/>
  </r>
  <r>
    <x v="1"/>
    <x v="56"/>
    <n v="0.55000000000000004"/>
  </r>
  <r>
    <x v="1"/>
    <x v="21"/>
    <n v="0.25"/>
  </r>
  <r>
    <x v="1"/>
    <x v="55"/>
    <n v="0.2"/>
  </r>
  <r>
    <x v="1"/>
    <x v="21"/>
    <n v="0.4"/>
  </r>
  <r>
    <x v="1"/>
    <x v="56"/>
    <n v="0.35"/>
  </r>
  <r>
    <x v="1"/>
    <x v="87"/>
    <n v="0.15"/>
  </r>
  <r>
    <x v="1"/>
    <x v="70"/>
    <n v="0.1"/>
  </r>
  <r>
    <x v="1"/>
    <x v="21"/>
    <n v="0.35"/>
  </r>
  <r>
    <x v="1"/>
    <x v="55"/>
    <n v="0.35"/>
  </r>
  <r>
    <x v="1"/>
    <x v="61"/>
    <n v="0.3"/>
  </r>
  <r>
    <x v="1"/>
    <x v="58"/>
    <n v="0.45"/>
  </r>
  <r>
    <x v="1"/>
    <x v="62"/>
    <n v="0.35"/>
  </r>
  <r>
    <x v="1"/>
    <x v="63"/>
    <n v="0.2"/>
  </r>
  <r>
    <x v="1"/>
    <x v="34"/>
    <n v="0.4"/>
  </r>
  <r>
    <x v="1"/>
    <x v="35"/>
    <n v="0.3"/>
  </r>
  <r>
    <x v="1"/>
    <x v="36"/>
    <n v="0.3"/>
  </r>
  <r>
    <x v="1"/>
    <x v="21"/>
    <n v="0.4"/>
  </r>
  <r>
    <x v="1"/>
    <x v="56"/>
    <n v="0.35"/>
  </r>
  <r>
    <x v="1"/>
    <x v="87"/>
    <n v="0.25"/>
  </r>
  <r>
    <x v="1"/>
    <x v="61"/>
    <n v="0.72"/>
  </r>
  <r>
    <x v="1"/>
    <x v="55"/>
    <n v="0.18"/>
  </r>
  <r>
    <x v="1"/>
    <x v="19"/>
    <n v="0.1"/>
  </r>
  <r>
    <x v="1"/>
    <x v="61"/>
    <n v="0.5"/>
  </r>
  <r>
    <x v="1"/>
    <x v="19"/>
    <n v="0.2"/>
  </r>
  <r>
    <x v="1"/>
    <x v="57"/>
    <n v="0.15"/>
  </r>
  <r>
    <x v="1"/>
    <x v="55"/>
    <n v="0.15"/>
  </r>
  <r>
    <x v="1"/>
    <x v="55"/>
    <n v="0.35"/>
  </r>
  <r>
    <x v="1"/>
    <x v="34"/>
    <n v="0.3"/>
  </r>
  <r>
    <x v="1"/>
    <x v="35"/>
    <n v="0.2"/>
  </r>
  <r>
    <x v="1"/>
    <x v="36"/>
    <n v="0.15"/>
  </r>
  <r>
    <x v="1"/>
    <x v="58"/>
    <n v="0.4"/>
  </r>
  <r>
    <x v="1"/>
    <x v="62"/>
    <n v="0.3"/>
  </r>
  <r>
    <x v="1"/>
    <x v="63"/>
    <n v="0.3"/>
  </r>
  <r>
    <x v="1"/>
    <x v="61"/>
    <n v="0.55000000000000004"/>
  </r>
  <r>
    <x v="1"/>
    <x v="19"/>
    <n v="0.25"/>
  </r>
  <r>
    <x v="1"/>
    <x v="57"/>
    <n v="0.2"/>
  </r>
  <r>
    <x v="1"/>
    <x v="34"/>
    <n v="0.3"/>
  </r>
  <r>
    <x v="1"/>
    <x v="21"/>
    <n v="0.3"/>
  </r>
  <r>
    <x v="1"/>
    <x v="55"/>
    <n v="0.25"/>
  </r>
  <r>
    <x v="1"/>
    <x v="35"/>
    <n v="0.15"/>
  </r>
  <r>
    <x v="1"/>
    <x v="34"/>
    <n v="0.45"/>
  </r>
  <r>
    <x v="1"/>
    <x v="35"/>
    <n v="0.3"/>
  </r>
  <r>
    <x v="1"/>
    <x v="36"/>
    <n v="0.25"/>
  </r>
  <r>
    <x v="1"/>
    <x v="21"/>
    <n v="0.4"/>
  </r>
  <r>
    <x v="1"/>
    <x v="55"/>
    <n v="0.25"/>
  </r>
  <r>
    <x v="1"/>
    <x v="56"/>
    <n v="0.2"/>
  </r>
  <r>
    <x v="1"/>
    <x v="57"/>
    <n v="0.15"/>
  </r>
  <r>
    <x v="1"/>
    <x v="150"/>
    <n v="0.4"/>
  </r>
  <r>
    <x v="1"/>
    <x v="58"/>
    <n v="0.3"/>
  </r>
  <r>
    <x v="1"/>
    <x v="62"/>
    <n v="0.3"/>
  </r>
  <r>
    <x v="1"/>
    <x v="21"/>
    <n v="0.35"/>
  </r>
  <r>
    <x v="1"/>
    <x v="34"/>
    <n v="0.35"/>
  </r>
  <r>
    <x v="1"/>
    <x v="55"/>
    <n v="0.3"/>
  </r>
  <r>
    <x v="1"/>
    <x v="21"/>
    <n v="0.5"/>
  </r>
  <r>
    <x v="1"/>
    <x v="56"/>
    <n v="0.25"/>
  </r>
  <r>
    <x v="1"/>
    <x v="55"/>
    <n v="0.15"/>
  </r>
  <r>
    <x v="1"/>
    <x v="87"/>
    <n v="0.1"/>
  </r>
  <r>
    <x v="1"/>
    <x v="21"/>
    <n v="0.35"/>
  </r>
  <r>
    <x v="1"/>
    <x v="55"/>
    <n v="0.35"/>
  </r>
  <r>
    <x v="1"/>
    <x v="61"/>
    <n v="0.3"/>
  </r>
  <r>
    <x v="1"/>
    <x v="34"/>
    <n v="0.4"/>
  </r>
  <r>
    <x v="1"/>
    <x v="35"/>
    <n v="0.3"/>
  </r>
  <r>
    <x v="1"/>
    <x v="36"/>
    <n v="0.3"/>
  </r>
  <r>
    <x v="1"/>
    <x v="58"/>
    <n v="0.45"/>
  </r>
  <r>
    <x v="1"/>
    <x v="62"/>
    <n v="0.35"/>
  </r>
  <r>
    <x v="1"/>
    <x v="63"/>
    <n v="0.2"/>
  </r>
  <r>
    <x v="1"/>
    <x v="31"/>
    <n v="0.4"/>
  </r>
  <r>
    <x v="1"/>
    <x v="56"/>
    <n v="0.25"/>
  </r>
  <r>
    <x v="1"/>
    <x v="19"/>
    <n v="0.2"/>
  </r>
  <r>
    <x v="1"/>
    <x v="57"/>
    <n v="0.15"/>
  </r>
  <r>
    <x v="1"/>
    <x v="55"/>
    <n v="0.35"/>
  </r>
  <r>
    <x v="1"/>
    <x v="61"/>
    <n v="0.35"/>
  </r>
  <r>
    <x v="1"/>
    <x v="21"/>
    <n v="0.3"/>
  </r>
  <r>
    <x v="1"/>
    <x v="58"/>
    <n v="0.45"/>
  </r>
  <r>
    <x v="1"/>
    <x v="62"/>
    <n v="0.35"/>
  </r>
  <r>
    <x v="1"/>
    <x v="63"/>
    <n v="0.2"/>
  </r>
  <r>
    <x v="1"/>
    <x v="31"/>
    <n v="0.78"/>
  </r>
  <r>
    <x v="1"/>
    <x v="57"/>
    <n v="0.1"/>
  </r>
  <r>
    <x v="1"/>
    <x v="19"/>
    <n v="7.0000000000000007E-2"/>
  </r>
  <r>
    <x v="1"/>
    <x v="56"/>
    <n v="0.05"/>
  </r>
  <r>
    <x v="1"/>
    <x v="55"/>
    <n v="0.35"/>
  </r>
  <r>
    <x v="1"/>
    <x v="61"/>
    <n v="0.35"/>
  </r>
  <r>
    <x v="1"/>
    <x v="21"/>
    <n v="0.3"/>
  </r>
  <r>
    <x v="1"/>
    <x v="58"/>
    <n v="0.45"/>
  </r>
  <r>
    <x v="1"/>
    <x v="62"/>
    <n v="0.35"/>
  </r>
  <r>
    <x v="1"/>
    <x v="63"/>
    <n v="0.2"/>
  </r>
  <r>
    <x v="1"/>
    <x v="84"/>
    <n v="0.78"/>
  </r>
  <r>
    <x v="1"/>
    <x v="19"/>
    <n v="0.12"/>
  </r>
  <r>
    <x v="1"/>
    <x v="151"/>
    <n v="0.1"/>
  </r>
  <r>
    <x v="1"/>
    <x v="61"/>
    <n v="0.35"/>
  </r>
  <r>
    <x v="1"/>
    <x v="55"/>
    <n v="0.35"/>
  </r>
  <r>
    <x v="1"/>
    <x v="20"/>
    <n v="0.3"/>
  </r>
  <r>
    <x v="1"/>
    <x v="58"/>
    <n v="0.45"/>
  </r>
  <r>
    <x v="1"/>
    <x v="62"/>
    <n v="0.35"/>
  </r>
  <r>
    <x v="1"/>
    <x v="63"/>
    <n v="0.2"/>
  </r>
  <r>
    <x v="1"/>
    <x v="84"/>
    <n v="0.55000000000000004"/>
  </r>
  <r>
    <x v="1"/>
    <x v="19"/>
    <n v="0.25"/>
  </r>
  <r>
    <x v="1"/>
    <x v="151"/>
    <n v="0.2"/>
  </r>
  <r>
    <x v="1"/>
    <x v="151"/>
    <n v="0.78"/>
  </r>
  <r>
    <x v="1"/>
    <x v="84"/>
    <n v="0.12"/>
  </r>
  <r>
    <x v="1"/>
    <x v="20"/>
    <n v="0.1"/>
  </r>
  <r>
    <x v="1"/>
    <x v="20"/>
    <n v="0.35"/>
  </r>
  <r>
    <x v="1"/>
    <x v="61"/>
    <n v="0.35"/>
  </r>
  <r>
    <x v="1"/>
    <x v="55"/>
    <n v="0.3"/>
  </r>
  <r>
    <x v="1"/>
    <x v="58"/>
    <n v="0.45"/>
  </r>
  <r>
    <x v="1"/>
    <x v="62"/>
    <n v="0.35"/>
  </r>
  <r>
    <x v="1"/>
    <x v="63"/>
    <n v="0.2"/>
  </r>
  <r>
    <x v="1"/>
    <x v="151"/>
    <n v="0.55000000000000004"/>
  </r>
  <r>
    <x v="1"/>
    <x v="84"/>
    <n v="0.25"/>
  </r>
  <r>
    <x v="1"/>
    <x v="20"/>
    <n v="0.2"/>
  </r>
  <r>
    <x v="1"/>
    <x v="63"/>
    <n v="0.82"/>
  </r>
  <r>
    <x v="1"/>
    <x v="62"/>
    <n v="0.1"/>
  </r>
  <r>
    <x v="1"/>
    <x v="58"/>
    <n v="0.04"/>
  </r>
  <r>
    <x v="1"/>
    <x v="152"/>
    <n v="0.04"/>
  </r>
  <r>
    <x v="1"/>
    <x v="58"/>
    <n v="0.4"/>
  </r>
  <r>
    <x v="1"/>
    <x v="20"/>
    <n v="0.25"/>
  </r>
  <r>
    <x v="1"/>
    <x v="19"/>
    <n v="0.2"/>
  </r>
  <r>
    <x v="1"/>
    <x v="57"/>
    <n v="0.15"/>
  </r>
  <r>
    <x v="1"/>
    <x v="144"/>
    <n v="0.35"/>
  </r>
  <r>
    <x v="1"/>
    <x v="73"/>
    <n v="0.25"/>
  </r>
  <r>
    <x v="1"/>
    <x v="143"/>
    <n v="0.2"/>
  </r>
  <r>
    <x v="1"/>
    <x v="154"/>
    <n v="0.2"/>
  </r>
  <r>
    <x v="1"/>
    <x v="155"/>
    <n v="0.4"/>
  </r>
  <r>
    <x v="1"/>
    <x v="156"/>
    <n v="0.3"/>
  </r>
  <r>
    <x v="1"/>
    <x v="101"/>
    <n v="0.3"/>
  </r>
  <r>
    <x v="1"/>
    <x v="63"/>
    <n v="0.55000000000000004"/>
  </r>
  <r>
    <x v="1"/>
    <x v="62"/>
    <n v="0.25"/>
  </r>
  <r>
    <x v="1"/>
    <x v="58"/>
    <n v="0.2"/>
  </r>
  <r>
    <x v="1"/>
    <x v="58"/>
    <n v="0.3"/>
  </r>
  <r>
    <x v="1"/>
    <x v="62"/>
    <n v="0.25"/>
  </r>
  <r>
    <x v="1"/>
    <x v="63"/>
    <n v="0.2"/>
  </r>
  <r>
    <x v="1"/>
    <x v="150"/>
    <n v="0.15"/>
  </r>
  <r>
    <x v="1"/>
    <x v="144"/>
    <n v="0.1"/>
  </r>
  <r>
    <x v="1"/>
    <x v="150"/>
    <n v="0.35"/>
  </r>
  <r>
    <x v="1"/>
    <x v="153"/>
    <n v="0.25"/>
  </r>
  <r>
    <x v="1"/>
    <x v="58"/>
    <n v="0.2"/>
  </r>
  <r>
    <x v="1"/>
    <x v="55"/>
    <n v="0.2"/>
  </r>
  <r>
    <x v="1"/>
    <x v="144"/>
    <n v="0.35"/>
  </r>
  <r>
    <x v="1"/>
    <x v="209"/>
    <n v="0.25"/>
  </r>
  <r>
    <x v="1"/>
    <x v="143"/>
    <n v="0.2"/>
  </r>
  <r>
    <x v="1"/>
    <x v="154"/>
    <n v="0.2"/>
  </r>
  <r>
    <x v="1"/>
    <x v="58"/>
    <n v="0.35"/>
  </r>
  <r>
    <x v="1"/>
    <x v="20"/>
    <n v="0.25"/>
  </r>
  <r>
    <x v="1"/>
    <x v="19"/>
    <n v="0.2"/>
  </r>
  <r>
    <x v="1"/>
    <x v="57"/>
    <n v="0.2"/>
  </r>
  <r>
    <x v="1"/>
    <x v="62"/>
    <n v="0.4"/>
  </r>
  <r>
    <x v="1"/>
    <x v="155"/>
    <n v="0.3"/>
  </r>
  <r>
    <x v="1"/>
    <x v="156"/>
    <n v="0.3"/>
  </r>
  <r>
    <x v="1"/>
    <x v="58"/>
    <n v="0.35"/>
  </r>
  <r>
    <x v="1"/>
    <x v="62"/>
    <n v="0.25"/>
  </r>
  <r>
    <x v="1"/>
    <x v="63"/>
    <n v="0.2"/>
  </r>
  <r>
    <x v="1"/>
    <x v="150"/>
    <n v="0.2"/>
  </r>
  <r>
    <x v="1"/>
    <x v="63"/>
    <n v="0.35"/>
  </r>
  <r>
    <x v="1"/>
    <x v="58"/>
    <n v="0.3"/>
  </r>
  <r>
    <x v="1"/>
    <x v="62"/>
    <n v="0.2"/>
  </r>
  <r>
    <x v="1"/>
    <x v="210"/>
    <n v="0.15"/>
  </r>
  <r>
    <x v="1"/>
    <x v="58"/>
    <n v="0.4"/>
  </r>
  <r>
    <x v="1"/>
    <x v="20"/>
    <n v="0.25"/>
  </r>
  <r>
    <x v="1"/>
    <x v="19"/>
    <n v="0.2"/>
  </r>
  <r>
    <x v="1"/>
    <x v="57"/>
    <n v="0.15"/>
  </r>
  <r>
    <x v="1"/>
    <x v="144"/>
    <n v="0.35"/>
  </r>
  <r>
    <x v="1"/>
    <x v="73"/>
    <n v="0.25"/>
  </r>
  <r>
    <x v="1"/>
    <x v="143"/>
    <n v="0.2"/>
  </r>
  <r>
    <x v="1"/>
    <x v="154"/>
    <n v="0.2"/>
  </r>
  <r>
    <x v="1"/>
    <x v="155"/>
    <n v="0.4"/>
  </r>
  <r>
    <x v="1"/>
    <x v="156"/>
    <n v="0.3"/>
  </r>
  <r>
    <x v="1"/>
    <x v="101"/>
    <n v="0.3"/>
  </r>
  <r>
    <x v="1"/>
    <x v="63"/>
    <n v="0.4"/>
  </r>
  <r>
    <x v="1"/>
    <x v="58"/>
    <n v="0.25"/>
  </r>
  <r>
    <x v="1"/>
    <x v="62"/>
    <n v="0.2"/>
  </r>
  <r>
    <x v="1"/>
    <x v="210"/>
    <n v="0.15"/>
  </r>
  <r>
    <x v="1"/>
    <x v="58"/>
    <n v="0.35"/>
  </r>
  <r>
    <x v="1"/>
    <x v="152"/>
    <n v="0.25"/>
  </r>
  <r>
    <x v="1"/>
    <x v="63"/>
    <n v="0.2"/>
  </r>
  <r>
    <x v="1"/>
    <x v="71"/>
    <n v="0.2"/>
  </r>
  <r>
    <x v="1"/>
    <x v="58"/>
    <n v="0.3"/>
  </r>
  <r>
    <x v="1"/>
    <x v="20"/>
    <n v="0.25"/>
  </r>
  <r>
    <x v="1"/>
    <x v="19"/>
    <n v="0.2"/>
  </r>
  <r>
    <x v="1"/>
    <x v="57"/>
    <n v="0.15"/>
  </r>
  <r>
    <x v="1"/>
    <x v="71"/>
    <n v="0.1"/>
  </r>
  <r>
    <x v="1"/>
    <x v="71"/>
    <n v="0.7"/>
  </r>
  <r>
    <x v="1"/>
    <x v="58"/>
    <n v="0.3"/>
  </r>
  <r>
    <x v="1"/>
    <x v="155"/>
    <n v="0.4"/>
  </r>
  <r>
    <x v="1"/>
    <x v="156"/>
    <n v="0.3"/>
  </r>
  <r>
    <x v="1"/>
    <x v="101"/>
    <n v="0.3"/>
  </r>
  <r>
    <x v="1"/>
    <x v="144"/>
    <n v="0.35"/>
  </r>
  <r>
    <x v="1"/>
    <x v="73"/>
    <n v="0.25"/>
  </r>
  <r>
    <x v="1"/>
    <x v="143"/>
    <n v="0.2"/>
  </r>
  <r>
    <x v="1"/>
    <x v="154"/>
    <n v="0.2"/>
  </r>
  <r>
    <x v="1"/>
    <x v="58"/>
    <n v="0.35"/>
  </r>
  <r>
    <x v="1"/>
    <x v="152"/>
    <n v="0.25"/>
  </r>
  <r>
    <x v="1"/>
    <x v="63"/>
    <n v="0.2"/>
  </r>
  <r>
    <x v="1"/>
    <x v="71"/>
    <n v="0.2"/>
  </r>
  <r>
    <x v="1"/>
    <x v="101"/>
    <n v="0.78"/>
  </r>
  <r>
    <x v="1"/>
    <x v="155"/>
    <n v="0.08"/>
  </r>
  <r>
    <x v="1"/>
    <x v="156"/>
    <n v="0.08"/>
  </r>
  <r>
    <x v="1"/>
    <x v="154"/>
    <n v="0.06"/>
  </r>
  <r>
    <x v="1"/>
    <x v="154"/>
    <n v="0.35"/>
  </r>
  <r>
    <x v="1"/>
    <x v="143"/>
    <n v="0.25"/>
  </r>
  <r>
    <x v="1"/>
    <x v="144"/>
    <n v="0.2"/>
  </r>
  <r>
    <x v="1"/>
    <x v="162"/>
    <n v="0.2"/>
  </r>
  <r>
    <x v="1"/>
    <x v="100"/>
    <n v="0.35"/>
  </r>
  <r>
    <x v="1"/>
    <x v="62"/>
    <n v="0.35"/>
  </r>
  <r>
    <x v="1"/>
    <x v="155"/>
    <n v="0.3"/>
  </r>
  <r>
    <x v="1"/>
    <x v="10"/>
    <n v="0.4"/>
  </r>
  <r>
    <x v="1"/>
    <x v="9"/>
    <n v="0.3"/>
  </r>
  <r>
    <x v="1"/>
    <x v="150"/>
    <n v="0.3"/>
  </r>
  <r>
    <x v="1"/>
    <x v="50"/>
    <n v="0.5"/>
  </r>
  <r>
    <x v="1"/>
    <x v="38"/>
    <n v="0.25"/>
  </r>
  <r>
    <x v="1"/>
    <x v="48"/>
    <n v="0.25"/>
  </r>
  <r>
    <x v="1"/>
    <x v="101"/>
    <n v="0.55000000000000004"/>
  </r>
  <r>
    <x v="1"/>
    <x v="155"/>
    <n v="0.25"/>
  </r>
  <r>
    <x v="1"/>
    <x v="154"/>
    <n v="0.2"/>
  </r>
  <r>
    <x v="1"/>
    <x v="87"/>
    <n v="0.72"/>
  </r>
  <r>
    <x v="1"/>
    <x v="103"/>
    <n v="0.18"/>
  </r>
  <r>
    <x v="1"/>
    <x v="70"/>
    <n v="0.1"/>
  </r>
  <r>
    <x v="1"/>
    <x v="87"/>
    <n v="0.38"/>
  </r>
  <r>
    <x v="1"/>
    <x v="21"/>
    <n v="0.22"/>
  </r>
  <r>
    <x v="1"/>
    <x v="56"/>
    <n v="0.2"/>
  </r>
  <r>
    <x v="1"/>
    <x v="55"/>
    <n v="0.1"/>
  </r>
  <r>
    <x v="1"/>
    <x v="70"/>
    <n v="0.1"/>
  </r>
  <r>
    <x v="1"/>
    <x v="34"/>
    <n v="0.4"/>
  </r>
  <r>
    <x v="1"/>
    <x v="35"/>
    <n v="0.3"/>
  </r>
  <r>
    <x v="1"/>
    <x v="36"/>
    <n v="0.3"/>
  </r>
  <r>
    <x v="1"/>
    <x v="58"/>
    <n v="0.45"/>
  </r>
  <r>
    <x v="1"/>
    <x v="62"/>
    <n v="0.35"/>
  </r>
  <r>
    <x v="1"/>
    <x v="63"/>
    <n v="0.2"/>
  </r>
  <r>
    <x v="1"/>
    <x v="87"/>
    <n v="0.55000000000000004"/>
  </r>
  <r>
    <x v="1"/>
    <x v="21"/>
    <n v="0.25"/>
  </r>
  <r>
    <x v="1"/>
    <x v="56"/>
    <n v="0.2"/>
  </r>
  <r>
    <x v="1"/>
    <x v="87"/>
    <n v="0.35"/>
  </r>
  <r>
    <x v="1"/>
    <x v="103"/>
    <n v="0.35"/>
  </r>
  <r>
    <x v="1"/>
    <x v="70"/>
    <n v="0.15"/>
  </r>
  <r>
    <x v="1"/>
    <x v="100"/>
    <n v="0.15"/>
  </r>
  <r>
    <x v="1"/>
    <x v="100"/>
    <n v="0.3"/>
  </r>
  <r>
    <x v="1"/>
    <x v="63"/>
    <n v="0.25"/>
  </r>
  <r>
    <x v="1"/>
    <x v="58"/>
    <n v="0.25"/>
  </r>
  <r>
    <x v="1"/>
    <x v="62"/>
    <n v="0.2"/>
  </r>
  <r>
    <x v="1"/>
    <x v="87"/>
    <n v="0.3"/>
  </r>
  <r>
    <x v="1"/>
    <x v="21"/>
    <n v="0.25"/>
  </r>
  <r>
    <x v="1"/>
    <x v="56"/>
    <n v="0.25"/>
  </r>
  <r>
    <x v="1"/>
    <x v="70"/>
    <n v="0.2"/>
  </r>
  <r>
    <x v="1"/>
    <x v="100"/>
    <n v="0.6"/>
  </r>
  <r>
    <x v="1"/>
    <x v="101"/>
    <n v="0.4"/>
  </r>
  <r>
    <x v="1"/>
    <x v="100"/>
    <n v="0.35"/>
  </r>
  <r>
    <x v="1"/>
    <x v="63"/>
    <n v="0.35"/>
  </r>
  <r>
    <x v="1"/>
    <x v="58"/>
    <n v="0.3"/>
  </r>
  <r>
    <x v="1"/>
    <x v="158"/>
    <n v="0.45"/>
  </r>
  <r>
    <x v="1"/>
    <x v="100"/>
    <n v="0.25"/>
  </r>
  <r>
    <x v="1"/>
    <x v="156"/>
    <n v="0.15"/>
  </r>
  <r>
    <x v="1"/>
    <x v="155"/>
    <n v="0.15"/>
  </r>
  <r>
    <x v="1"/>
    <x v="100"/>
    <n v="0.4"/>
  </r>
  <r>
    <x v="1"/>
    <x v="63"/>
    <n v="0.3"/>
  </r>
  <r>
    <x v="1"/>
    <x v="62"/>
    <n v="0.3"/>
  </r>
  <r>
    <x v="1"/>
    <x v="155"/>
    <n v="0.35"/>
  </r>
  <r>
    <x v="1"/>
    <x v="156"/>
    <n v="0.35"/>
  </r>
  <r>
    <x v="1"/>
    <x v="154"/>
    <n v="0.3"/>
  </r>
  <r>
    <x v="1"/>
    <x v="18"/>
    <n v="0.45"/>
  </r>
  <r>
    <x v="1"/>
    <x v="30"/>
    <n v="0.25"/>
  </r>
  <r>
    <x v="1"/>
    <x v="72"/>
    <n v="0.15"/>
  </r>
  <r>
    <x v="1"/>
    <x v="81"/>
    <n v="0.15"/>
  </r>
  <r>
    <x v="1"/>
    <x v="20"/>
    <n v="0.3"/>
  </r>
  <r>
    <x v="1"/>
    <x v="19"/>
    <n v="0.25"/>
  </r>
  <r>
    <x v="1"/>
    <x v="58"/>
    <n v="0.25"/>
  </r>
  <r>
    <x v="1"/>
    <x v="57"/>
    <n v="0.2"/>
  </r>
  <r>
    <x v="1"/>
    <x v="158"/>
    <n v="0.45"/>
  </r>
  <r>
    <x v="1"/>
    <x v="100"/>
    <n v="0.2"/>
  </r>
  <r>
    <x v="1"/>
    <x v="156"/>
    <n v="0.2"/>
  </r>
  <r>
    <x v="1"/>
    <x v="155"/>
    <n v="0.15"/>
  </r>
  <r>
    <x v="1"/>
    <x v="158"/>
    <n v="0.5"/>
  </r>
  <r>
    <x v="1"/>
    <x v="156"/>
    <n v="0.25"/>
  </r>
  <r>
    <x v="1"/>
    <x v="155"/>
    <n v="0.15"/>
  </r>
  <r>
    <x v="1"/>
    <x v="211"/>
    <n v="0.1"/>
  </r>
  <r>
    <x v="1"/>
    <x v="155"/>
    <n v="0.35"/>
  </r>
  <r>
    <x v="1"/>
    <x v="156"/>
    <n v="0.35"/>
  </r>
  <r>
    <x v="1"/>
    <x v="154"/>
    <n v="0.3"/>
  </r>
  <r>
    <x v="1"/>
    <x v="100"/>
    <n v="0.4"/>
  </r>
  <r>
    <x v="1"/>
    <x v="62"/>
    <n v="0.3"/>
  </r>
  <r>
    <x v="1"/>
    <x v="63"/>
    <n v="0.3"/>
  </r>
  <r>
    <x v="1"/>
    <x v="158"/>
    <n v="0.55000000000000004"/>
  </r>
  <r>
    <x v="1"/>
    <x v="156"/>
    <n v="0.25"/>
  </r>
  <r>
    <x v="1"/>
    <x v="155"/>
    <n v="0.2"/>
  </r>
  <r>
    <x v="1"/>
    <x v="156"/>
    <n v="0.72"/>
  </r>
  <r>
    <x v="1"/>
    <x v="155"/>
    <n v="0.12"/>
  </r>
  <r>
    <x v="1"/>
    <x v="158"/>
    <n v="0.08"/>
  </r>
  <r>
    <x v="1"/>
    <x v="101"/>
    <n v="0.08"/>
  </r>
  <r>
    <x v="1"/>
    <x v="155"/>
    <n v="0.3"/>
  </r>
  <r>
    <x v="1"/>
    <x v="154"/>
    <n v="0.3"/>
  </r>
  <r>
    <x v="1"/>
    <x v="143"/>
    <n v="0.2"/>
  </r>
  <r>
    <x v="1"/>
    <x v="144"/>
    <n v="0.2"/>
  </r>
  <r>
    <x v="1"/>
    <x v="100"/>
    <n v="0.4"/>
  </r>
  <r>
    <x v="1"/>
    <x v="62"/>
    <n v="0.3"/>
  </r>
  <r>
    <x v="1"/>
    <x v="63"/>
    <n v="0.3"/>
  </r>
  <r>
    <x v="1"/>
    <x v="20"/>
    <n v="0.3"/>
  </r>
  <r>
    <x v="1"/>
    <x v="19"/>
    <n v="0.25"/>
  </r>
  <r>
    <x v="1"/>
    <x v="58"/>
    <n v="0.25"/>
  </r>
  <r>
    <x v="1"/>
    <x v="57"/>
    <n v="0.2"/>
  </r>
  <r>
    <x v="1"/>
    <x v="155"/>
    <n v="0.62"/>
  </r>
  <r>
    <x v="1"/>
    <x v="156"/>
    <n v="0.16"/>
  </r>
  <r>
    <x v="1"/>
    <x v="154"/>
    <n v="0.12"/>
  </r>
  <r>
    <x v="1"/>
    <x v="158"/>
    <n v="0.1"/>
  </r>
  <r>
    <x v="1"/>
    <x v="154"/>
    <n v="0.35"/>
  </r>
  <r>
    <x v="1"/>
    <x v="143"/>
    <n v="0.25"/>
  </r>
  <r>
    <x v="1"/>
    <x v="144"/>
    <n v="0.2"/>
  </r>
  <r>
    <x v="1"/>
    <x v="162"/>
    <n v="0.2"/>
  </r>
  <r>
    <x v="1"/>
    <x v="62"/>
    <n v="0.4"/>
  </r>
  <r>
    <x v="1"/>
    <x v="100"/>
    <n v="0.3"/>
  </r>
  <r>
    <x v="1"/>
    <x v="63"/>
    <n v="0.3"/>
  </r>
  <r>
    <x v="1"/>
    <x v="20"/>
    <n v="0.3"/>
  </r>
  <r>
    <x v="1"/>
    <x v="19"/>
    <n v="0.25"/>
  </r>
  <r>
    <x v="1"/>
    <x v="58"/>
    <n v="0.25"/>
  </r>
  <r>
    <x v="1"/>
    <x v="57"/>
    <n v="0.2"/>
  </r>
  <r>
    <x v="1"/>
    <x v="155"/>
    <n v="0.42"/>
  </r>
  <r>
    <x v="1"/>
    <x v="156"/>
    <n v="0.2"/>
  </r>
  <r>
    <x v="1"/>
    <x v="154"/>
    <n v="0.15"/>
  </r>
  <r>
    <x v="1"/>
    <x v="158"/>
    <n v="0.13"/>
  </r>
  <r>
    <x v="1"/>
    <x v="100"/>
    <n v="0.1"/>
  </r>
  <r>
    <x v="1"/>
    <x v="154"/>
    <n v="0.35"/>
  </r>
  <r>
    <x v="1"/>
    <x v="155"/>
    <n v="0.3"/>
  </r>
  <r>
    <x v="1"/>
    <x v="143"/>
    <n v="0.2"/>
  </r>
  <r>
    <x v="1"/>
    <x v="144"/>
    <n v="0.15"/>
  </r>
  <r>
    <x v="1"/>
    <x v="155"/>
    <n v="0.3"/>
  </r>
  <r>
    <x v="1"/>
    <x v="156"/>
    <n v="0.25"/>
  </r>
  <r>
    <x v="1"/>
    <x v="158"/>
    <n v="0.25"/>
  </r>
  <r>
    <x v="1"/>
    <x v="154"/>
    <n v="0.2"/>
  </r>
  <r>
    <x v="1"/>
    <x v="155"/>
    <n v="0.35"/>
  </r>
  <r>
    <x v="1"/>
    <x v="62"/>
    <n v="0.35"/>
  </r>
  <r>
    <x v="1"/>
    <x v="100"/>
    <n v="0.3"/>
  </r>
  <r>
    <x v="1"/>
    <x v="154"/>
    <n v="0.45"/>
  </r>
  <r>
    <x v="1"/>
    <x v="155"/>
    <n v="0.3"/>
  </r>
  <r>
    <x v="1"/>
    <x v="143"/>
    <n v="0.25"/>
  </r>
  <r>
    <x v="1"/>
    <x v="73"/>
    <n v="0.52"/>
  </r>
  <r>
    <x v="1"/>
    <x v="144"/>
    <n v="0.2"/>
  </r>
  <r>
    <x v="1"/>
    <x v="62"/>
    <n v="0.14000000000000001"/>
  </r>
  <r>
    <x v="1"/>
    <x v="154"/>
    <n v="0.14000000000000001"/>
  </r>
  <r>
    <x v="1"/>
    <x v="144"/>
    <n v="0.3"/>
  </r>
  <r>
    <x v="1"/>
    <x v="143"/>
    <n v="0.25"/>
  </r>
  <r>
    <x v="1"/>
    <x v="154"/>
    <n v="0.25"/>
  </r>
  <r>
    <x v="1"/>
    <x v="157"/>
    <n v="0.2"/>
  </r>
  <r>
    <x v="1"/>
    <x v="10"/>
    <n v="0.4"/>
  </r>
  <r>
    <x v="1"/>
    <x v="9"/>
    <n v="0.35"/>
  </r>
  <r>
    <x v="1"/>
    <x v="150"/>
    <n v="0.25"/>
  </r>
  <r>
    <x v="1"/>
    <x v="154"/>
    <n v="0.3"/>
  </r>
  <r>
    <x v="1"/>
    <x v="155"/>
    <n v="0.25"/>
  </r>
  <r>
    <x v="1"/>
    <x v="156"/>
    <n v="0.25"/>
  </r>
  <r>
    <x v="1"/>
    <x v="158"/>
    <n v="0.2"/>
  </r>
  <r>
    <x v="1"/>
    <x v="58"/>
    <n v="0.35"/>
  </r>
  <r>
    <x v="1"/>
    <x v="20"/>
    <n v="0.25"/>
  </r>
  <r>
    <x v="1"/>
    <x v="19"/>
    <n v="0.2"/>
  </r>
  <r>
    <x v="1"/>
    <x v="57"/>
    <n v="0.2"/>
  </r>
  <r>
    <x v="1"/>
    <x v="73"/>
    <n v="0.45"/>
  </r>
  <r>
    <x v="1"/>
    <x v="144"/>
    <n v="0.25"/>
  </r>
  <r>
    <x v="1"/>
    <x v="62"/>
    <n v="0.15"/>
  </r>
  <r>
    <x v="1"/>
    <x v="154"/>
    <n v="0.15"/>
  </r>
  <r>
    <x v="1"/>
    <x v="73"/>
    <n v="0.35"/>
  </r>
  <r>
    <x v="1"/>
    <x v="154"/>
    <n v="0.25"/>
  </r>
  <r>
    <x v="1"/>
    <x v="144"/>
    <n v="0.2"/>
  </r>
  <r>
    <x v="1"/>
    <x v="62"/>
    <n v="0.2"/>
  </r>
  <r>
    <x v="1"/>
    <x v="154"/>
    <n v="0.3"/>
  </r>
  <r>
    <x v="1"/>
    <x v="144"/>
    <n v="0.25"/>
  </r>
  <r>
    <x v="1"/>
    <x v="143"/>
    <n v="0.25"/>
  </r>
  <r>
    <x v="1"/>
    <x v="73"/>
    <n v="0.2"/>
  </r>
  <r>
    <x v="1"/>
    <x v="10"/>
    <n v="0.4"/>
  </r>
  <r>
    <x v="1"/>
    <x v="9"/>
    <n v="0.35"/>
  </r>
  <r>
    <x v="1"/>
    <x v="150"/>
    <n v="0.25"/>
  </r>
  <r>
    <x v="1"/>
    <x v="154"/>
    <n v="0.3"/>
  </r>
  <r>
    <x v="1"/>
    <x v="155"/>
    <n v="0.25"/>
  </r>
  <r>
    <x v="1"/>
    <x v="156"/>
    <n v="0.25"/>
  </r>
  <r>
    <x v="1"/>
    <x v="158"/>
    <n v="0.2"/>
  </r>
  <r>
    <x v="1"/>
    <x v="58"/>
    <n v="0.35"/>
  </r>
  <r>
    <x v="1"/>
    <x v="20"/>
    <n v="0.25"/>
  </r>
  <r>
    <x v="1"/>
    <x v="19"/>
    <n v="0.2"/>
  </r>
  <r>
    <x v="1"/>
    <x v="57"/>
    <n v="0.2"/>
  </r>
  <r>
    <x v="1"/>
    <x v="73"/>
    <n v="0.35"/>
  </r>
  <r>
    <x v="1"/>
    <x v="154"/>
    <n v="0.25"/>
  </r>
  <r>
    <x v="1"/>
    <x v="144"/>
    <n v="0.2"/>
  </r>
  <r>
    <x v="1"/>
    <x v="62"/>
    <n v="0.2"/>
  </r>
  <r>
    <x v="1"/>
    <x v="10"/>
    <n v="0.82"/>
  </r>
  <r>
    <x v="1"/>
    <x v="212"/>
    <n v="0.1"/>
  </r>
  <r>
    <x v="1"/>
    <x v="9"/>
    <n v="0.08"/>
  </r>
  <r>
    <x v="1"/>
    <x v="143"/>
    <n v="0.35"/>
  </r>
  <r>
    <x v="1"/>
    <x v="144"/>
    <n v="0.3"/>
  </r>
  <r>
    <x v="1"/>
    <x v="154"/>
    <n v="0.35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150"/>
    <n v="0.4"/>
  </r>
  <r>
    <x v="1"/>
    <x v="55"/>
    <n v="0.3"/>
  </r>
  <r>
    <x v="1"/>
    <x v="21"/>
    <n v="0.3"/>
  </r>
  <r>
    <x v="1"/>
    <x v="144"/>
    <n v="0.35"/>
  </r>
  <r>
    <x v="1"/>
    <x v="209"/>
    <n v="0.35"/>
  </r>
  <r>
    <x v="1"/>
    <x v="62"/>
    <n v="0.3"/>
  </r>
  <r>
    <x v="1"/>
    <x v="10"/>
    <n v="0.6"/>
  </r>
  <r>
    <x v="1"/>
    <x v="9"/>
    <n v="0.2"/>
  </r>
  <r>
    <x v="1"/>
    <x v="212"/>
    <n v="0.2"/>
  </r>
  <r>
    <x v="1"/>
    <x v="10"/>
    <n v="0.45"/>
  </r>
  <r>
    <x v="1"/>
    <x v="150"/>
    <n v="0.2"/>
  </r>
  <r>
    <x v="1"/>
    <x v="9"/>
    <n v="0.2"/>
  </r>
  <r>
    <x v="1"/>
    <x v="213"/>
    <n v="0.15"/>
  </r>
  <r>
    <x v="1"/>
    <x v="10"/>
    <n v="0.35"/>
  </r>
  <r>
    <x v="1"/>
    <x v="143"/>
    <n v="0.35"/>
  </r>
  <r>
    <x v="1"/>
    <x v="154"/>
    <n v="0.3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150"/>
    <n v="0.4"/>
  </r>
  <r>
    <x v="1"/>
    <x v="55"/>
    <n v="0.3"/>
  </r>
  <r>
    <x v="1"/>
    <x v="21"/>
    <n v="0.3"/>
  </r>
  <r>
    <x v="1"/>
    <x v="10"/>
    <n v="0.45"/>
  </r>
  <r>
    <x v="1"/>
    <x v="9"/>
    <n v="0.3"/>
  </r>
  <r>
    <x v="1"/>
    <x v="150"/>
    <n v="0.25"/>
  </r>
  <r>
    <x v="1"/>
    <x v="9"/>
    <n v="0.88"/>
  </r>
  <r>
    <x v="1"/>
    <x v="10"/>
    <n v="0.08"/>
  </r>
  <r>
    <x v="1"/>
    <x v="150"/>
    <n v="0.04"/>
  </r>
  <r>
    <x v="1"/>
    <x v="143"/>
    <n v="0.4"/>
  </r>
  <r>
    <x v="1"/>
    <x v="10"/>
    <n v="0.35"/>
  </r>
  <r>
    <x v="1"/>
    <x v="154"/>
    <n v="0.25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150"/>
    <n v="0.45"/>
  </r>
  <r>
    <x v="1"/>
    <x v="55"/>
    <n v="0.3"/>
  </r>
  <r>
    <x v="1"/>
    <x v="21"/>
    <n v="0.25"/>
  </r>
  <r>
    <x v="1"/>
    <x v="9"/>
    <n v="0.4"/>
  </r>
  <r>
    <x v="1"/>
    <x v="10"/>
    <n v="0.3"/>
  </r>
  <r>
    <x v="1"/>
    <x v="150"/>
    <n v="0.15"/>
  </r>
  <r>
    <x v="1"/>
    <x v="213"/>
    <n v="0.15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143"/>
    <n v="0.4"/>
  </r>
  <r>
    <x v="1"/>
    <x v="10"/>
    <n v="0.35"/>
  </r>
  <r>
    <x v="1"/>
    <x v="154"/>
    <n v="0.25"/>
  </r>
  <r>
    <x v="1"/>
    <x v="118"/>
    <n v="1"/>
  </r>
  <r>
    <x v="1"/>
    <x v="50"/>
    <n v="0.45"/>
  </r>
  <r>
    <x v="1"/>
    <x v="49"/>
    <n v="0.2"/>
  </r>
  <r>
    <x v="1"/>
    <x v="38"/>
    <n v="0.2"/>
  </r>
  <r>
    <x v="1"/>
    <x v="48"/>
    <n v="0.15"/>
  </r>
  <r>
    <x v="1"/>
    <x v="150"/>
    <n v="0.4"/>
  </r>
  <r>
    <x v="1"/>
    <x v="55"/>
    <n v="0.3"/>
  </r>
  <r>
    <x v="1"/>
    <x v="21"/>
    <n v="0.3"/>
  </r>
  <r>
    <x v="1"/>
    <x v="150"/>
    <n v="0.72"/>
  </r>
  <r>
    <x v="1"/>
    <x v="118"/>
    <n v="0.14000000000000001"/>
  </r>
  <r>
    <x v="1"/>
    <x v="10"/>
    <n v="0.08"/>
  </r>
  <r>
    <x v="1"/>
    <x v="9"/>
    <n v="0.06"/>
  </r>
  <r>
    <x v="1"/>
    <x v="10"/>
    <n v="0.35"/>
  </r>
  <r>
    <x v="1"/>
    <x v="9"/>
    <n v="0.2"/>
  </r>
  <r>
    <x v="1"/>
    <x v="143"/>
    <n v="0.15"/>
  </r>
  <r>
    <x v="1"/>
    <x v="212"/>
    <n v="0.15"/>
  </r>
  <r>
    <x v="1"/>
    <x v="150"/>
    <n v="0.15"/>
  </r>
  <r>
    <x v="1"/>
    <x v="118"/>
    <n v="1"/>
  </r>
  <r>
    <x v="1"/>
    <x v="143"/>
    <n v="0.35"/>
  </r>
  <r>
    <x v="1"/>
    <x v="144"/>
    <n v="0.3"/>
  </r>
  <r>
    <x v="1"/>
    <x v="154"/>
    <n v="0.35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209"/>
    <n v="0.35"/>
  </r>
  <r>
    <x v="1"/>
    <x v="144"/>
    <n v="0.35"/>
  </r>
  <r>
    <x v="1"/>
    <x v="62"/>
    <n v="0.3"/>
  </r>
  <r>
    <x v="1"/>
    <x v="150"/>
    <n v="0.55000000000000004"/>
  </r>
  <r>
    <x v="1"/>
    <x v="118"/>
    <n v="0.25"/>
  </r>
  <r>
    <x v="1"/>
    <x v="10"/>
    <n v="0.2"/>
  </r>
  <r>
    <x v="1"/>
    <x v="144"/>
    <n v="0.3"/>
  </r>
  <r>
    <x v="1"/>
    <x v="143"/>
    <n v="0.25"/>
  </r>
  <r>
    <x v="1"/>
    <x v="154"/>
    <n v="0.2"/>
  </r>
  <r>
    <x v="1"/>
    <x v="150"/>
    <n v="0.25"/>
  </r>
  <r>
    <x v="1"/>
    <x v="150"/>
    <n v="0.45"/>
  </r>
  <r>
    <x v="1"/>
    <x v="153"/>
    <n v="0.25"/>
  </r>
  <r>
    <x v="1"/>
    <x v="55"/>
    <n v="0.15"/>
  </r>
  <r>
    <x v="1"/>
    <x v="209"/>
    <n v="0.15"/>
  </r>
  <r>
    <x v="1"/>
    <x v="10"/>
    <n v="0.3"/>
  </r>
  <r>
    <x v="1"/>
    <x v="143"/>
    <n v="0.25"/>
  </r>
  <r>
    <x v="1"/>
    <x v="9"/>
    <n v="0.2"/>
  </r>
  <r>
    <x v="1"/>
    <x v="150"/>
    <n v="0.25"/>
  </r>
  <r>
    <x v="1"/>
    <x v="144"/>
    <n v="0.35"/>
  </r>
  <r>
    <x v="1"/>
    <x v="62"/>
    <n v="0.35"/>
  </r>
  <r>
    <x v="1"/>
    <x v="63"/>
    <n v="0.3"/>
  </r>
  <r>
    <x v="1"/>
    <x v="155"/>
    <n v="0.35"/>
  </r>
  <r>
    <x v="1"/>
    <x v="156"/>
    <n v="0.35"/>
  </r>
  <r>
    <x v="1"/>
    <x v="154"/>
    <n v="0.3"/>
  </r>
  <r>
    <x v="1"/>
    <x v="127"/>
    <n v="0.35"/>
  </r>
  <r>
    <x v="1"/>
    <x v="160"/>
    <n v="0.25"/>
  </r>
  <r>
    <x v="1"/>
    <x v="159"/>
    <n v="0.2"/>
  </r>
  <r>
    <x v="1"/>
    <x v="213"/>
    <n v="0.2"/>
  </r>
  <r>
    <x v="1"/>
    <x v="144"/>
    <n v="0.4"/>
  </r>
  <r>
    <x v="1"/>
    <x v="143"/>
    <n v="0.3"/>
  </r>
  <r>
    <x v="1"/>
    <x v="154"/>
    <n v="0.3"/>
  </r>
  <r>
    <x v="1"/>
    <x v="20"/>
    <n v="0.35"/>
  </r>
  <r>
    <x v="1"/>
    <x v="55"/>
    <n v="0.25"/>
  </r>
  <r>
    <x v="1"/>
    <x v="150"/>
    <n v="0.2"/>
  </r>
  <r>
    <x v="1"/>
    <x v="35"/>
    <n v="0.2"/>
  </r>
  <r>
    <x v="1"/>
    <x v="20"/>
    <n v="0.35"/>
  </r>
  <r>
    <x v="1"/>
    <x v="55"/>
    <n v="0.25"/>
  </r>
  <r>
    <x v="1"/>
    <x v="61"/>
    <n v="0.2"/>
  </r>
  <r>
    <x v="1"/>
    <x v="19"/>
    <n v="0.2"/>
  </r>
  <r>
    <x v="1"/>
    <x v="35"/>
    <n v="0.35"/>
  </r>
  <r>
    <x v="1"/>
    <x v="69"/>
    <n v="0.25"/>
  </r>
  <r>
    <x v="1"/>
    <x v="34"/>
    <n v="0.2"/>
  </r>
  <r>
    <x v="1"/>
    <x v="36"/>
    <n v="0.2"/>
  </r>
  <r>
    <x v="1"/>
    <x v="150"/>
    <n v="0.35"/>
  </r>
  <r>
    <x v="1"/>
    <x v="58"/>
    <n v="0.35"/>
  </r>
  <r>
    <x v="1"/>
    <x v="153"/>
    <n v="0.3"/>
  </r>
  <r>
    <x v="1"/>
    <x v="150"/>
    <n v="0.45"/>
  </r>
  <r>
    <x v="1"/>
    <x v="10"/>
    <n v="0.3"/>
  </r>
  <r>
    <x v="1"/>
    <x v="9"/>
    <n v="0.25"/>
  </r>
  <r>
    <x v="1"/>
    <x v="20"/>
    <n v="0.35"/>
  </r>
  <r>
    <x v="1"/>
    <x v="55"/>
    <n v="0.25"/>
  </r>
  <r>
    <x v="1"/>
    <x v="150"/>
    <n v="0.2"/>
  </r>
  <r>
    <x v="1"/>
    <x v="35"/>
    <n v="0.2"/>
  </r>
  <r>
    <x v="1"/>
    <x v="150"/>
    <n v="0.3"/>
  </r>
  <r>
    <x v="1"/>
    <x v="58"/>
    <n v="0.25"/>
  </r>
  <r>
    <x v="1"/>
    <x v="20"/>
    <n v="0.2"/>
  </r>
  <r>
    <x v="1"/>
    <x v="55"/>
    <n v="0.15"/>
  </r>
  <r>
    <x v="1"/>
    <x v="35"/>
    <n v="0.1"/>
  </r>
  <r>
    <x v="1"/>
    <x v="58"/>
    <n v="0.3"/>
  </r>
  <r>
    <x v="1"/>
    <x v="150"/>
    <n v="0.2"/>
  </r>
  <r>
    <x v="1"/>
    <x v="214"/>
    <n v="0.2"/>
  </r>
  <r>
    <x v="1"/>
    <x v="62"/>
    <n v="0.15"/>
  </r>
  <r>
    <x v="1"/>
    <x v="63"/>
    <n v="0.15"/>
  </r>
  <r>
    <x v="1"/>
    <x v="69"/>
    <n v="0.35"/>
  </r>
  <r>
    <x v="1"/>
    <x v="35"/>
    <n v="0.25"/>
  </r>
  <r>
    <x v="1"/>
    <x v="34"/>
    <n v="0.2"/>
  </r>
  <r>
    <x v="1"/>
    <x v="36"/>
    <n v="0.2"/>
  </r>
  <r>
    <x v="1"/>
    <x v="150"/>
    <n v="0.35"/>
  </r>
  <r>
    <x v="1"/>
    <x v="10"/>
    <n v="0.25"/>
  </r>
  <r>
    <x v="1"/>
    <x v="9"/>
    <n v="0.2"/>
  </r>
  <r>
    <x v="1"/>
    <x v="212"/>
    <n v="0.2"/>
  </r>
  <r>
    <x v="1"/>
    <x v="20"/>
    <n v="0.35"/>
  </r>
  <r>
    <x v="1"/>
    <x v="55"/>
    <n v="0.25"/>
  </r>
  <r>
    <x v="1"/>
    <x v="61"/>
    <n v="0.2"/>
  </r>
  <r>
    <x v="1"/>
    <x v="19"/>
    <n v="0.2"/>
  </r>
  <r>
    <x v="1"/>
    <x v="150"/>
    <n v="0.35"/>
  </r>
  <r>
    <x v="1"/>
    <x v="144"/>
    <n v="0.25"/>
  </r>
  <r>
    <x v="1"/>
    <x v="143"/>
    <n v="0.2"/>
  </r>
  <r>
    <x v="1"/>
    <x v="154"/>
    <n v="0.2"/>
  </r>
  <r>
    <x v="1"/>
    <x v="150"/>
    <n v="0.35"/>
  </r>
  <r>
    <x v="1"/>
    <x v="58"/>
    <n v="0.25"/>
  </r>
  <r>
    <x v="1"/>
    <x v="20"/>
    <n v="0.2"/>
  </r>
  <r>
    <x v="1"/>
    <x v="55"/>
    <n v="0.2"/>
  </r>
  <r>
    <x v="1"/>
    <x v="6"/>
    <n v="0.82"/>
  </r>
  <r>
    <x v="1"/>
    <x v="7"/>
    <n v="0.08"/>
  </r>
  <r>
    <x v="1"/>
    <x v="17"/>
    <n v="0.06"/>
  </r>
  <r>
    <x v="1"/>
    <x v="5"/>
    <n v="0.04"/>
  </r>
  <r>
    <x v="1"/>
    <x v="4"/>
    <n v="0.75"/>
  </r>
  <r>
    <x v="1"/>
    <x v="6"/>
    <n v="0.25"/>
  </r>
  <r>
    <x v="1"/>
    <x v="8"/>
    <n v="0.8"/>
  </r>
  <r>
    <x v="1"/>
    <x v="6"/>
    <n v="0.2"/>
  </r>
  <r>
    <x v="1"/>
    <x v="127"/>
    <n v="0.45"/>
  </r>
  <r>
    <x v="1"/>
    <x v="125"/>
    <n v="0.25"/>
  </r>
  <r>
    <x v="1"/>
    <x v="5"/>
    <n v="0.15"/>
  </r>
  <r>
    <x v="1"/>
    <x v="159"/>
    <n v="0.15"/>
  </r>
  <r>
    <x v="1"/>
    <x v="118"/>
    <n v="1"/>
  </r>
  <r>
    <x v="1"/>
    <x v="7"/>
    <n v="0.84"/>
  </r>
  <r>
    <x v="1"/>
    <x v="6"/>
    <n v="0.08"/>
  </r>
  <r>
    <x v="1"/>
    <x v="17"/>
    <n v="0.05"/>
  </r>
  <r>
    <x v="1"/>
    <x v="5"/>
    <n v="0.03"/>
  </r>
  <r>
    <x v="1"/>
    <x v="4"/>
    <n v="0.75"/>
  </r>
  <r>
    <x v="1"/>
    <x v="7"/>
    <n v="0.25"/>
  </r>
  <r>
    <x v="1"/>
    <x v="8"/>
    <n v="0.8"/>
  </r>
  <r>
    <x v="1"/>
    <x v="7"/>
    <n v="0.2"/>
  </r>
  <r>
    <x v="1"/>
    <x v="118"/>
    <n v="1"/>
  </r>
  <r>
    <x v="1"/>
    <x v="127"/>
    <n v="0.4"/>
  </r>
  <r>
    <x v="1"/>
    <x v="159"/>
    <n v="0.25"/>
  </r>
  <r>
    <x v="1"/>
    <x v="125"/>
    <n v="0.2"/>
  </r>
  <r>
    <x v="1"/>
    <x v="161"/>
    <n v="0.15"/>
  </r>
  <r>
    <x v="1"/>
    <x v="17"/>
    <n v="0.84"/>
  </r>
  <r>
    <x v="1"/>
    <x v="125"/>
    <n v="0.06"/>
  </r>
  <r>
    <x v="1"/>
    <x v="6"/>
    <n v="0.05"/>
  </r>
  <r>
    <x v="1"/>
    <x v="7"/>
    <n v="0.05"/>
  </r>
  <r>
    <x v="1"/>
    <x v="118"/>
    <n v="1"/>
  </r>
  <r>
    <x v="1"/>
    <x v="125"/>
    <n v="0.35"/>
  </r>
  <r>
    <x v="1"/>
    <x v="127"/>
    <n v="0.3"/>
  </r>
  <r>
    <x v="1"/>
    <x v="159"/>
    <n v="0.2"/>
  </r>
  <r>
    <x v="1"/>
    <x v="161"/>
    <n v="0.15"/>
  </r>
  <r>
    <x v="1"/>
    <x v="4"/>
    <n v="0.75"/>
  </r>
  <r>
    <x v="1"/>
    <x v="17"/>
    <n v="0.25"/>
  </r>
  <r>
    <x v="1"/>
    <x v="8"/>
    <n v="0.8"/>
  </r>
  <r>
    <x v="1"/>
    <x v="17"/>
    <n v="0.2"/>
  </r>
  <r>
    <x v="1"/>
    <x v="127"/>
    <n v="0.7"/>
  </r>
  <r>
    <x v="1"/>
    <x v="125"/>
    <n v="0.2"/>
  </r>
  <r>
    <x v="1"/>
    <x v="160"/>
    <n v="0.1"/>
  </r>
  <r>
    <x v="1"/>
    <x v="9"/>
    <n v="0.45"/>
  </r>
  <r>
    <x v="1"/>
    <x v="10"/>
    <n v="0.3"/>
  </r>
  <r>
    <x v="1"/>
    <x v="150"/>
    <n v="0.25"/>
  </r>
  <r>
    <x v="1"/>
    <x v="118"/>
    <n v="1"/>
  </r>
  <r>
    <x v="1"/>
    <x v="125"/>
    <n v="0.35"/>
  </r>
  <r>
    <x v="1"/>
    <x v="17"/>
    <n v="0.25"/>
  </r>
  <r>
    <x v="1"/>
    <x v="6"/>
    <n v="0.2"/>
  </r>
  <r>
    <x v="1"/>
    <x v="7"/>
    <n v="0.2"/>
  </r>
  <r>
    <x v="1"/>
    <x v="8"/>
    <n v="1"/>
  </r>
  <r>
    <x v="1"/>
    <x v="150"/>
    <n v="0.4"/>
  </r>
  <r>
    <x v="1"/>
    <x v="143"/>
    <n v="0.3"/>
  </r>
  <r>
    <x v="1"/>
    <x v="154"/>
    <n v="0.3"/>
  </r>
  <r>
    <x v="1"/>
    <x v="38"/>
    <n v="0.82"/>
  </r>
  <r>
    <x v="1"/>
    <x v="39"/>
    <n v="0.1"/>
  </r>
  <r>
    <x v="1"/>
    <x v="215"/>
    <n v="0.08"/>
  </r>
  <r>
    <x v="1"/>
    <x v="128"/>
    <n v="0.5"/>
  </r>
  <r>
    <x v="1"/>
    <x v="8"/>
    <n v="0.35"/>
  </r>
  <r>
    <x v="1"/>
    <x v="216"/>
    <n v="0.15"/>
  </r>
  <r>
    <x v="1"/>
    <x v="38"/>
    <n v="0.45"/>
  </r>
  <r>
    <x v="1"/>
    <x v="49"/>
    <n v="0.35"/>
  </r>
  <r>
    <x v="1"/>
    <x v="215"/>
    <n v="0.2"/>
  </r>
  <r>
    <x v="1"/>
    <x v="215"/>
    <n v="0.5"/>
  </r>
  <r>
    <x v="1"/>
    <x v="50"/>
    <n v="0.3"/>
  </r>
  <r>
    <x v="1"/>
    <x v="38"/>
    <n v="0.2"/>
  </r>
  <r>
    <x v="1"/>
    <x v="127"/>
    <n v="0.35"/>
  </r>
  <r>
    <x v="1"/>
    <x v="159"/>
    <n v="0.25"/>
  </r>
  <r>
    <x v="1"/>
    <x v="160"/>
    <n v="0.2"/>
  </r>
  <r>
    <x v="1"/>
    <x v="161"/>
    <n v="0.2"/>
  </r>
  <r>
    <x v="1"/>
    <x v="128"/>
    <n v="0.45"/>
  </r>
  <r>
    <x v="1"/>
    <x v="129"/>
    <n v="0.3"/>
  </r>
  <r>
    <x v="1"/>
    <x v="216"/>
    <n v="0.25"/>
  </r>
  <r>
    <x v="1"/>
    <x v="168"/>
    <n v="0.45"/>
  </r>
  <r>
    <x v="1"/>
    <x v="216"/>
    <n v="0.35"/>
  </r>
  <r>
    <x v="1"/>
    <x v="129"/>
    <n v="0.2"/>
  </r>
  <r>
    <x v="1"/>
    <x v="143"/>
    <n v="0.4"/>
  </r>
  <r>
    <x v="1"/>
    <x v="154"/>
    <n v="0.35"/>
  </r>
  <r>
    <x v="1"/>
    <x v="144"/>
    <n v="0.25"/>
  </r>
  <r>
    <x v="1"/>
    <x v="38"/>
    <n v="0.55000000000000004"/>
  </r>
  <r>
    <x v="1"/>
    <x v="215"/>
    <n v="0.2"/>
  </r>
  <r>
    <x v="1"/>
    <x v="216"/>
    <n v="0.15"/>
  </r>
  <r>
    <x v="1"/>
    <x v="39"/>
    <n v="0.1"/>
  </r>
  <r>
    <x v="1"/>
    <x v="48"/>
    <n v="0.8"/>
  </r>
  <r>
    <x v="1"/>
    <x v="165"/>
    <n v="0.15"/>
  </r>
  <r>
    <x v="1"/>
    <x v="49"/>
    <n v="0.05"/>
  </r>
  <r>
    <x v="1"/>
    <x v="48"/>
    <n v="0.75"/>
  </r>
  <r>
    <x v="1"/>
    <x v="49"/>
    <n v="0.25"/>
  </r>
  <r>
    <x v="1"/>
    <x v="127"/>
    <n v="0.35"/>
  </r>
  <r>
    <x v="1"/>
    <x v="159"/>
    <n v="0.25"/>
  </r>
  <r>
    <x v="1"/>
    <x v="160"/>
    <n v="0.2"/>
  </r>
  <r>
    <x v="1"/>
    <x v="161"/>
    <n v="0.2"/>
  </r>
  <r>
    <x v="1"/>
    <x v="50"/>
    <n v="1"/>
  </r>
  <r>
    <x v="1"/>
    <x v="166"/>
    <n v="0.6"/>
  </r>
  <r>
    <x v="1"/>
    <x v="50"/>
    <n v="0.4"/>
  </r>
  <r>
    <x v="1"/>
    <x v="143"/>
    <n v="0.4"/>
  </r>
  <r>
    <x v="1"/>
    <x v="154"/>
    <n v="0.35"/>
  </r>
  <r>
    <x v="1"/>
    <x v="144"/>
    <n v="0.25"/>
  </r>
  <r>
    <x v="1"/>
    <x v="217"/>
    <n v="0.68"/>
  </r>
  <r>
    <x v="1"/>
    <x v="166"/>
    <n v="0.22"/>
  </r>
  <r>
    <x v="1"/>
    <x v="50"/>
    <n v="0.1"/>
  </r>
  <r>
    <x v="1"/>
    <x v="50"/>
    <n v="0.62"/>
  </r>
  <r>
    <x v="1"/>
    <x v="166"/>
    <n v="0.23"/>
  </r>
  <r>
    <x v="1"/>
    <x v="217"/>
    <n v="0.15"/>
  </r>
  <r>
    <x v="1"/>
    <x v="127"/>
    <n v="0.35"/>
  </r>
  <r>
    <x v="1"/>
    <x v="159"/>
    <n v="0.25"/>
  </r>
  <r>
    <x v="1"/>
    <x v="160"/>
    <n v="0.2"/>
  </r>
  <r>
    <x v="1"/>
    <x v="161"/>
    <n v="0.2"/>
  </r>
  <r>
    <x v="1"/>
    <x v="143"/>
    <n v="0.4"/>
  </r>
  <r>
    <x v="1"/>
    <x v="154"/>
    <n v="0.35"/>
  </r>
  <r>
    <x v="1"/>
    <x v="144"/>
    <n v="0.25"/>
  </r>
  <r>
    <x v="1"/>
    <x v="49"/>
    <n v="0.7"/>
  </r>
  <r>
    <x v="1"/>
    <x v="165"/>
    <n v="0.3"/>
  </r>
  <r>
    <x v="1"/>
    <x v="48"/>
    <n v="0.55000000000000004"/>
  </r>
  <r>
    <x v="1"/>
    <x v="165"/>
    <n v="0.45"/>
  </r>
  <r>
    <x v="1"/>
    <x v="8"/>
    <n v="0.6"/>
  </r>
  <r>
    <x v="1"/>
    <x v="128"/>
    <n v="0.4"/>
  </r>
  <r>
    <x v="1"/>
    <x v="217"/>
    <n v="0.55000000000000004"/>
  </r>
  <r>
    <x v="1"/>
    <x v="166"/>
    <n v="0.45"/>
  </r>
  <r>
    <x v="1"/>
    <x v="183"/>
    <n v="0.72"/>
  </r>
  <r>
    <x v="1"/>
    <x v="49"/>
    <n v="0.18"/>
  </r>
  <r>
    <x v="1"/>
    <x v="39"/>
    <n v="0.1"/>
  </r>
  <r>
    <x v="1"/>
    <x v="132"/>
    <n v="0.8"/>
  </r>
  <r>
    <x v="1"/>
    <x v="183"/>
    <n v="0.2"/>
  </r>
  <r>
    <x v="1"/>
    <x v="129"/>
    <n v="0.45"/>
  </r>
  <r>
    <x v="1"/>
    <x v="128"/>
    <n v="0.35"/>
  </r>
  <r>
    <x v="1"/>
    <x v="183"/>
    <n v="0.2"/>
  </r>
  <r>
    <x v="1"/>
    <x v="49"/>
    <n v="0.55000000000000004"/>
  </r>
  <r>
    <x v="1"/>
    <x v="183"/>
    <n v="0.45"/>
  </r>
  <r>
    <x v="1"/>
    <x v="39"/>
    <n v="0.7"/>
  </r>
  <r>
    <x v="1"/>
    <x v="183"/>
    <n v="0.3"/>
  </r>
  <r>
    <x v="1"/>
    <x v="165"/>
    <n v="0.6"/>
  </r>
  <r>
    <x v="1"/>
    <x v="48"/>
    <n v="0.4"/>
  </r>
  <r>
    <x v="1"/>
    <x v="50"/>
    <n v="1"/>
  </r>
  <r>
    <x v="1"/>
    <x v="132"/>
    <n v="0.6"/>
  </r>
  <r>
    <x v="1"/>
    <x v="183"/>
    <n v="0.25"/>
  </r>
  <r>
    <x v="1"/>
    <x v="218"/>
    <n v="0.15"/>
  </r>
  <r>
    <x v="1"/>
    <x v="183"/>
    <n v="0.45"/>
  </r>
  <r>
    <x v="1"/>
    <x v="49"/>
    <n v="0.35"/>
  </r>
  <r>
    <x v="1"/>
    <x v="165"/>
    <n v="0.2"/>
  </r>
  <r>
    <x v="1"/>
    <x v="129"/>
    <n v="0.55000000000000004"/>
  </r>
  <r>
    <x v="1"/>
    <x v="128"/>
    <n v="0.45"/>
  </r>
  <r>
    <x v="1"/>
    <x v="165"/>
    <n v="0.6"/>
  </r>
  <r>
    <x v="1"/>
    <x v="48"/>
    <n v="0.4"/>
  </r>
  <r>
    <x v="1"/>
    <x v="183"/>
    <n v="0.6"/>
  </r>
  <r>
    <x v="1"/>
    <x v="49"/>
    <n v="0.4"/>
  </r>
  <r>
    <x v="1"/>
    <x v="50"/>
    <n v="1"/>
  </r>
  <r>
    <x v="1"/>
    <x v="217"/>
    <n v="0.45"/>
  </r>
  <r>
    <x v="1"/>
    <x v="166"/>
    <n v="0.25"/>
  </r>
  <r>
    <x v="1"/>
    <x v="50"/>
    <n v="0.3"/>
  </r>
  <r>
    <x v="1"/>
    <x v="50"/>
    <n v="0.75"/>
  </r>
  <r>
    <x v="1"/>
    <x v="166"/>
    <n v="0.25"/>
  </r>
  <r>
    <x v="1"/>
    <x v="127"/>
    <n v="0.35"/>
  </r>
  <r>
    <x v="1"/>
    <x v="160"/>
    <n v="0.25"/>
  </r>
  <r>
    <x v="1"/>
    <x v="159"/>
    <n v="0.2"/>
  </r>
  <r>
    <x v="1"/>
    <x v="161"/>
    <n v="0.2"/>
  </r>
  <r>
    <x v="1"/>
    <x v="143"/>
    <n v="0.4"/>
  </r>
  <r>
    <x v="1"/>
    <x v="154"/>
    <n v="0.35"/>
  </r>
  <r>
    <x v="1"/>
    <x v="144"/>
    <n v="0.25"/>
  </r>
  <r>
    <x v="1"/>
    <x v="7"/>
    <n v="0.3"/>
  </r>
  <r>
    <x v="1"/>
    <x v="6"/>
    <n v="0.25"/>
  </r>
  <r>
    <x v="1"/>
    <x v="17"/>
    <n v="0.25"/>
  </r>
  <r>
    <x v="1"/>
    <x v="5"/>
    <n v="0.2"/>
  </r>
  <r>
    <x v="1"/>
    <x v="8"/>
    <n v="0.65"/>
  </r>
  <r>
    <x v="1"/>
    <x v="128"/>
    <n v="0.35"/>
  </r>
  <r>
    <x v="1"/>
    <x v="49"/>
    <n v="0.6"/>
  </r>
  <r>
    <x v="1"/>
    <x v="48"/>
    <n v="0.4"/>
  </r>
  <r>
    <x v="1"/>
    <x v="128"/>
    <n v="0.72"/>
  </r>
  <r>
    <x v="1"/>
    <x v="8"/>
    <n v="0.18"/>
  </r>
  <r>
    <x v="1"/>
    <x v="129"/>
    <n v="0.1"/>
  </r>
  <r>
    <x v="1"/>
    <x v="129"/>
    <n v="0.6"/>
  </r>
  <r>
    <x v="1"/>
    <x v="128"/>
    <n v="0.4"/>
  </r>
  <r>
    <x v="1"/>
    <x v="168"/>
    <n v="0.6"/>
  </r>
  <r>
    <x v="1"/>
    <x v="129"/>
    <n v="0.2"/>
  </r>
  <r>
    <x v="1"/>
    <x v="128"/>
    <n v="0.2"/>
  </r>
  <r>
    <x v="1"/>
    <x v="38"/>
    <n v="0.45"/>
  </r>
  <r>
    <x v="1"/>
    <x v="39"/>
    <n v="0.35"/>
  </r>
  <r>
    <x v="1"/>
    <x v="216"/>
    <n v="0.2"/>
  </r>
  <r>
    <x v="1"/>
    <x v="49"/>
    <n v="0.6"/>
  </r>
  <r>
    <x v="1"/>
    <x v="38"/>
    <n v="0.4"/>
  </r>
  <r>
    <x v="1"/>
    <x v="127"/>
    <n v="0.35"/>
  </r>
  <r>
    <x v="1"/>
    <x v="159"/>
    <n v="0.25"/>
  </r>
  <r>
    <x v="1"/>
    <x v="161"/>
    <n v="0.2"/>
  </r>
  <r>
    <x v="1"/>
    <x v="125"/>
    <n v="0.2"/>
  </r>
  <r>
    <x v="1"/>
    <x v="4"/>
    <n v="1"/>
  </r>
  <r>
    <x v="1"/>
    <x v="128"/>
    <n v="0.55000000000000004"/>
  </r>
  <r>
    <x v="1"/>
    <x v="8"/>
    <n v="0.45"/>
  </r>
  <r>
    <x v="1"/>
    <x v="5"/>
    <n v="0.4"/>
  </r>
  <r>
    <x v="1"/>
    <x v="6"/>
    <n v="0.25"/>
  </r>
  <r>
    <x v="1"/>
    <x v="7"/>
    <n v="0.2"/>
  </r>
  <r>
    <x v="1"/>
    <x v="17"/>
    <n v="0.15"/>
  </r>
  <r>
    <x v="1"/>
    <x v="132"/>
    <n v="0.7"/>
  </r>
  <r>
    <x v="1"/>
    <x v="128"/>
    <n v="0.3"/>
  </r>
  <r>
    <x v="1"/>
    <x v="132"/>
    <n v="0.72"/>
  </r>
  <r>
    <x v="1"/>
    <x v="219"/>
    <n v="0.28000000000000003"/>
  </r>
  <r>
    <x v="1"/>
    <x v="167"/>
    <n v="0.4"/>
  </r>
  <r>
    <x v="1"/>
    <x v="169"/>
    <n v="0.25"/>
  </r>
  <r>
    <x v="1"/>
    <x v="168"/>
    <n v="0.2"/>
  </r>
  <r>
    <x v="1"/>
    <x v="129"/>
    <n v="0.15"/>
  </r>
  <r>
    <x v="1"/>
    <x v="170"/>
    <n v="1"/>
  </r>
  <r>
    <x v="1"/>
    <x v="181"/>
    <n v="1"/>
  </r>
  <r>
    <x v="1"/>
    <x v="108"/>
    <n v="0.35"/>
  </r>
  <r>
    <x v="1"/>
    <x v="173"/>
    <n v="0.25"/>
  </r>
  <r>
    <x v="1"/>
    <x v="174"/>
    <n v="0.2"/>
  </r>
  <r>
    <x v="1"/>
    <x v="176"/>
    <n v="0.2"/>
  </r>
  <r>
    <x v="1"/>
    <x v="132"/>
    <n v="0.55000000000000004"/>
  </r>
  <r>
    <x v="1"/>
    <x v="167"/>
    <n v="0.25"/>
  </r>
  <r>
    <x v="1"/>
    <x v="170"/>
    <n v="0.2"/>
  </r>
  <r>
    <x v="1"/>
    <x v="167"/>
    <n v="0.5"/>
  </r>
  <r>
    <x v="1"/>
    <x v="169"/>
    <n v="0.3"/>
  </r>
  <r>
    <x v="1"/>
    <x v="168"/>
    <n v="0.2"/>
  </r>
  <r>
    <x v="1"/>
    <x v="129"/>
    <n v="0.82"/>
  </r>
  <r>
    <x v="1"/>
    <x v="128"/>
    <n v="0.1"/>
  </r>
  <r>
    <x v="1"/>
    <x v="168"/>
    <n v="0.08"/>
  </r>
  <r>
    <x v="1"/>
    <x v="8"/>
    <n v="0.65"/>
  </r>
  <r>
    <x v="1"/>
    <x v="128"/>
    <n v="0.35"/>
  </r>
  <r>
    <x v="1"/>
    <x v="168"/>
    <n v="0.55000000000000004"/>
  </r>
  <r>
    <x v="1"/>
    <x v="167"/>
    <n v="0.25"/>
  </r>
  <r>
    <x v="1"/>
    <x v="169"/>
    <n v="0.2"/>
  </r>
  <r>
    <x v="1"/>
    <x v="128"/>
    <n v="0.45"/>
  </r>
  <r>
    <x v="1"/>
    <x v="49"/>
    <n v="0.35"/>
  </r>
  <r>
    <x v="1"/>
    <x v="38"/>
    <n v="0.2"/>
  </r>
  <r>
    <x v="1"/>
    <x v="4"/>
    <n v="0.7"/>
  </r>
  <r>
    <x v="1"/>
    <x v="111"/>
    <n v="0.3"/>
  </r>
  <r>
    <x v="1"/>
    <x v="132"/>
    <n v="0.7"/>
  </r>
  <r>
    <x v="1"/>
    <x v="129"/>
    <n v="0.3"/>
  </r>
  <r>
    <x v="1"/>
    <x v="169"/>
    <n v="0.72"/>
  </r>
  <r>
    <x v="1"/>
    <x v="167"/>
    <n v="0.15"/>
  </r>
  <r>
    <x v="1"/>
    <x v="168"/>
    <n v="0.08"/>
  </r>
  <r>
    <x v="1"/>
    <x v="129"/>
    <n v="0.05"/>
  </r>
  <r>
    <x v="1"/>
    <x v="129"/>
    <n v="0.5"/>
  </r>
  <r>
    <x v="1"/>
    <x v="169"/>
    <n v="0.3"/>
  </r>
  <r>
    <x v="1"/>
    <x v="168"/>
    <n v="0.2"/>
  </r>
  <r>
    <x v="1"/>
    <x v="132"/>
    <n v="0.7"/>
  </r>
  <r>
    <x v="1"/>
    <x v="169"/>
    <n v="0.3"/>
  </r>
  <r>
    <x v="1"/>
    <x v="4"/>
    <n v="0.7"/>
  </r>
  <r>
    <x v="1"/>
    <x v="111"/>
    <n v="0.3"/>
  </r>
  <r>
    <x v="1"/>
    <x v="25"/>
    <n v="0.6"/>
  </r>
  <r>
    <x v="1"/>
    <x v="167"/>
    <n v="0.2"/>
  </r>
  <r>
    <x v="1"/>
    <x v="43"/>
    <n v="0.2"/>
  </r>
  <r>
    <x v="1"/>
    <x v="170"/>
    <n v="1"/>
  </r>
  <r>
    <x v="1"/>
    <x v="169"/>
    <n v="0.55000000000000004"/>
  </r>
  <r>
    <x v="1"/>
    <x v="167"/>
    <n v="0.25"/>
  </r>
  <r>
    <x v="1"/>
    <x v="168"/>
    <n v="0.2"/>
  </r>
  <r>
    <x v="1"/>
    <x v="220"/>
    <n v="0.7"/>
  </r>
  <r>
    <x v="1"/>
    <x v="168"/>
    <n v="0.15"/>
  </r>
  <r>
    <x v="1"/>
    <x v="167"/>
    <n v="0.1"/>
  </r>
  <r>
    <x v="1"/>
    <x v="169"/>
    <n v="0.05"/>
  </r>
  <r>
    <x v="1"/>
    <x v="8"/>
    <n v="0.65"/>
  </r>
  <r>
    <x v="1"/>
    <x v="128"/>
    <n v="0.35"/>
  </r>
  <r>
    <x v="1"/>
    <x v="4"/>
    <n v="0.7"/>
  </r>
  <r>
    <x v="1"/>
    <x v="111"/>
    <n v="0.3"/>
  </r>
  <r>
    <x v="1"/>
    <x v="129"/>
    <n v="0.55000000000000004"/>
  </r>
  <r>
    <x v="1"/>
    <x v="128"/>
    <n v="0.45"/>
  </r>
  <r>
    <x v="1"/>
    <x v="25"/>
    <n v="0.6"/>
  </r>
  <r>
    <x v="1"/>
    <x v="167"/>
    <n v="0.2"/>
  </r>
  <r>
    <x v="1"/>
    <x v="43"/>
    <n v="0.2"/>
  </r>
  <r>
    <x v="1"/>
    <x v="8"/>
    <n v="0.4"/>
  </r>
  <r>
    <x v="1"/>
    <x v="127"/>
    <n v="0.3"/>
  </r>
  <r>
    <x v="1"/>
    <x v="159"/>
    <n v="0.3"/>
  </r>
  <r>
    <x v="1"/>
    <x v="220"/>
    <n v="0.55000000000000004"/>
  </r>
  <r>
    <x v="1"/>
    <x v="168"/>
    <n v="0.25"/>
  </r>
  <r>
    <x v="1"/>
    <x v="167"/>
    <n v="0.2"/>
  </r>
  <r>
    <x v="1"/>
    <x v="173"/>
    <n v="0.86"/>
  </r>
  <r>
    <x v="1"/>
    <x v="174"/>
    <n v="0.06"/>
  </r>
  <r>
    <x v="1"/>
    <x v="176"/>
    <n v="0.04"/>
  </r>
  <r>
    <x v="1"/>
    <x v="175"/>
    <n v="0.04"/>
  </r>
  <r>
    <x v="1"/>
    <x v="172"/>
    <n v="0.7"/>
  </r>
  <r>
    <x v="1"/>
    <x v="171"/>
    <n v="0.3"/>
  </r>
  <r>
    <x v="1"/>
    <x v="49"/>
    <n v="0.5"/>
  </r>
  <r>
    <x v="1"/>
    <x v="48"/>
    <n v="0.3"/>
  </r>
  <r>
    <x v="1"/>
    <x v="183"/>
    <n v="0.2"/>
  </r>
  <r>
    <x v="1"/>
    <x v="186"/>
    <n v="0.3"/>
  </r>
  <r>
    <x v="1"/>
    <x v="177"/>
    <n v="0.25"/>
  </r>
  <r>
    <x v="1"/>
    <x v="178"/>
    <n v="0.25"/>
  </r>
  <r>
    <x v="1"/>
    <x v="179"/>
    <n v="0.2"/>
  </r>
  <r>
    <x v="1"/>
    <x v="50"/>
    <n v="0.5"/>
  </r>
  <r>
    <x v="1"/>
    <x v="48"/>
    <n v="0.25"/>
  </r>
  <r>
    <x v="1"/>
    <x v="49"/>
    <n v="0.25"/>
  </r>
  <r>
    <x v="1"/>
    <x v="173"/>
    <n v="0.55000000000000004"/>
  </r>
  <r>
    <x v="1"/>
    <x v="174"/>
    <n v="0.25"/>
  </r>
  <r>
    <x v="1"/>
    <x v="176"/>
    <n v="0.2"/>
  </r>
  <r>
    <x v="1"/>
    <x v="175"/>
    <n v="0.94"/>
  </r>
  <r>
    <x v="1"/>
    <x v="174"/>
    <n v="0.03"/>
  </r>
  <r>
    <x v="1"/>
    <x v="176"/>
    <n v="0.03"/>
  </r>
  <r>
    <x v="1"/>
    <x v="172"/>
    <n v="0.7"/>
  </r>
  <r>
    <x v="1"/>
    <x v="171"/>
    <n v="0.3"/>
  </r>
  <r>
    <x v="1"/>
    <x v="177"/>
    <n v="0.3"/>
  </r>
  <r>
    <x v="1"/>
    <x v="178"/>
    <n v="0.25"/>
  </r>
  <r>
    <x v="1"/>
    <x v="186"/>
    <n v="0.25"/>
  </r>
  <r>
    <x v="1"/>
    <x v="179"/>
    <n v="0.2"/>
  </r>
  <r>
    <x v="1"/>
    <x v="50"/>
    <n v="0.5"/>
  </r>
  <r>
    <x v="1"/>
    <x v="185"/>
    <n v="0.3"/>
  </r>
  <r>
    <x v="1"/>
    <x v="184"/>
    <n v="0.2"/>
  </r>
  <r>
    <x v="1"/>
    <x v="170"/>
    <n v="1"/>
  </r>
  <r>
    <x v="1"/>
    <x v="176"/>
    <n v="0.88"/>
  </r>
  <r>
    <x v="1"/>
    <x v="174"/>
    <n v="7.0000000000000007E-2"/>
  </r>
  <r>
    <x v="1"/>
    <x v="175"/>
    <n v="0.05"/>
  </r>
  <r>
    <x v="1"/>
    <x v="172"/>
    <n v="0.7"/>
  </r>
  <r>
    <x v="1"/>
    <x v="171"/>
    <n v="0.3"/>
  </r>
  <r>
    <x v="1"/>
    <x v="177"/>
    <n v="0.3"/>
  </r>
  <r>
    <x v="1"/>
    <x v="178"/>
    <n v="0.25"/>
  </r>
  <r>
    <x v="1"/>
    <x v="186"/>
    <n v="0.25"/>
  </r>
  <r>
    <x v="1"/>
    <x v="179"/>
    <n v="0.2"/>
  </r>
  <r>
    <x v="1"/>
    <x v="50"/>
    <n v="0.5"/>
  </r>
  <r>
    <x v="1"/>
    <x v="185"/>
    <n v="0.3"/>
  </r>
  <r>
    <x v="1"/>
    <x v="184"/>
    <n v="0.2"/>
  </r>
  <r>
    <x v="1"/>
    <x v="170"/>
    <n v="1"/>
  </r>
  <r>
    <x v="1"/>
    <x v="134"/>
    <n v="0.82"/>
  </r>
  <r>
    <x v="1"/>
    <x v="135"/>
    <n v="0.1"/>
  </r>
  <r>
    <x v="1"/>
    <x v="194"/>
    <n v="0.08"/>
  </r>
  <r>
    <x v="1"/>
    <x v="195"/>
    <n v="0.35"/>
  </r>
  <r>
    <x v="1"/>
    <x v="190"/>
    <n v="0.25"/>
  </r>
  <r>
    <x v="1"/>
    <x v="191"/>
    <n v="0.2"/>
  </r>
  <r>
    <x v="1"/>
    <x v="192"/>
    <n v="0.2"/>
  </r>
  <r>
    <x v="1"/>
    <x v="137"/>
    <n v="0.45"/>
  </r>
  <r>
    <x v="1"/>
    <x v="193"/>
    <n v="0.35"/>
  </r>
  <r>
    <x v="1"/>
    <x v="26"/>
    <n v="0.2"/>
  </r>
  <r>
    <x v="1"/>
    <x v="180"/>
    <n v="1"/>
  </r>
  <r>
    <x v="1"/>
    <x v="186"/>
    <n v="0.4"/>
  </r>
  <r>
    <x v="1"/>
    <x v="179"/>
    <n v="0.35"/>
  </r>
  <r>
    <x v="1"/>
    <x v="188"/>
    <n v="0.25"/>
  </r>
  <r>
    <x v="1"/>
    <x v="134"/>
    <n v="0.55000000000000004"/>
  </r>
  <r>
    <x v="1"/>
    <x v="135"/>
    <n v="0.25"/>
  </r>
  <r>
    <x v="1"/>
    <x v="194"/>
    <n v="0.2"/>
  </r>
  <r>
    <x v="1"/>
    <x v="135"/>
    <n v="0.82"/>
  </r>
  <r>
    <x v="1"/>
    <x v="134"/>
    <n v="0.1"/>
  </r>
  <r>
    <x v="1"/>
    <x v="194"/>
    <n v="0.08"/>
  </r>
  <r>
    <x v="1"/>
    <x v="195"/>
    <n v="0.35"/>
  </r>
  <r>
    <x v="1"/>
    <x v="190"/>
    <n v="0.25"/>
  </r>
  <r>
    <x v="1"/>
    <x v="191"/>
    <n v="0.2"/>
  </r>
  <r>
    <x v="1"/>
    <x v="192"/>
    <n v="0.2"/>
  </r>
  <r>
    <x v="1"/>
    <x v="137"/>
    <n v="0.45"/>
  </r>
  <r>
    <x v="1"/>
    <x v="193"/>
    <n v="0.35"/>
  </r>
  <r>
    <x v="1"/>
    <x v="26"/>
    <n v="0.2"/>
  </r>
  <r>
    <x v="1"/>
    <x v="180"/>
    <n v="1"/>
  </r>
  <r>
    <x v="1"/>
    <x v="186"/>
    <n v="0.4"/>
  </r>
  <r>
    <x v="1"/>
    <x v="179"/>
    <n v="0.35"/>
  </r>
  <r>
    <x v="1"/>
    <x v="188"/>
    <n v="0.25"/>
  </r>
  <r>
    <x v="1"/>
    <x v="135"/>
    <n v="0.55000000000000004"/>
  </r>
  <r>
    <x v="1"/>
    <x v="134"/>
    <n v="0.25"/>
  </r>
  <r>
    <x v="1"/>
    <x v="194"/>
    <n v="0.2"/>
  </r>
  <r>
    <x v="1"/>
    <x v="190"/>
    <n v="0.82"/>
  </r>
  <r>
    <x v="1"/>
    <x v="191"/>
    <n v="0.1"/>
  </r>
  <r>
    <x v="1"/>
    <x v="192"/>
    <n v="0.08"/>
  </r>
  <r>
    <x v="1"/>
    <x v="195"/>
    <n v="0.4"/>
  </r>
  <r>
    <x v="1"/>
    <x v="134"/>
    <n v="0.3"/>
  </r>
  <r>
    <x v="1"/>
    <x v="135"/>
    <n v="0.3"/>
  </r>
  <r>
    <x v="1"/>
    <x v="180"/>
    <n v="1"/>
  </r>
  <r>
    <x v="1"/>
    <x v="179"/>
    <n v="0.4"/>
  </r>
  <r>
    <x v="1"/>
    <x v="188"/>
    <n v="0.2"/>
  </r>
  <r>
    <x v="1"/>
    <x v="186"/>
    <n v="0.2"/>
  </r>
  <r>
    <x v="1"/>
    <x v="180"/>
    <n v="0.2"/>
  </r>
  <r>
    <x v="1"/>
    <x v="193"/>
    <n v="0.45"/>
  </r>
  <r>
    <x v="1"/>
    <x v="137"/>
    <n v="0.35"/>
  </r>
  <r>
    <x v="1"/>
    <x v="26"/>
    <n v="0.2"/>
  </r>
  <r>
    <x v="1"/>
    <x v="190"/>
    <n v="0.55000000000000004"/>
  </r>
  <r>
    <x v="1"/>
    <x v="191"/>
    <n v="0.25"/>
  </r>
  <r>
    <x v="1"/>
    <x v="192"/>
    <n v="0.2"/>
  </r>
  <r>
    <x v="1"/>
    <x v="191"/>
    <n v="0.82"/>
  </r>
  <r>
    <x v="1"/>
    <x v="190"/>
    <n v="0.1"/>
  </r>
  <r>
    <x v="1"/>
    <x v="192"/>
    <n v="0.08"/>
  </r>
  <r>
    <x v="1"/>
    <x v="195"/>
    <n v="0.4"/>
  </r>
  <r>
    <x v="1"/>
    <x v="134"/>
    <n v="0.3"/>
  </r>
  <r>
    <x v="1"/>
    <x v="135"/>
    <n v="0.3"/>
  </r>
  <r>
    <x v="1"/>
    <x v="180"/>
    <n v="1"/>
  </r>
  <r>
    <x v="1"/>
    <x v="179"/>
    <n v="0.4"/>
  </r>
  <r>
    <x v="1"/>
    <x v="188"/>
    <n v="0.2"/>
  </r>
  <r>
    <x v="1"/>
    <x v="186"/>
    <n v="0.2"/>
  </r>
  <r>
    <x v="1"/>
    <x v="180"/>
    <n v="0.2"/>
  </r>
  <r>
    <x v="1"/>
    <x v="193"/>
    <n v="0.45"/>
  </r>
  <r>
    <x v="1"/>
    <x v="137"/>
    <n v="0.35"/>
  </r>
  <r>
    <x v="1"/>
    <x v="26"/>
    <n v="0.2"/>
  </r>
  <r>
    <x v="1"/>
    <x v="191"/>
    <n v="0.55000000000000004"/>
  </r>
  <r>
    <x v="1"/>
    <x v="190"/>
    <n v="0.25"/>
  </r>
  <r>
    <x v="1"/>
    <x v="192"/>
    <n v="0.2"/>
  </r>
  <r>
    <x v="1"/>
    <x v="192"/>
    <n v="0.8"/>
  </r>
  <r>
    <x v="1"/>
    <x v="191"/>
    <n v="0.1"/>
  </r>
  <r>
    <x v="1"/>
    <x v="190"/>
    <n v="0.1"/>
  </r>
  <r>
    <x v="1"/>
    <x v="195"/>
    <n v="0.4"/>
  </r>
  <r>
    <x v="1"/>
    <x v="134"/>
    <n v="0.3"/>
  </r>
  <r>
    <x v="1"/>
    <x v="135"/>
    <n v="0.3"/>
  </r>
  <r>
    <x v="1"/>
    <x v="180"/>
    <n v="1"/>
  </r>
  <r>
    <x v="1"/>
    <x v="179"/>
    <n v="0.4"/>
  </r>
  <r>
    <x v="1"/>
    <x v="188"/>
    <n v="0.2"/>
  </r>
  <r>
    <x v="1"/>
    <x v="186"/>
    <n v="0.2"/>
  </r>
  <r>
    <x v="1"/>
    <x v="180"/>
    <n v="0.2"/>
  </r>
  <r>
    <x v="1"/>
    <x v="193"/>
    <n v="0.45"/>
  </r>
  <r>
    <x v="1"/>
    <x v="137"/>
    <n v="0.35"/>
  </r>
  <r>
    <x v="1"/>
    <x v="26"/>
    <n v="0.2"/>
  </r>
  <r>
    <x v="1"/>
    <x v="192"/>
    <n v="0.55000000000000004"/>
  </r>
  <r>
    <x v="1"/>
    <x v="191"/>
    <n v="0.25"/>
  </r>
  <r>
    <x v="1"/>
    <x v="190"/>
    <n v="0.2"/>
  </r>
  <r>
    <x v="1"/>
    <x v="221"/>
    <n v="0.55000000000000004"/>
  </r>
  <r>
    <x v="1"/>
    <x v="192"/>
    <n v="0.2"/>
  </r>
  <r>
    <x v="1"/>
    <x v="191"/>
    <n v="0.15"/>
  </r>
  <r>
    <x v="1"/>
    <x v="190"/>
    <n v="0.1"/>
  </r>
  <r>
    <x v="1"/>
    <x v="51"/>
    <n v="0.55000000000000004"/>
  </r>
  <r>
    <x v="1"/>
    <x v="221"/>
    <n v="0.25"/>
  </r>
  <r>
    <x v="1"/>
    <x v="52"/>
    <n v="0.2"/>
  </r>
  <r>
    <x v="1"/>
    <x v="195"/>
    <n v="0.4"/>
  </r>
  <r>
    <x v="1"/>
    <x v="134"/>
    <n v="0.3"/>
  </r>
  <r>
    <x v="1"/>
    <x v="135"/>
    <n v="0.3"/>
  </r>
  <r>
    <x v="1"/>
    <x v="180"/>
    <n v="1"/>
  </r>
  <r>
    <x v="1"/>
    <x v="179"/>
    <n v="0.4"/>
  </r>
  <r>
    <x v="1"/>
    <x v="188"/>
    <n v="0.2"/>
  </r>
  <r>
    <x v="1"/>
    <x v="186"/>
    <n v="0.2"/>
  </r>
  <r>
    <x v="1"/>
    <x v="180"/>
    <n v="0.2"/>
  </r>
  <r>
    <x v="1"/>
    <x v="193"/>
    <n v="0.45"/>
  </r>
  <r>
    <x v="1"/>
    <x v="137"/>
    <n v="0.35"/>
  </r>
  <r>
    <x v="1"/>
    <x v="26"/>
    <n v="0.2"/>
  </r>
  <r>
    <x v="1"/>
    <x v="221"/>
    <n v="0.35"/>
  </r>
  <r>
    <x v="1"/>
    <x v="192"/>
    <n v="0.2"/>
  </r>
  <r>
    <x v="1"/>
    <x v="191"/>
    <n v="0.15"/>
  </r>
  <r>
    <x v="1"/>
    <x v="190"/>
    <n v="0.1"/>
  </r>
  <r>
    <x v="1"/>
    <x v="51"/>
    <n v="0.2"/>
  </r>
  <r>
    <x v="2"/>
    <x v="22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3">
  <r>
    <x v="0"/>
    <x v="0"/>
  </r>
  <r>
    <x v="0"/>
    <x v="1"/>
  </r>
  <r>
    <x v="0"/>
    <x v="2"/>
  </r>
  <r>
    <x v="1"/>
    <x v="0"/>
  </r>
  <r>
    <x v="1"/>
    <x v="1"/>
  </r>
  <r>
    <x v="1"/>
    <x v="3"/>
  </r>
  <r>
    <x v="1"/>
    <x v="4"/>
  </r>
  <r>
    <x v="1"/>
    <x v="5"/>
  </r>
  <r>
    <x v="1"/>
    <x v="6"/>
  </r>
  <r>
    <x v="1"/>
    <x v="2"/>
  </r>
  <r>
    <x v="2"/>
    <x v="0"/>
  </r>
  <r>
    <x v="2"/>
    <x v="1"/>
  </r>
  <r>
    <x v="2"/>
    <x v="7"/>
  </r>
  <r>
    <x v="2"/>
    <x v="8"/>
  </r>
  <r>
    <x v="2"/>
    <x v="4"/>
  </r>
  <r>
    <x v="2"/>
    <x v="3"/>
  </r>
  <r>
    <x v="2"/>
    <x v="6"/>
  </r>
  <r>
    <x v="2"/>
    <x v="2"/>
  </r>
  <r>
    <x v="3"/>
    <x v="0"/>
  </r>
  <r>
    <x v="3"/>
    <x v="1"/>
  </r>
  <r>
    <x v="3"/>
    <x v="3"/>
  </r>
  <r>
    <x v="3"/>
    <x v="4"/>
  </r>
  <r>
    <x v="3"/>
    <x v="6"/>
  </r>
  <r>
    <x v="3"/>
    <x v="9"/>
  </r>
  <r>
    <x v="3"/>
    <x v="8"/>
  </r>
  <r>
    <x v="3"/>
    <x v="2"/>
  </r>
  <r>
    <x v="4"/>
    <x v="7"/>
  </r>
  <r>
    <x v="4"/>
    <x v="1"/>
  </r>
  <r>
    <x v="4"/>
    <x v="0"/>
  </r>
  <r>
    <x v="4"/>
    <x v="10"/>
  </r>
  <r>
    <x v="4"/>
    <x v="6"/>
  </r>
  <r>
    <x v="5"/>
    <x v="11"/>
  </r>
  <r>
    <x v="5"/>
    <x v="1"/>
  </r>
  <r>
    <x v="5"/>
    <x v="9"/>
  </r>
  <r>
    <x v="5"/>
    <x v="12"/>
  </r>
  <r>
    <x v="5"/>
    <x v="13"/>
  </r>
  <r>
    <x v="5"/>
    <x v="3"/>
  </r>
  <r>
    <x v="5"/>
    <x v="14"/>
  </r>
  <r>
    <x v="5"/>
    <x v="10"/>
  </r>
  <r>
    <x v="5"/>
    <x v="2"/>
  </r>
  <r>
    <x v="6"/>
    <x v="11"/>
  </r>
  <r>
    <x v="6"/>
    <x v="1"/>
  </r>
  <r>
    <x v="6"/>
    <x v="9"/>
  </r>
  <r>
    <x v="6"/>
    <x v="12"/>
  </r>
  <r>
    <x v="6"/>
    <x v="14"/>
  </r>
  <r>
    <x v="6"/>
    <x v="4"/>
  </r>
  <r>
    <x v="6"/>
    <x v="10"/>
  </r>
  <r>
    <x v="6"/>
    <x v="2"/>
  </r>
  <r>
    <x v="7"/>
    <x v="11"/>
  </r>
  <r>
    <x v="7"/>
    <x v="1"/>
  </r>
  <r>
    <x v="7"/>
    <x v="9"/>
  </r>
  <r>
    <x v="7"/>
    <x v="12"/>
  </r>
  <r>
    <x v="7"/>
    <x v="14"/>
  </r>
  <r>
    <x v="7"/>
    <x v="4"/>
  </r>
  <r>
    <x v="7"/>
    <x v="2"/>
  </r>
  <r>
    <x v="8"/>
    <x v="11"/>
  </r>
  <r>
    <x v="8"/>
    <x v="1"/>
  </r>
  <r>
    <x v="8"/>
    <x v="9"/>
  </r>
  <r>
    <x v="8"/>
    <x v="14"/>
  </r>
  <r>
    <x v="8"/>
    <x v="2"/>
  </r>
  <r>
    <x v="9"/>
    <x v="11"/>
  </r>
  <r>
    <x v="9"/>
    <x v="1"/>
  </r>
  <r>
    <x v="9"/>
    <x v="9"/>
  </r>
  <r>
    <x v="9"/>
    <x v="12"/>
  </r>
  <r>
    <x v="9"/>
    <x v="10"/>
  </r>
  <r>
    <x v="9"/>
    <x v="15"/>
  </r>
  <r>
    <x v="9"/>
    <x v="2"/>
  </r>
  <r>
    <x v="10"/>
    <x v="16"/>
  </r>
  <r>
    <x v="10"/>
    <x v="17"/>
  </r>
  <r>
    <x v="10"/>
    <x v="9"/>
  </r>
  <r>
    <x v="10"/>
    <x v="18"/>
  </r>
  <r>
    <x v="10"/>
    <x v="12"/>
  </r>
  <r>
    <x v="10"/>
    <x v="13"/>
  </r>
  <r>
    <x v="10"/>
    <x v="3"/>
  </r>
  <r>
    <x v="10"/>
    <x v="19"/>
  </r>
  <r>
    <x v="11"/>
    <x v="16"/>
  </r>
  <r>
    <x v="11"/>
    <x v="13"/>
  </r>
  <r>
    <x v="11"/>
    <x v="18"/>
  </r>
  <r>
    <x v="11"/>
    <x v="9"/>
  </r>
  <r>
    <x v="11"/>
    <x v="3"/>
  </r>
  <r>
    <x v="11"/>
    <x v="10"/>
  </r>
  <r>
    <x v="11"/>
    <x v="8"/>
  </r>
  <r>
    <x v="11"/>
    <x v="4"/>
  </r>
  <r>
    <x v="12"/>
    <x v="16"/>
  </r>
  <r>
    <x v="12"/>
    <x v="1"/>
  </r>
  <r>
    <x v="12"/>
    <x v="13"/>
  </r>
  <r>
    <x v="12"/>
    <x v="12"/>
  </r>
  <r>
    <x v="12"/>
    <x v="3"/>
  </r>
  <r>
    <x v="12"/>
    <x v="8"/>
  </r>
  <r>
    <x v="12"/>
    <x v="10"/>
  </r>
  <r>
    <x v="12"/>
    <x v="15"/>
  </r>
  <r>
    <x v="12"/>
    <x v="2"/>
  </r>
  <r>
    <x v="13"/>
    <x v="16"/>
  </r>
  <r>
    <x v="13"/>
    <x v="1"/>
  </r>
  <r>
    <x v="13"/>
    <x v="10"/>
  </r>
  <r>
    <x v="13"/>
    <x v="8"/>
  </r>
  <r>
    <x v="13"/>
    <x v="3"/>
  </r>
  <r>
    <x v="13"/>
    <x v="9"/>
  </r>
  <r>
    <x v="13"/>
    <x v="4"/>
  </r>
  <r>
    <x v="13"/>
    <x v="13"/>
  </r>
  <r>
    <x v="13"/>
    <x v="2"/>
  </r>
  <r>
    <x v="14"/>
    <x v="16"/>
  </r>
  <r>
    <x v="14"/>
    <x v="10"/>
  </r>
  <r>
    <x v="14"/>
    <x v="8"/>
  </r>
  <r>
    <x v="14"/>
    <x v="3"/>
  </r>
  <r>
    <x v="14"/>
    <x v="9"/>
  </r>
  <r>
    <x v="14"/>
    <x v="4"/>
  </r>
  <r>
    <x v="15"/>
    <x v="16"/>
  </r>
  <r>
    <x v="15"/>
    <x v="17"/>
  </r>
  <r>
    <x v="15"/>
    <x v="8"/>
  </r>
  <r>
    <x v="15"/>
    <x v="3"/>
  </r>
  <r>
    <x v="15"/>
    <x v="9"/>
  </r>
  <r>
    <x v="15"/>
    <x v="13"/>
  </r>
  <r>
    <x v="15"/>
    <x v="10"/>
  </r>
  <r>
    <x v="16"/>
    <x v="19"/>
  </r>
  <r>
    <x v="16"/>
    <x v="17"/>
  </r>
  <r>
    <x v="16"/>
    <x v="13"/>
  </r>
  <r>
    <x v="16"/>
    <x v="20"/>
  </r>
  <r>
    <x v="16"/>
    <x v="21"/>
  </r>
  <r>
    <x v="16"/>
    <x v="22"/>
  </r>
  <r>
    <x v="16"/>
    <x v="9"/>
  </r>
  <r>
    <x v="16"/>
    <x v="12"/>
  </r>
  <r>
    <x v="17"/>
    <x v="19"/>
  </r>
  <r>
    <x v="17"/>
    <x v="9"/>
  </r>
  <r>
    <x v="17"/>
    <x v="23"/>
  </r>
  <r>
    <x v="17"/>
    <x v="12"/>
  </r>
  <r>
    <x v="17"/>
    <x v="24"/>
  </r>
  <r>
    <x v="17"/>
    <x v="13"/>
  </r>
  <r>
    <x v="17"/>
    <x v="20"/>
  </r>
  <r>
    <x v="18"/>
    <x v="17"/>
  </r>
  <r>
    <x v="18"/>
    <x v="16"/>
  </r>
  <r>
    <x v="18"/>
    <x v="13"/>
  </r>
  <r>
    <x v="18"/>
    <x v="8"/>
  </r>
  <r>
    <x v="18"/>
    <x v="9"/>
  </r>
  <r>
    <x v="18"/>
    <x v="4"/>
  </r>
  <r>
    <x v="18"/>
    <x v="3"/>
  </r>
  <r>
    <x v="18"/>
    <x v="20"/>
  </r>
  <r>
    <x v="19"/>
    <x v="10"/>
  </r>
  <r>
    <x v="19"/>
    <x v="16"/>
  </r>
  <r>
    <x v="19"/>
    <x v="1"/>
  </r>
  <r>
    <x v="19"/>
    <x v="8"/>
  </r>
  <r>
    <x v="19"/>
    <x v="9"/>
  </r>
  <r>
    <x v="20"/>
    <x v="16"/>
  </r>
  <r>
    <x v="20"/>
    <x v="10"/>
  </r>
  <r>
    <x v="20"/>
    <x v="1"/>
  </r>
  <r>
    <x v="20"/>
    <x v="8"/>
  </r>
  <r>
    <x v="20"/>
    <x v="25"/>
  </r>
  <r>
    <x v="20"/>
    <x v="16"/>
  </r>
  <r>
    <x v="21"/>
    <x v="10"/>
  </r>
  <r>
    <x v="21"/>
    <x v="16"/>
  </r>
  <r>
    <x v="21"/>
    <x v="8"/>
  </r>
  <r>
    <x v="21"/>
    <x v="1"/>
  </r>
  <r>
    <x v="21"/>
    <x v="9"/>
  </r>
  <r>
    <x v="21"/>
    <x v="3"/>
  </r>
  <r>
    <x v="22"/>
    <x v="10"/>
  </r>
  <r>
    <x v="22"/>
    <x v="16"/>
  </r>
  <r>
    <x v="22"/>
    <x v="8"/>
  </r>
  <r>
    <x v="22"/>
    <x v="3"/>
  </r>
  <r>
    <x v="22"/>
    <x v="4"/>
  </r>
  <r>
    <x v="22"/>
    <x v="9"/>
  </r>
  <r>
    <x v="22"/>
    <x v="26"/>
  </r>
  <r>
    <x v="23"/>
    <x v="10"/>
  </r>
  <r>
    <x v="23"/>
    <x v="8"/>
  </r>
  <r>
    <x v="23"/>
    <x v="16"/>
  </r>
  <r>
    <x v="23"/>
    <x v="3"/>
  </r>
  <r>
    <x v="23"/>
    <x v="4"/>
  </r>
  <r>
    <x v="23"/>
    <x v="26"/>
  </r>
  <r>
    <x v="23"/>
    <x v="9"/>
  </r>
  <r>
    <x v="23"/>
    <x v="1"/>
  </r>
  <r>
    <x v="24"/>
    <x v="16"/>
  </r>
  <r>
    <x v="24"/>
    <x v="8"/>
  </r>
  <r>
    <x v="24"/>
    <x v="17"/>
  </r>
  <r>
    <x v="24"/>
    <x v="10"/>
  </r>
  <r>
    <x v="24"/>
    <x v="9"/>
  </r>
  <r>
    <x v="24"/>
    <x v="8"/>
  </r>
  <r>
    <x v="24"/>
    <x v="16"/>
  </r>
  <r>
    <x v="25"/>
    <x v="10"/>
  </r>
  <r>
    <x v="25"/>
    <x v="16"/>
  </r>
  <r>
    <x v="25"/>
    <x v="1"/>
  </r>
  <r>
    <x v="25"/>
    <x v="8"/>
  </r>
  <r>
    <x v="25"/>
    <x v="3"/>
  </r>
  <r>
    <x v="25"/>
    <x v="26"/>
  </r>
  <r>
    <x v="25"/>
    <x v="9"/>
  </r>
  <r>
    <x v="25"/>
    <x v="4"/>
  </r>
  <r>
    <x v="26"/>
    <x v="8"/>
  </r>
  <r>
    <x v="26"/>
    <x v="17"/>
  </r>
  <r>
    <x v="26"/>
    <x v="16"/>
  </r>
  <r>
    <x v="26"/>
    <x v="10"/>
  </r>
  <r>
    <x v="26"/>
    <x v="9"/>
  </r>
  <r>
    <x v="26"/>
    <x v="3"/>
  </r>
  <r>
    <x v="26"/>
    <x v="8"/>
  </r>
  <r>
    <x v="27"/>
    <x v="8"/>
  </r>
  <r>
    <x v="27"/>
    <x v="10"/>
  </r>
  <r>
    <x v="27"/>
    <x v="16"/>
  </r>
  <r>
    <x v="27"/>
    <x v="3"/>
  </r>
  <r>
    <x v="27"/>
    <x v="8"/>
  </r>
  <r>
    <x v="27"/>
    <x v="9"/>
  </r>
  <r>
    <x v="27"/>
    <x v="4"/>
  </r>
  <r>
    <x v="28"/>
    <x v="8"/>
  </r>
  <r>
    <x v="28"/>
    <x v="10"/>
  </r>
  <r>
    <x v="28"/>
    <x v="17"/>
  </r>
  <r>
    <x v="28"/>
    <x v="4"/>
  </r>
  <r>
    <x v="28"/>
    <x v="9"/>
  </r>
  <r>
    <x v="28"/>
    <x v="3"/>
  </r>
  <r>
    <x v="28"/>
    <x v="8"/>
  </r>
  <r>
    <x v="29"/>
    <x v="8"/>
  </r>
  <r>
    <x v="29"/>
    <x v="10"/>
  </r>
  <r>
    <x v="29"/>
    <x v="3"/>
  </r>
  <r>
    <x v="29"/>
    <x v="16"/>
  </r>
  <r>
    <x v="29"/>
    <x v="4"/>
  </r>
  <r>
    <x v="29"/>
    <x v="9"/>
  </r>
  <r>
    <x v="29"/>
    <x v="8"/>
  </r>
  <r>
    <x v="29"/>
    <x v="26"/>
  </r>
  <r>
    <x v="30"/>
    <x v="17"/>
  </r>
  <r>
    <x v="30"/>
    <x v="8"/>
  </r>
  <r>
    <x v="30"/>
    <x v="4"/>
  </r>
  <r>
    <x v="30"/>
    <x v="3"/>
  </r>
  <r>
    <x v="30"/>
    <x v="10"/>
  </r>
  <r>
    <x v="30"/>
    <x v="13"/>
  </r>
  <r>
    <x v="30"/>
    <x v="9"/>
  </r>
  <r>
    <x v="31"/>
    <x v="3"/>
  </r>
  <r>
    <x v="31"/>
    <x v="8"/>
  </r>
  <r>
    <x v="31"/>
    <x v="26"/>
  </r>
  <r>
    <x v="31"/>
    <x v="4"/>
  </r>
  <r>
    <x v="31"/>
    <x v="5"/>
  </r>
  <r>
    <x v="31"/>
    <x v="17"/>
  </r>
  <r>
    <x v="31"/>
    <x v="9"/>
  </r>
  <r>
    <x v="32"/>
    <x v="7"/>
  </r>
  <r>
    <x v="32"/>
    <x v="1"/>
  </r>
  <r>
    <x v="32"/>
    <x v="10"/>
  </r>
  <r>
    <x v="32"/>
    <x v="0"/>
  </r>
  <r>
    <x v="32"/>
    <x v="16"/>
  </r>
  <r>
    <x v="32"/>
    <x v="9"/>
  </r>
  <r>
    <x v="32"/>
    <x v="4"/>
  </r>
  <r>
    <x v="33"/>
    <x v="10"/>
  </r>
  <r>
    <x v="33"/>
    <x v="1"/>
  </r>
  <r>
    <x v="33"/>
    <x v="7"/>
  </r>
  <r>
    <x v="33"/>
    <x v="16"/>
  </r>
  <r>
    <x v="33"/>
    <x v="0"/>
  </r>
  <r>
    <x v="33"/>
    <x v="9"/>
  </r>
  <r>
    <x v="33"/>
    <x v="4"/>
  </r>
  <r>
    <x v="33"/>
    <x v="8"/>
  </r>
  <r>
    <x v="33"/>
    <x v="10"/>
  </r>
  <r>
    <x v="34"/>
    <x v="10"/>
  </r>
  <r>
    <x v="34"/>
    <x v="1"/>
  </r>
  <r>
    <x v="34"/>
    <x v="16"/>
  </r>
  <r>
    <x v="34"/>
    <x v="7"/>
  </r>
  <r>
    <x v="34"/>
    <x v="0"/>
  </r>
  <r>
    <x v="34"/>
    <x v="8"/>
  </r>
  <r>
    <x v="34"/>
    <x v="9"/>
  </r>
  <r>
    <x v="34"/>
    <x v="4"/>
  </r>
  <r>
    <x v="35"/>
    <x v="26"/>
  </r>
  <r>
    <x v="35"/>
    <x v="10"/>
  </r>
  <r>
    <x v="35"/>
    <x v="3"/>
  </r>
  <r>
    <x v="35"/>
    <x v="5"/>
  </r>
  <r>
    <x v="35"/>
    <x v="8"/>
  </r>
  <r>
    <x v="35"/>
    <x v="9"/>
  </r>
  <r>
    <x v="35"/>
    <x v="4"/>
  </r>
  <r>
    <x v="36"/>
    <x v="4"/>
  </r>
  <r>
    <x v="36"/>
    <x v="16"/>
  </r>
  <r>
    <x v="36"/>
    <x v="1"/>
  </r>
  <r>
    <x v="36"/>
    <x v="27"/>
  </r>
  <r>
    <x v="36"/>
    <x v="5"/>
  </r>
  <r>
    <x v="36"/>
    <x v="26"/>
  </r>
  <r>
    <x v="36"/>
    <x v="28"/>
  </r>
  <r>
    <x v="36"/>
    <x v="10"/>
  </r>
  <r>
    <x v="36"/>
    <x v="13"/>
  </r>
  <r>
    <x v="36"/>
    <x v="4"/>
  </r>
  <r>
    <x v="37"/>
    <x v="16"/>
  </r>
  <r>
    <x v="37"/>
    <x v="19"/>
  </r>
  <r>
    <x v="37"/>
    <x v="13"/>
  </r>
  <r>
    <x v="37"/>
    <x v="9"/>
  </r>
  <r>
    <x v="37"/>
    <x v="8"/>
  </r>
  <r>
    <x v="37"/>
    <x v="3"/>
  </r>
  <r>
    <x v="38"/>
    <x v="4"/>
  </r>
  <r>
    <x v="38"/>
    <x v="17"/>
  </r>
  <r>
    <x v="38"/>
    <x v="3"/>
  </r>
  <r>
    <x v="38"/>
    <x v="8"/>
  </r>
  <r>
    <x v="38"/>
    <x v="13"/>
  </r>
  <r>
    <x v="38"/>
    <x v="9"/>
  </r>
  <r>
    <x v="38"/>
    <x v="4"/>
  </r>
  <r>
    <x v="39"/>
    <x v="26"/>
  </r>
  <r>
    <x v="39"/>
    <x v="5"/>
  </r>
  <r>
    <x v="39"/>
    <x v="3"/>
  </r>
  <r>
    <x v="39"/>
    <x v="10"/>
  </r>
  <r>
    <x v="39"/>
    <x v="4"/>
  </r>
  <r>
    <x v="39"/>
    <x v="9"/>
  </r>
  <r>
    <x v="40"/>
    <x v="26"/>
  </r>
  <r>
    <x v="40"/>
    <x v="3"/>
  </r>
  <r>
    <x v="40"/>
    <x v="5"/>
  </r>
  <r>
    <x v="40"/>
    <x v="10"/>
  </r>
  <r>
    <x v="40"/>
    <x v="4"/>
  </r>
  <r>
    <x v="40"/>
    <x v="9"/>
  </r>
  <r>
    <x v="41"/>
    <x v="10"/>
  </r>
  <r>
    <x v="41"/>
    <x v="1"/>
  </r>
  <r>
    <x v="41"/>
    <x v="7"/>
  </r>
  <r>
    <x v="41"/>
    <x v="26"/>
  </r>
  <r>
    <x v="41"/>
    <x v="3"/>
  </r>
  <r>
    <x v="41"/>
    <x v="29"/>
  </r>
  <r>
    <x v="41"/>
    <x v="30"/>
  </r>
  <r>
    <x v="41"/>
    <x v="4"/>
  </r>
  <r>
    <x v="41"/>
    <x v="9"/>
  </r>
  <r>
    <x v="42"/>
    <x v="19"/>
  </r>
  <r>
    <x v="42"/>
    <x v="16"/>
  </r>
  <r>
    <x v="42"/>
    <x v="13"/>
  </r>
  <r>
    <x v="42"/>
    <x v="20"/>
  </r>
  <r>
    <x v="43"/>
    <x v="17"/>
  </r>
  <r>
    <x v="43"/>
    <x v="16"/>
  </r>
  <r>
    <x v="43"/>
    <x v="13"/>
  </r>
  <r>
    <x v="43"/>
    <x v="8"/>
  </r>
  <r>
    <x v="44"/>
    <x v="17"/>
  </r>
  <r>
    <x v="44"/>
    <x v="4"/>
  </r>
  <r>
    <x v="44"/>
    <x v="13"/>
  </r>
  <r>
    <x v="44"/>
    <x v="11"/>
  </r>
  <r>
    <x v="44"/>
    <x v="9"/>
  </r>
  <r>
    <x v="44"/>
    <x v="3"/>
  </r>
  <r>
    <x v="45"/>
    <x v="10"/>
  </r>
  <r>
    <x v="45"/>
    <x v="8"/>
  </r>
  <r>
    <x v="45"/>
    <x v="16"/>
  </r>
  <r>
    <x v="45"/>
    <x v="3"/>
  </r>
  <r>
    <x v="45"/>
    <x v="26"/>
  </r>
  <r>
    <x v="45"/>
    <x v="9"/>
  </r>
  <r>
    <x v="45"/>
    <x v="1"/>
  </r>
  <r>
    <x v="46"/>
    <x v="10"/>
  </r>
  <r>
    <x v="46"/>
    <x v="16"/>
  </r>
  <r>
    <x v="46"/>
    <x v="1"/>
  </r>
  <r>
    <x v="46"/>
    <x v="8"/>
  </r>
  <r>
    <x v="46"/>
    <x v="9"/>
  </r>
  <r>
    <x v="46"/>
    <x v="26"/>
  </r>
  <r>
    <x v="47"/>
    <x v="8"/>
  </r>
  <r>
    <x v="47"/>
    <x v="10"/>
  </r>
  <r>
    <x v="47"/>
    <x v="17"/>
  </r>
  <r>
    <x v="47"/>
    <x v="8"/>
  </r>
  <r>
    <x v="47"/>
    <x v="9"/>
  </r>
  <r>
    <x v="47"/>
    <x v="3"/>
  </r>
  <r>
    <x v="48"/>
    <x v="8"/>
  </r>
  <r>
    <x v="48"/>
    <x v="10"/>
  </r>
  <r>
    <x v="48"/>
    <x v="3"/>
  </r>
  <r>
    <x v="48"/>
    <x v="8"/>
  </r>
  <r>
    <x v="48"/>
    <x v="9"/>
  </r>
  <r>
    <x v="48"/>
    <x v="4"/>
  </r>
  <r>
    <x v="48"/>
    <x v="8"/>
  </r>
  <r>
    <x v="49"/>
    <x v="8"/>
  </r>
  <r>
    <x v="49"/>
    <x v="17"/>
  </r>
  <r>
    <x v="49"/>
    <x v="3"/>
  </r>
  <r>
    <x v="49"/>
    <x v="10"/>
  </r>
  <r>
    <x v="49"/>
    <x v="4"/>
  </r>
  <r>
    <x v="49"/>
    <x v="9"/>
  </r>
  <r>
    <x v="49"/>
    <x v="8"/>
  </r>
  <r>
    <x v="50"/>
    <x v="8"/>
  </r>
  <r>
    <x v="50"/>
    <x v="10"/>
  </r>
  <r>
    <x v="50"/>
    <x v="3"/>
  </r>
  <r>
    <x v="50"/>
    <x v="8"/>
  </r>
  <r>
    <x v="50"/>
    <x v="17"/>
  </r>
  <r>
    <x v="50"/>
    <x v="9"/>
  </r>
  <r>
    <x v="50"/>
    <x v="4"/>
  </r>
  <r>
    <x v="51"/>
    <x v="0"/>
  </r>
  <r>
    <x v="51"/>
    <x v="1"/>
  </r>
  <r>
    <x v="51"/>
    <x v="2"/>
  </r>
  <r>
    <x v="52"/>
    <x v="19"/>
  </r>
  <r>
    <x v="52"/>
    <x v="11"/>
  </r>
  <r>
    <x v="52"/>
    <x v="13"/>
  </r>
  <r>
    <x v="53"/>
    <x v="16"/>
  </r>
  <r>
    <x v="53"/>
    <x v="1"/>
  </r>
  <r>
    <x v="54"/>
    <x v="1"/>
  </r>
  <r>
    <x v="54"/>
    <x v="11"/>
  </r>
  <r>
    <x v="54"/>
    <x v="16"/>
  </r>
  <r>
    <x v="54"/>
    <x v="9"/>
  </r>
  <r>
    <x v="54"/>
    <x v="12"/>
  </r>
  <r>
    <x v="54"/>
    <x v="22"/>
  </r>
  <r>
    <x v="54"/>
    <x v="20"/>
  </r>
  <r>
    <x v="54"/>
    <x v="31"/>
  </r>
  <r>
    <x v="54"/>
    <x v="4"/>
  </r>
  <r>
    <x v="54"/>
    <x v="32"/>
  </r>
  <r>
    <x v="54"/>
    <x v="33"/>
  </r>
  <r>
    <x v="54"/>
    <x v="2"/>
  </r>
  <r>
    <x v="54"/>
    <x v="0"/>
  </r>
  <r>
    <x v="55"/>
    <x v="11"/>
  </r>
  <r>
    <x v="55"/>
    <x v="1"/>
  </r>
  <r>
    <x v="55"/>
    <x v="16"/>
  </r>
  <r>
    <x v="55"/>
    <x v="16"/>
  </r>
  <r>
    <x v="55"/>
    <x v="9"/>
  </r>
  <r>
    <x v="55"/>
    <x v="12"/>
  </r>
  <r>
    <x v="55"/>
    <x v="22"/>
  </r>
  <r>
    <x v="55"/>
    <x v="20"/>
  </r>
  <r>
    <x v="55"/>
    <x v="4"/>
  </r>
  <r>
    <x v="55"/>
    <x v="31"/>
  </r>
  <r>
    <x v="55"/>
    <x v="32"/>
  </r>
  <r>
    <x v="55"/>
    <x v="34"/>
  </r>
  <r>
    <x v="55"/>
    <x v="35"/>
  </r>
  <r>
    <x v="55"/>
    <x v="2"/>
  </r>
  <r>
    <x v="55"/>
    <x v="0"/>
  </r>
  <r>
    <x v="56"/>
    <x v="22"/>
  </r>
  <r>
    <x v="56"/>
    <x v="36"/>
  </r>
  <r>
    <x v="56"/>
    <x v="20"/>
  </r>
  <r>
    <x v="56"/>
    <x v="12"/>
  </r>
  <r>
    <x v="56"/>
    <x v="21"/>
  </r>
  <r>
    <x v="56"/>
    <x v="19"/>
  </r>
  <r>
    <x v="56"/>
    <x v="9"/>
  </r>
  <r>
    <x v="57"/>
    <x v="12"/>
  </r>
  <r>
    <x v="57"/>
    <x v="9"/>
  </r>
  <r>
    <x v="57"/>
    <x v="20"/>
  </r>
  <r>
    <x v="57"/>
    <x v="22"/>
  </r>
  <r>
    <x v="57"/>
    <x v="19"/>
  </r>
  <r>
    <x v="57"/>
    <x v="12"/>
  </r>
  <r>
    <x v="58"/>
    <x v="12"/>
  </r>
  <r>
    <x v="58"/>
    <x v="22"/>
  </r>
  <r>
    <x v="58"/>
    <x v="20"/>
  </r>
  <r>
    <x v="58"/>
    <x v="9"/>
  </r>
  <r>
    <x v="58"/>
    <x v="19"/>
  </r>
  <r>
    <x v="58"/>
    <x v="24"/>
  </r>
  <r>
    <x v="58"/>
    <x v="12"/>
  </r>
  <r>
    <x v="59"/>
    <x v="12"/>
  </r>
  <r>
    <x v="59"/>
    <x v="20"/>
  </r>
  <r>
    <x v="59"/>
    <x v="22"/>
  </r>
  <r>
    <x v="59"/>
    <x v="9"/>
  </r>
  <r>
    <x v="59"/>
    <x v="19"/>
  </r>
  <r>
    <x v="59"/>
    <x v="24"/>
  </r>
  <r>
    <x v="59"/>
    <x v="12"/>
  </r>
  <r>
    <x v="60"/>
    <x v="22"/>
  </r>
  <r>
    <x v="60"/>
    <x v="12"/>
  </r>
  <r>
    <x v="60"/>
    <x v="36"/>
  </r>
  <r>
    <x v="60"/>
    <x v="20"/>
  </r>
  <r>
    <x v="60"/>
    <x v="19"/>
  </r>
  <r>
    <x v="60"/>
    <x v="9"/>
  </r>
  <r>
    <x v="61"/>
    <x v="12"/>
  </r>
  <r>
    <x v="61"/>
    <x v="31"/>
  </r>
  <r>
    <x v="61"/>
    <x v="20"/>
  </r>
  <r>
    <x v="61"/>
    <x v="9"/>
  </r>
  <r>
    <x v="61"/>
    <x v="19"/>
  </r>
  <r>
    <x v="61"/>
    <x v="22"/>
  </r>
  <r>
    <x v="61"/>
    <x v="12"/>
  </r>
  <r>
    <x v="62"/>
    <x v="12"/>
  </r>
  <r>
    <x v="62"/>
    <x v="9"/>
  </r>
  <r>
    <x v="62"/>
    <x v="20"/>
  </r>
  <r>
    <x v="62"/>
    <x v="19"/>
  </r>
  <r>
    <x v="62"/>
    <x v="12"/>
  </r>
  <r>
    <x v="63"/>
    <x v="12"/>
  </r>
  <r>
    <x v="63"/>
    <x v="20"/>
  </r>
  <r>
    <x v="63"/>
    <x v="15"/>
  </r>
  <r>
    <x v="63"/>
    <x v="37"/>
  </r>
  <r>
    <x v="63"/>
    <x v="24"/>
  </r>
  <r>
    <x v="63"/>
    <x v="38"/>
  </r>
  <r>
    <x v="63"/>
    <x v="19"/>
  </r>
  <r>
    <x v="64"/>
    <x v="20"/>
  </r>
  <r>
    <x v="64"/>
    <x v="12"/>
  </r>
  <r>
    <x v="64"/>
    <x v="15"/>
  </r>
  <r>
    <x v="64"/>
    <x v="24"/>
  </r>
  <r>
    <x v="64"/>
    <x v="22"/>
  </r>
  <r>
    <x v="64"/>
    <x v="9"/>
  </r>
  <r>
    <x v="64"/>
    <x v="19"/>
  </r>
  <r>
    <x v="64"/>
    <x v="20"/>
  </r>
  <r>
    <x v="65"/>
    <x v="12"/>
  </r>
  <r>
    <x v="65"/>
    <x v="20"/>
  </r>
  <r>
    <x v="65"/>
    <x v="9"/>
  </r>
  <r>
    <x v="65"/>
    <x v="22"/>
  </r>
  <r>
    <x v="65"/>
    <x v="19"/>
  </r>
  <r>
    <x v="65"/>
    <x v="24"/>
  </r>
  <r>
    <x v="65"/>
    <x v="12"/>
  </r>
  <r>
    <x v="66"/>
    <x v="12"/>
  </r>
  <r>
    <x v="66"/>
    <x v="20"/>
  </r>
  <r>
    <x v="66"/>
    <x v="9"/>
  </r>
  <r>
    <x v="66"/>
    <x v="22"/>
  </r>
  <r>
    <x v="66"/>
    <x v="19"/>
  </r>
  <r>
    <x v="66"/>
    <x v="24"/>
  </r>
  <r>
    <x v="66"/>
    <x v="12"/>
  </r>
  <r>
    <x v="67"/>
    <x v="12"/>
  </r>
  <r>
    <x v="67"/>
    <x v="9"/>
  </r>
  <r>
    <x v="67"/>
    <x v="20"/>
  </r>
  <r>
    <x v="67"/>
    <x v="19"/>
  </r>
  <r>
    <x v="67"/>
    <x v="12"/>
  </r>
  <r>
    <x v="68"/>
    <x v="12"/>
  </r>
  <r>
    <x v="68"/>
    <x v="9"/>
  </r>
  <r>
    <x v="68"/>
    <x v="20"/>
  </r>
  <r>
    <x v="68"/>
    <x v="19"/>
  </r>
  <r>
    <x v="68"/>
    <x v="12"/>
  </r>
  <r>
    <x v="69"/>
    <x v="20"/>
  </r>
  <r>
    <x v="69"/>
    <x v="12"/>
  </r>
  <r>
    <x v="69"/>
    <x v="24"/>
  </r>
  <r>
    <x v="69"/>
    <x v="21"/>
  </r>
  <r>
    <x v="69"/>
    <x v="9"/>
  </r>
  <r>
    <x v="69"/>
    <x v="19"/>
  </r>
  <r>
    <x v="69"/>
    <x v="20"/>
  </r>
  <r>
    <x v="70"/>
    <x v="12"/>
  </r>
  <r>
    <x v="70"/>
    <x v="9"/>
  </r>
  <r>
    <x v="70"/>
    <x v="20"/>
  </r>
  <r>
    <x v="70"/>
    <x v="19"/>
  </r>
  <r>
    <x v="70"/>
    <x v="12"/>
  </r>
  <r>
    <x v="71"/>
    <x v="12"/>
  </r>
  <r>
    <x v="71"/>
    <x v="9"/>
  </r>
  <r>
    <x v="71"/>
    <x v="20"/>
  </r>
  <r>
    <x v="71"/>
    <x v="19"/>
  </r>
  <r>
    <x v="71"/>
    <x v="12"/>
  </r>
  <r>
    <x v="72"/>
    <x v="12"/>
  </r>
  <r>
    <x v="72"/>
    <x v="9"/>
  </r>
  <r>
    <x v="72"/>
    <x v="20"/>
  </r>
  <r>
    <x v="72"/>
    <x v="19"/>
  </r>
  <r>
    <x v="72"/>
    <x v="12"/>
  </r>
  <r>
    <x v="73"/>
    <x v="22"/>
  </r>
  <r>
    <x v="73"/>
    <x v="12"/>
  </r>
  <r>
    <x v="73"/>
    <x v="20"/>
  </r>
  <r>
    <x v="73"/>
    <x v="36"/>
  </r>
  <r>
    <x v="73"/>
    <x v="19"/>
  </r>
  <r>
    <x v="73"/>
    <x v="9"/>
  </r>
  <r>
    <x v="73"/>
    <x v="21"/>
  </r>
  <r>
    <x v="74"/>
    <x v="22"/>
  </r>
  <r>
    <x v="74"/>
    <x v="36"/>
  </r>
  <r>
    <x v="74"/>
    <x v="20"/>
  </r>
  <r>
    <x v="74"/>
    <x v="12"/>
  </r>
  <r>
    <x v="74"/>
    <x v="21"/>
  </r>
  <r>
    <x v="74"/>
    <x v="19"/>
  </r>
  <r>
    <x v="74"/>
    <x v="22"/>
  </r>
  <r>
    <x v="75"/>
    <x v="22"/>
  </r>
  <r>
    <x v="75"/>
    <x v="36"/>
  </r>
  <r>
    <x v="75"/>
    <x v="12"/>
  </r>
  <r>
    <x v="75"/>
    <x v="20"/>
  </r>
  <r>
    <x v="75"/>
    <x v="19"/>
  </r>
  <r>
    <x v="75"/>
    <x v="9"/>
  </r>
  <r>
    <x v="76"/>
    <x v="22"/>
  </r>
  <r>
    <x v="76"/>
    <x v="36"/>
  </r>
  <r>
    <x v="76"/>
    <x v="12"/>
  </r>
  <r>
    <x v="76"/>
    <x v="20"/>
  </r>
  <r>
    <x v="76"/>
    <x v="19"/>
  </r>
  <r>
    <x v="76"/>
    <x v="9"/>
  </r>
  <r>
    <x v="77"/>
    <x v="22"/>
  </r>
  <r>
    <x v="77"/>
    <x v="36"/>
  </r>
  <r>
    <x v="77"/>
    <x v="12"/>
  </r>
  <r>
    <x v="77"/>
    <x v="20"/>
  </r>
  <r>
    <x v="77"/>
    <x v="19"/>
  </r>
  <r>
    <x v="77"/>
    <x v="9"/>
  </r>
  <r>
    <x v="78"/>
    <x v="22"/>
  </r>
  <r>
    <x v="78"/>
    <x v="12"/>
  </r>
  <r>
    <x v="78"/>
    <x v="19"/>
  </r>
  <r>
    <x v="78"/>
    <x v="20"/>
  </r>
  <r>
    <x v="79"/>
    <x v="12"/>
  </r>
  <r>
    <x v="79"/>
    <x v="11"/>
  </r>
  <r>
    <x v="79"/>
    <x v="22"/>
  </r>
  <r>
    <x v="79"/>
    <x v="19"/>
  </r>
  <r>
    <x v="80"/>
    <x v="12"/>
  </r>
  <r>
    <x v="80"/>
    <x v="22"/>
  </r>
  <r>
    <x v="80"/>
    <x v="11"/>
  </r>
  <r>
    <x v="80"/>
    <x v="19"/>
  </r>
  <r>
    <x v="81"/>
    <x v="12"/>
  </r>
  <r>
    <x v="81"/>
    <x v="11"/>
  </r>
  <r>
    <x v="81"/>
    <x v="22"/>
  </r>
  <r>
    <x v="81"/>
    <x v="1"/>
  </r>
  <r>
    <x v="82"/>
    <x v="12"/>
  </r>
  <r>
    <x v="82"/>
    <x v="11"/>
  </r>
  <r>
    <x v="82"/>
    <x v="1"/>
  </r>
  <r>
    <x v="82"/>
    <x v="22"/>
  </r>
  <r>
    <x v="83"/>
    <x v="12"/>
  </r>
  <r>
    <x v="83"/>
    <x v="11"/>
  </r>
  <r>
    <x v="83"/>
    <x v="22"/>
  </r>
  <r>
    <x v="84"/>
    <x v="12"/>
  </r>
  <r>
    <x v="84"/>
    <x v="11"/>
  </r>
  <r>
    <x v="84"/>
    <x v="22"/>
  </r>
  <r>
    <x v="85"/>
    <x v="22"/>
  </r>
  <r>
    <x v="85"/>
    <x v="12"/>
  </r>
  <r>
    <x v="85"/>
    <x v="36"/>
  </r>
  <r>
    <x v="85"/>
    <x v="11"/>
  </r>
  <r>
    <x v="86"/>
    <x v="12"/>
  </r>
  <r>
    <x v="86"/>
    <x v="11"/>
  </r>
  <r>
    <x v="86"/>
    <x v="22"/>
  </r>
  <r>
    <x v="87"/>
    <x v="12"/>
  </r>
  <r>
    <x v="87"/>
    <x v="11"/>
  </r>
  <r>
    <x v="87"/>
    <x v="22"/>
  </r>
  <r>
    <x v="88"/>
    <x v="12"/>
  </r>
  <r>
    <x v="88"/>
    <x v="11"/>
  </r>
  <r>
    <x v="88"/>
    <x v="22"/>
  </r>
  <r>
    <x v="89"/>
    <x v="20"/>
  </r>
  <r>
    <x v="89"/>
    <x v="21"/>
  </r>
  <r>
    <x v="89"/>
    <x v="12"/>
  </r>
  <r>
    <x v="89"/>
    <x v="24"/>
  </r>
  <r>
    <x v="89"/>
    <x v="22"/>
  </r>
  <r>
    <x v="89"/>
    <x v="19"/>
  </r>
  <r>
    <x v="89"/>
    <x v="9"/>
  </r>
  <r>
    <x v="90"/>
    <x v="39"/>
  </r>
  <r>
    <x v="90"/>
    <x v="21"/>
  </r>
  <r>
    <x v="90"/>
    <x v="36"/>
  </r>
  <r>
    <x v="90"/>
    <x v="20"/>
  </r>
  <r>
    <x v="90"/>
    <x v="19"/>
  </r>
  <r>
    <x v="90"/>
    <x v="9"/>
  </r>
  <r>
    <x v="91"/>
    <x v="39"/>
  </r>
  <r>
    <x v="91"/>
    <x v="20"/>
  </r>
  <r>
    <x v="91"/>
    <x v="21"/>
  </r>
  <r>
    <x v="91"/>
    <x v="19"/>
  </r>
  <r>
    <x v="91"/>
    <x v="24"/>
  </r>
  <r>
    <x v="91"/>
    <x v="9"/>
  </r>
  <r>
    <x v="92"/>
    <x v="39"/>
  </r>
  <r>
    <x v="92"/>
    <x v="24"/>
  </r>
  <r>
    <x v="92"/>
    <x v="20"/>
  </r>
  <r>
    <x v="92"/>
    <x v="19"/>
  </r>
  <r>
    <x v="92"/>
    <x v="9"/>
  </r>
  <r>
    <x v="92"/>
    <x v="21"/>
  </r>
  <r>
    <x v="93"/>
    <x v="24"/>
  </r>
  <r>
    <x v="93"/>
    <x v="38"/>
  </r>
  <r>
    <x v="93"/>
    <x v="39"/>
  </r>
  <r>
    <x v="93"/>
    <x v="20"/>
  </r>
  <r>
    <x v="93"/>
    <x v="21"/>
  </r>
  <r>
    <x v="93"/>
    <x v="9"/>
  </r>
  <r>
    <x v="93"/>
    <x v="19"/>
  </r>
  <r>
    <x v="93"/>
    <x v="12"/>
  </r>
  <r>
    <x v="93"/>
    <x v="22"/>
  </r>
  <r>
    <x v="94"/>
    <x v="20"/>
  </r>
  <r>
    <x v="94"/>
    <x v="21"/>
  </r>
  <r>
    <x v="94"/>
    <x v="12"/>
  </r>
  <r>
    <x v="94"/>
    <x v="24"/>
  </r>
  <r>
    <x v="94"/>
    <x v="22"/>
  </r>
  <r>
    <x v="94"/>
    <x v="19"/>
  </r>
  <r>
    <x v="94"/>
    <x v="9"/>
  </r>
  <r>
    <x v="95"/>
    <x v="21"/>
  </r>
  <r>
    <x v="95"/>
    <x v="20"/>
  </r>
  <r>
    <x v="95"/>
    <x v="12"/>
  </r>
  <r>
    <x v="95"/>
    <x v="36"/>
  </r>
  <r>
    <x v="95"/>
    <x v="24"/>
  </r>
  <r>
    <x v="95"/>
    <x v="19"/>
  </r>
  <r>
    <x v="95"/>
    <x v="9"/>
  </r>
  <r>
    <x v="95"/>
    <x v="21"/>
  </r>
  <r>
    <x v="96"/>
    <x v="21"/>
  </r>
  <r>
    <x v="96"/>
    <x v="36"/>
  </r>
  <r>
    <x v="96"/>
    <x v="20"/>
  </r>
  <r>
    <x v="96"/>
    <x v="39"/>
  </r>
  <r>
    <x v="96"/>
    <x v="12"/>
  </r>
  <r>
    <x v="96"/>
    <x v="19"/>
  </r>
  <r>
    <x v="96"/>
    <x v="24"/>
  </r>
  <r>
    <x v="97"/>
    <x v="21"/>
  </r>
  <r>
    <x v="97"/>
    <x v="36"/>
  </r>
  <r>
    <x v="97"/>
    <x v="39"/>
  </r>
  <r>
    <x v="97"/>
    <x v="20"/>
  </r>
  <r>
    <x v="97"/>
    <x v="12"/>
  </r>
  <r>
    <x v="97"/>
    <x v="19"/>
  </r>
  <r>
    <x v="97"/>
    <x v="24"/>
  </r>
  <r>
    <x v="97"/>
    <x v="21"/>
  </r>
  <r>
    <x v="98"/>
    <x v="39"/>
  </r>
  <r>
    <x v="98"/>
    <x v="24"/>
  </r>
  <r>
    <x v="98"/>
    <x v="36"/>
  </r>
  <r>
    <x v="98"/>
    <x v="21"/>
  </r>
  <r>
    <x v="98"/>
    <x v="20"/>
  </r>
  <r>
    <x v="98"/>
    <x v="19"/>
  </r>
  <r>
    <x v="98"/>
    <x v="9"/>
  </r>
  <r>
    <x v="98"/>
    <x v="39"/>
  </r>
  <r>
    <x v="99"/>
    <x v="13"/>
  </r>
  <r>
    <x v="99"/>
    <x v="9"/>
  </r>
  <r>
    <x v="99"/>
    <x v="19"/>
  </r>
  <r>
    <x v="99"/>
    <x v="28"/>
  </r>
  <r>
    <x v="100"/>
    <x v="13"/>
  </r>
  <r>
    <x v="100"/>
    <x v="9"/>
  </r>
  <r>
    <x v="100"/>
    <x v="4"/>
  </r>
  <r>
    <x v="100"/>
    <x v="19"/>
  </r>
  <r>
    <x v="100"/>
    <x v="28"/>
  </r>
  <r>
    <x v="101"/>
    <x v="13"/>
  </r>
  <r>
    <x v="101"/>
    <x v="4"/>
  </r>
  <r>
    <x v="101"/>
    <x v="9"/>
  </r>
  <r>
    <x v="101"/>
    <x v="17"/>
  </r>
  <r>
    <x v="101"/>
    <x v="28"/>
  </r>
  <r>
    <x v="102"/>
    <x v="28"/>
  </r>
  <r>
    <x v="102"/>
    <x v="4"/>
  </r>
  <r>
    <x v="102"/>
    <x v="13"/>
  </r>
  <r>
    <x v="102"/>
    <x v="6"/>
  </r>
  <r>
    <x v="102"/>
    <x v="40"/>
  </r>
  <r>
    <x v="103"/>
    <x v="9"/>
  </r>
  <r>
    <x v="103"/>
    <x v="40"/>
  </r>
  <r>
    <x v="103"/>
    <x v="18"/>
  </r>
  <r>
    <x v="103"/>
    <x v="13"/>
  </r>
  <r>
    <x v="104"/>
    <x v="9"/>
  </r>
  <r>
    <x v="104"/>
    <x v="40"/>
  </r>
  <r>
    <x v="104"/>
    <x v="18"/>
  </r>
  <r>
    <x v="104"/>
    <x v="9"/>
  </r>
  <r>
    <x v="105"/>
    <x v="9"/>
  </r>
  <r>
    <x v="105"/>
    <x v="40"/>
  </r>
  <r>
    <x v="105"/>
    <x v="13"/>
  </r>
  <r>
    <x v="105"/>
    <x v="18"/>
  </r>
  <r>
    <x v="106"/>
    <x v="40"/>
  </r>
  <r>
    <x v="106"/>
    <x v="9"/>
  </r>
  <r>
    <x v="106"/>
    <x v="13"/>
  </r>
  <r>
    <x v="106"/>
    <x v="18"/>
  </r>
  <r>
    <x v="106"/>
    <x v="9"/>
  </r>
  <r>
    <x v="107"/>
    <x v="9"/>
  </r>
  <r>
    <x v="107"/>
    <x v="40"/>
  </r>
  <r>
    <x v="107"/>
    <x v="18"/>
  </r>
  <r>
    <x v="107"/>
    <x v="9"/>
  </r>
  <r>
    <x v="108"/>
    <x v="18"/>
  </r>
  <r>
    <x v="108"/>
    <x v="9"/>
  </r>
  <r>
    <x v="108"/>
    <x v="40"/>
  </r>
  <r>
    <x v="108"/>
    <x v="35"/>
  </r>
  <r>
    <x v="108"/>
    <x v="23"/>
  </r>
  <r>
    <x v="108"/>
    <x v="18"/>
  </r>
  <r>
    <x v="109"/>
    <x v="18"/>
  </r>
  <r>
    <x v="109"/>
    <x v="35"/>
  </r>
  <r>
    <x v="109"/>
    <x v="23"/>
  </r>
  <r>
    <x v="109"/>
    <x v="9"/>
  </r>
  <r>
    <x v="109"/>
    <x v="6"/>
  </r>
  <r>
    <x v="109"/>
    <x v="18"/>
  </r>
  <r>
    <x v="110"/>
    <x v="18"/>
  </r>
  <r>
    <x v="110"/>
    <x v="23"/>
  </r>
  <r>
    <x v="110"/>
    <x v="35"/>
  </r>
  <r>
    <x v="110"/>
    <x v="9"/>
  </r>
  <r>
    <x v="110"/>
    <x v="18"/>
  </r>
  <r>
    <x v="111"/>
    <x v="23"/>
  </r>
  <r>
    <x v="111"/>
    <x v="35"/>
  </r>
  <r>
    <x v="111"/>
    <x v="9"/>
  </r>
  <r>
    <x v="111"/>
    <x v="6"/>
  </r>
  <r>
    <x v="111"/>
    <x v="31"/>
  </r>
  <r>
    <x v="111"/>
    <x v="16"/>
  </r>
  <r>
    <x v="111"/>
    <x v="23"/>
  </r>
  <r>
    <x v="112"/>
    <x v="35"/>
  </r>
  <r>
    <x v="112"/>
    <x v="6"/>
  </r>
  <r>
    <x v="112"/>
    <x v="23"/>
  </r>
  <r>
    <x v="112"/>
    <x v="27"/>
  </r>
  <r>
    <x v="112"/>
    <x v="9"/>
  </r>
  <r>
    <x v="112"/>
    <x v="31"/>
  </r>
  <r>
    <x v="113"/>
    <x v="35"/>
  </r>
  <r>
    <x v="113"/>
    <x v="6"/>
  </r>
  <r>
    <x v="113"/>
    <x v="23"/>
  </r>
  <r>
    <x v="113"/>
    <x v="27"/>
  </r>
  <r>
    <x v="113"/>
    <x v="31"/>
  </r>
  <r>
    <x v="114"/>
    <x v="35"/>
  </r>
  <r>
    <x v="114"/>
    <x v="6"/>
  </r>
  <r>
    <x v="114"/>
    <x v="18"/>
  </r>
  <r>
    <x v="114"/>
    <x v="23"/>
  </r>
  <r>
    <x v="114"/>
    <x v="27"/>
  </r>
  <r>
    <x v="114"/>
    <x v="31"/>
  </r>
  <r>
    <x v="115"/>
    <x v="13"/>
  </r>
  <r>
    <x v="115"/>
    <x v="28"/>
  </r>
  <r>
    <x v="115"/>
    <x v="40"/>
  </r>
  <r>
    <x v="115"/>
    <x v="4"/>
  </r>
  <r>
    <x v="115"/>
    <x v="9"/>
  </r>
  <r>
    <x v="116"/>
    <x v="9"/>
  </r>
  <r>
    <x v="116"/>
    <x v="40"/>
  </r>
  <r>
    <x v="116"/>
    <x v="18"/>
  </r>
  <r>
    <x v="116"/>
    <x v="13"/>
  </r>
  <r>
    <x v="116"/>
    <x v="9"/>
  </r>
  <r>
    <x v="117"/>
    <x v="9"/>
  </r>
  <r>
    <x v="117"/>
    <x v="40"/>
  </r>
  <r>
    <x v="117"/>
    <x v="18"/>
  </r>
  <r>
    <x v="117"/>
    <x v="13"/>
  </r>
  <r>
    <x v="117"/>
    <x v="9"/>
  </r>
  <r>
    <x v="118"/>
    <x v="40"/>
  </r>
  <r>
    <x v="118"/>
    <x v="9"/>
  </r>
  <r>
    <x v="118"/>
    <x v="13"/>
  </r>
  <r>
    <x v="118"/>
    <x v="18"/>
  </r>
  <r>
    <x v="118"/>
    <x v="9"/>
  </r>
  <r>
    <x v="119"/>
    <x v="40"/>
  </r>
  <r>
    <x v="119"/>
    <x v="13"/>
  </r>
  <r>
    <x v="119"/>
    <x v="9"/>
  </r>
  <r>
    <x v="119"/>
    <x v="18"/>
  </r>
  <r>
    <x v="119"/>
    <x v="40"/>
  </r>
  <r>
    <x v="120"/>
    <x v="9"/>
  </r>
  <r>
    <x v="120"/>
    <x v="40"/>
  </r>
  <r>
    <x v="120"/>
    <x v="13"/>
  </r>
  <r>
    <x v="120"/>
    <x v="18"/>
  </r>
  <r>
    <x v="121"/>
    <x v="9"/>
  </r>
  <r>
    <x v="121"/>
    <x v="40"/>
  </r>
  <r>
    <x v="121"/>
    <x v="18"/>
  </r>
  <r>
    <x v="122"/>
    <x v="9"/>
  </r>
  <r>
    <x v="122"/>
    <x v="40"/>
  </r>
  <r>
    <x v="122"/>
    <x v="18"/>
  </r>
  <r>
    <x v="123"/>
    <x v="9"/>
  </r>
  <r>
    <x v="123"/>
    <x v="40"/>
  </r>
  <r>
    <x v="123"/>
    <x v="18"/>
  </r>
  <r>
    <x v="124"/>
    <x v="9"/>
  </r>
  <r>
    <x v="124"/>
    <x v="40"/>
  </r>
  <r>
    <x v="124"/>
    <x v="18"/>
  </r>
  <r>
    <x v="124"/>
    <x v="9"/>
  </r>
  <r>
    <x v="125"/>
    <x v="18"/>
  </r>
  <r>
    <x v="125"/>
    <x v="9"/>
  </r>
  <r>
    <x v="125"/>
    <x v="35"/>
  </r>
  <r>
    <x v="125"/>
    <x v="23"/>
  </r>
  <r>
    <x v="125"/>
    <x v="18"/>
  </r>
  <r>
    <x v="126"/>
    <x v="18"/>
  </r>
  <r>
    <x v="126"/>
    <x v="40"/>
  </r>
  <r>
    <x v="126"/>
    <x v="35"/>
  </r>
  <r>
    <x v="126"/>
    <x v="9"/>
  </r>
  <r>
    <x v="126"/>
    <x v="23"/>
  </r>
  <r>
    <x v="126"/>
    <x v="18"/>
  </r>
  <r>
    <x v="127"/>
    <x v="18"/>
  </r>
  <r>
    <x v="127"/>
    <x v="9"/>
  </r>
  <r>
    <x v="127"/>
    <x v="35"/>
  </r>
  <r>
    <x v="127"/>
    <x v="23"/>
  </r>
  <r>
    <x v="127"/>
    <x v="18"/>
  </r>
  <r>
    <x v="128"/>
    <x v="18"/>
  </r>
  <r>
    <x v="128"/>
    <x v="9"/>
  </r>
  <r>
    <x v="128"/>
    <x v="19"/>
  </r>
  <r>
    <x v="128"/>
    <x v="23"/>
  </r>
  <r>
    <x v="128"/>
    <x v="35"/>
  </r>
  <r>
    <x v="128"/>
    <x v="18"/>
  </r>
  <r>
    <x v="129"/>
    <x v="23"/>
  </r>
  <r>
    <x v="129"/>
    <x v="35"/>
  </r>
  <r>
    <x v="129"/>
    <x v="18"/>
  </r>
  <r>
    <x v="129"/>
    <x v="6"/>
  </r>
  <r>
    <x v="129"/>
    <x v="31"/>
  </r>
  <r>
    <x v="129"/>
    <x v="23"/>
  </r>
  <r>
    <x v="130"/>
    <x v="12"/>
  </r>
  <r>
    <x v="130"/>
    <x v="9"/>
  </r>
  <r>
    <x v="130"/>
    <x v="13"/>
  </r>
  <r>
    <x v="130"/>
    <x v="18"/>
  </r>
  <r>
    <x v="130"/>
    <x v="9"/>
  </r>
  <r>
    <x v="131"/>
    <x v="12"/>
  </r>
  <r>
    <x v="131"/>
    <x v="18"/>
  </r>
  <r>
    <x v="131"/>
    <x v="9"/>
  </r>
  <r>
    <x v="131"/>
    <x v="23"/>
  </r>
  <r>
    <x v="131"/>
    <x v="18"/>
  </r>
  <r>
    <x v="132"/>
    <x v="23"/>
  </r>
  <r>
    <x v="132"/>
    <x v="18"/>
  </r>
  <r>
    <x v="132"/>
    <x v="35"/>
  </r>
  <r>
    <x v="132"/>
    <x v="16"/>
  </r>
  <r>
    <x v="132"/>
    <x v="9"/>
  </r>
  <r>
    <x v="132"/>
    <x v="23"/>
  </r>
  <r>
    <x v="133"/>
    <x v="23"/>
  </r>
  <r>
    <x v="133"/>
    <x v="35"/>
  </r>
  <r>
    <x v="133"/>
    <x v="18"/>
  </r>
  <r>
    <x v="133"/>
    <x v="23"/>
  </r>
  <r>
    <x v="134"/>
    <x v="23"/>
  </r>
  <r>
    <x v="134"/>
    <x v="35"/>
  </r>
  <r>
    <x v="134"/>
    <x v="18"/>
  </r>
  <r>
    <x v="134"/>
    <x v="9"/>
  </r>
  <r>
    <x v="135"/>
    <x v="23"/>
  </r>
  <r>
    <x v="135"/>
    <x v="35"/>
  </r>
  <r>
    <x v="135"/>
    <x v="18"/>
  </r>
  <r>
    <x v="135"/>
    <x v="9"/>
  </r>
  <r>
    <x v="135"/>
    <x v="23"/>
  </r>
  <r>
    <x v="136"/>
    <x v="35"/>
  </r>
  <r>
    <x v="136"/>
    <x v="23"/>
  </r>
  <r>
    <x v="136"/>
    <x v="18"/>
  </r>
  <r>
    <x v="136"/>
    <x v="35"/>
  </r>
  <r>
    <x v="137"/>
    <x v="18"/>
  </r>
  <r>
    <x v="137"/>
    <x v="35"/>
  </r>
  <r>
    <x v="137"/>
    <x v="6"/>
  </r>
  <r>
    <x v="137"/>
    <x v="23"/>
  </r>
  <r>
    <x v="137"/>
    <x v="9"/>
  </r>
  <r>
    <x v="137"/>
    <x v="18"/>
  </r>
  <r>
    <x v="138"/>
    <x v="18"/>
  </r>
  <r>
    <x v="138"/>
    <x v="35"/>
  </r>
  <r>
    <x v="138"/>
    <x v="6"/>
  </r>
  <r>
    <x v="138"/>
    <x v="23"/>
  </r>
  <r>
    <x v="138"/>
    <x v="9"/>
  </r>
  <r>
    <x v="138"/>
    <x v="18"/>
  </r>
  <r>
    <x v="139"/>
    <x v="6"/>
  </r>
  <r>
    <x v="139"/>
    <x v="35"/>
  </r>
  <r>
    <x v="139"/>
    <x v="27"/>
  </r>
  <r>
    <x v="139"/>
    <x v="40"/>
  </r>
  <r>
    <x v="139"/>
    <x v="18"/>
  </r>
  <r>
    <x v="139"/>
    <x v="6"/>
  </r>
  <r>
    <x v="140"/>
    <x v="6"/>
  </r>
  <r>
    <x v="140"/>
    <x v="35"/>
  </r>
  <r>
    <x v="140"/>
    <x v="27"/>
  </r>
  <r>
    <x v="140"/>
    <x v="40"/>
  </r>
  <r>
    <x v="140"/>
    <x v="6"/>
  </r>
  <r>
    <x v="141"/>
    <x v="6"/>
  </r>
  <r>
    <x v="141"/>
    <x v="35"/>
  </r>
  <r>
    <x v="141"/>
    <x v="27"/>
  </r>
  <r>
    <x v="141"/>
    <x v="40"/>
  </r>
  <r>
    <x v="142"/>
    <x v="6"/>
  </r>
  <r>
    <x v="142"/>
    <x v="27"/>
  </r>
  <r>
    <x v="142"/>
    <x v="35"/>
  </r>
  <r>
    <x v="142"/>
    <x v="28"/>
  </r>
  <r>
    <x v="142"/>
    <x v="31"/>
  </r>
  <r>
    <x v="142"/>
    <x v="40"/>
  </r>
  <r>
    <x v="143"/>
    <x v="40"/>
  </r>
  <r>
    <x v="143"/>
    <x v="6"/>
  </r>
  <r>
    <x v="143"/>
    <x v="28"/>
  </r>
  <r>
    <x v="143"/>
    <x v="35"/>
  </r>
  <r>
    <x v="143"/>
    <x v="27"/>
  </r>
  <r>
    <x v="143"/>
    <x v="18"/>
  </r>
  <r>
    <x v="143"/>
    <x v="40"/>
  </r>
  <r>
    <x v="144"/>
    <x v="35"/>
  </r>
  <r>
    <x v="144"/>
    <x v="40"/>
  </r>
  <r>
    <x v="144"/>
    <x v="6"/>
  </r>
  <r>
    <x v="144"/>
    <x v="18"/>
  </r>
  <r>
    <x v="144"/>
    <x v="23"/>
  </r>
  <r>
    <x v="144"/>
    <x v="27"/>
  </r>
  <r>
    <x v="144"/>
    <x v="35"/>
  </r>
  <r>
    <x v="145"/>
    <x v="40"/>
  </r>
  <r>
    <x v="145"/>
    <x v="9"/>
  </r>
  <r>
    <x v="145"/>
    <x v="13"/>
  </r>
  <r>
    <x v="145"/>
    <x v="18"/>
  </r>
  <r>
    <x v="145"/>
    <x v="6"/>
  </r>
  <r>
    <x v="145"/>
    <x v="40"/>
  </r>
  <r>
    <x v="146"/>
    <x v="40"/>
  </r>
  <r>
    <x v="146"/>
    <x v="18"/>
  </r>
  <r>
    <x v="146"/>
    <x v="13"/>
  </r>
  <r>
    <x v="146"/>
    <x v="6"/>
  </r>
  <r>
    <x v="146"/>
    <x v="9"/>
  </r>
  <r>
    <x v="146"/>
    <x v="35"/>
  </r>
  <r>
    <x v="147"/>
    <x v="35"/>
  </r>
  <r>
    <x v="147"/>
    <x v="6"/>
  </r>
  <r>
    <x v="147"/>
    <x v="31"/>
  </r>
  <r>
    <x v="147"/>
    <x v="13"/>
  </r>
  <r>
    <x v="148"/>
    <x v="23"/>
  </r>
  <r>
    <x v="148"/>
    <x v="35"/>
  </r>
  <r>
    <x v="149"/>
    <x v="31"/>
  </r>
  <r>
    <x v="149"/>
    <x v="35"/>
  </r>
  <r>
    <x v="149"/>
    <x v="23"/>
  </r>
  <r>
    <x v="149"/>
    <x v="32"/>
  </r>
  <r>
    <x v="149"/>
    <x v="16"/>
  </r>
  <r>
    <x v="149"/>
    <x v="27"/>
  </r>
  <r>
    <x v="150"/>
    <x v="35"/>
  </r>
  <r>
    <x v="150"/>
    <x v="23"/>
  </r>
  <r>
    <x v="150"/>
    <x v="31"/>
  </r>
  <r>
    <x v="150"/>
    <x v="6"/>
  </r>
  <r>
    <x v="151"/>
    <x v="35"/>
  </r>
  <r>
    <x v="151"/>
    <x v="31"/>
  </r>
  <r>
    <x v="151"/>
    <x v="23"/>
  </r>
  <r>
    <x v="151"/>
    <x v="16"/>
  </r>
  <r>
    <x v="151"/>
    <x v="32"/>
  </r>
  <r>
    <x v="152"/>
    <x v="23"/>
  </r>
  <r>
    <x v="152"/>
    <x v="35"/>
  </r>
  <r>
    <x v="153"/>
    <x v="4"/>
  </r>
  <r>
    <x v="153"/>
    <x v="27"/>
  </r>
  <r>
    <x v="153"/>
    <x v="28"/>
  </r>
  <r>
    <x v="153"/>
    <x v="3"/>
  </r>
  <r>
    <x v="153"/>
    <x v="5"/>
  </r>
  <r>
    <x v="154"/>
    <x v="4"/>
  </r>
  <r>
    <x v="154"/>
    <x v="5"/>
  </r>
  <r>
    <x v="154"/>
    <x v="27"/>
  </r>
  <r>
    <x v="154"/>
    <x v="3"/>
  </r>
  <r>
    <x v="154"/>
    <x v="26"/>
  </r>
  <r>
    <x v="154"/>
    <x v="28"/>
  </r>
  <r>
    <x v="155"/>
    <x v="5"/>
  </r>
  <r>
    <x v="155"/>
    <x v="4"/>
  </r>
  <r>
    <x v="155"/>
    <x v="3"/>
  </r>
  <r>
    <x v="155"/>
    <x v="26"/>
  </r>
  <r>
    <x v="155"/>
    <x v="27"/>
  </r>
  <r>
    <x v="155"/>
    <x v="5"/>
  </r>
  <r>
    <x v="156"/>
    <x v="27"/>
  </r>
  <r>
    <x v="156"/>
    <x v="4"/>
  </r>
  <r>
    <x v="156"/>
    <x v="28"/>
  </r>
  <r>
    <x v="156"/>
    <x v="5"/>
  </r>
  <r>
    <x v="156"/>
    <x v="6"/>
  </r>
  <r>
    <x v="157"/>
    <x v="27"/>
  </r>
  <r>
    <x v="157"/>
    <x v="5"/>
  </r>
  <r>
    <x v="157"/>
    <x v="6"/>
  </r>
  <r>
    <x v="157"/>
    <x v="4"/>
  </r>
  <r>
    <x v="157"/>
    <x v="28"/>
  </r>
  <r>
    <x v="158"/>
    <x v="27"/>
  </r>
  <r>
    <x v="158"/>
    <x v="31"/>
  </r>
  <r>
    <x v="158"/>
    <x v="5"/>
  </r>
  <r>
    <x v="158"/>
    <x v="4"/>
  </r>
  <r>
    <x v="158"/>
    <x v="6"/>
  </r>
  <r>
    <x v="158"/>
    <x v="35"/>
  </r>
  <r>
    <x v="158"/>
    <x v="28"/>
  </r>
  <r>
    <x v="158"/>
    <x v="3"/>
  </r>
  <r>
    <x v="159"/>
    <x v="27"/>
  </r>
  <r>
    <x v="159"/>
    <x v="13"/>
  </r>
  <r>
    <x v="159"/>
    <x v="9"/>
  </r>
  <r>
    <x v="159"/>
    <x v="31"/>
  </r>
  <r>
    <x v="159"/>
    <x v="4"/>
  </r>
  <r>
    <x v="159"/>
    <x v="5"/>
  </r>
  <r>
    <x v="159"/>
    <x v="28"/>
  </r>
  <r>
    <x v="159"/>
    <x v="6"/>
  </r>
  <r>
    <x v="160"/>
    <x v="27"/>
  </r>
  <r>
    <x v="160"/>
    <x v="4"/>
  </r>
  <r>
    <x v="160"/>
    <x v="5"/>
  </r>
  <r>
    <x v="160"/>
    <x v="31"/>
  </r>
  <r>
    <x v="160"/>
    <x v="28"/>
  </r>
  <r>
    <x v="160"/>
    <x v="6"/>
  </r>
  <r>
    <x v="161"/>
    <x v="27"/>
  </r>
  <r>
    <x v="161"/>
    <x v="5"/>
  </r>
  <r>
    <x v="161"/>
    <x v="4"/>
  </r>
  <r>
    <x v="161"/>
    <x v="31"/>
  </r>
  <r>
    <x v="161"/>
    <x v="28"/>
  </r>
  <r>
    <x v="161"/>
    <x v="6"/>
  </r>
  <r>
    <x v="161"/>
    <x v="3"/>
  </r>
  <r>
    <x v="162"/>
    <x v="15"/>
  </r>
  <r>
    <x v="162"/>
    <x v="31"/>
  </r>
  <r>
    <x v="162"/>
    <x v="14"/>
  </r>
  <r>
    <x v="162"/>
    <x v="41"/>
  </r>
  <r>
    <x v="162"/>
    <x v="42"/>
  </r>
  <r>
    <x v="162"/>
    <x v="5"/>
  </r>
  <r>
    <x v="162"/>
    <x v="27"/>
  </r>
  <r>
    <x v="162"/>
    <x v="35"/>
  </r>
  <r>
    <x v="163"/>
    <x v="29"/>
  </r>
  <r>
    <x v="163"/>
    <x v="30"/>
  </r>
  <r>
    <x v="163"/>
    <x v="32"/>
  </r>
  <r>
    <x v="163"/>
    <x v="10"/>
  </r>
  <r>
    <x v="163"/>
    <x v="3"/>
  </r>
  <r>
    <x v="163"/>
    <x v="43"/>
  </r>
  <r>
    <x v="163"/>
    <x v="32"/>
  </r>
  <r>
    <x v="163"/>
    <x v="29"/>
  </r>
  <r>
    <x v="164"/>
    <x v="29"/>
  </r>
  <r>
    <x v="164"/>
    <x v="30"/>
  </r>
  <r>
    <x v="164"/>
    <x v="3"/>
  </r>
  <r>
    <x v="164"/>
    <x v="5"/>
  </r>
  <r>
    <x v="164"/>
    <x v="32"/>
  </r>
  <r>
    <x v="164"/>
    <x v="10"/>
  </r>
  <r>
    <x v="165"/>
    <x v="32"/>
  </r>
  <r>
    <x v="165"/>
    <x v="25"/>
  </r>
  <r>
    <x v="165"/>
    <x v="44"/>
  </r>
  <r>
    <x v="165"/>
    <x v="37"/>
  </r>
  <r>
    <x v="165"/>
    <x v="43"/>
  </r>
  <r>
    <x v="165"/>
    <x v="29"/>
  </r>
  <r>
    <x v="165"/>
    <x v="45"/>
  </r>
  <r>
    <x v="165"/>
    <x v="34"/>
  </r>
  <r>
    <x v="165"/>
    <x v="15"/>
  </r>
  <r>
    <x v="166"/>
    <x v="45"/>
  </r>
  <r>
    <x v="166"/>
    <x v="43"/>
  </r>
  <r>
    <x v="166"/>
    <x v="32"/>
  </r>
  <r>
    <x v="166"/>
    <x v="37"/>
  </r>
  <r>
    <x v="166"/>
    <x v="34"/>
  </r>
  <r>
    <x v="167"/>
    <x v="43"/>
  </r>
  <r>
    <x v="167"/>
    <x v="32"/>
  </r>
  <r>
    <x v="167"/>
    <x v="45"/>
  </r>
  <r>
    <x v="167"/>
    <x v="29"/>
  </r>
  <r>
    <x v="167"/>
    <x v="37"/>
  </r>
  <r>
    <x v="167"/>
    <x v="34"/>
  </r>
  <r>
    <x v="168"/>
    <x v="32"/>
  </r>
  <r>
    <x v="168"/>
    <x v="45"/>
  </r>
  <r>
    <x v="168"/>
    <x v="37"/>
  </r>
  <r>
    <x v="168"/>
    <x v="43"/>
  </r>
  <r>
    <x v="168"/>
    <x v="34"/>
  </r>
  <r>
    <x v="168"/>
    <x v="25"/>
  </r>
  <r>
    <x v="168"/>
    <x v="44"/>
  </r>
  <r>
    <x v="168"/>
    <x v="32"/>
  </r>
  <r>
    <x v="169"/>
    <x v="32"/>
  </r>
  <r>
    <x v="169"/>
    <x v="37"/>
  </r>
  <r>
    <x v="169"/>
    <x v="45"/>
  </r>
  <r>
    <x v="169"/>
    <x v="31"/>
  </r>
  <r>
    <x v="169"/>
    <x v="43"/>
  </r>
  <r>
    <x v="169"/>
    <x v="34"/>
  </r>
  <r>
    <x v="169"/>
    <x v="25"/>
  </r>
  <r>
    <x v="169"/>
    <x v="44"/>
  </r>
  <r>
    <x v="169"/>
    <x v="32"/>
  </r>
  <r>
    <x v="170"/>
    <x v="25"/>
  </r>
  <r>
    <x v="170"/>
    <x v="32"/>
  </r>
  <r>
    <x v="170"/>
    <x v="37"/>
  </r>
  <r>
    <x v="170"/>
    <x v="31"/>
  </r>
  <r>
    <x v="170"/>
    <x v="43"/>
  </r>
  <r>
    <x v="171"/>
    <x v="44"/>
  </r>
  <r>
    <x v="171"/>
    <x v="32"/>
  </r>
  <r>
    <x v="171"/>
    <x v="37"/>
  </r>
  <r>
    <x v="171"/>
    <x v="31"/>
  </r>
  <r>
    <x v="171"/>
    <x v="43"/>
  </r>
  <r>
    <x v="172"/>
    <x v="37"/>
  </r>
  <r>
    <x v="172"/>
    <x v="32"/>
  </r>
  <r>
    <x v="172"/>
    <x v="31"/>
  </r>
  <r>
    <x v="172"/>
    <x v="44"/>
  </r>
  <r>
    <x v="172"/>
    <x v="34"/>
  </r>
  <r>
    <x v="172"/>
    <x v="27"/>
  </r>
  <r>
    <x v="173"/>
    <x v="37"/>
  </r>
  <r>
    <x v="173"/>
    <x v="34"/>
  </r>
  <r>
    <x v="173"/>
    <x v="32"/>
  </r>
  <r>
    <x v="173"/>
    <x v="44"/>
  </r>
  <r>
    <x v="173"/>
    <x v="46"/>
  </r>
  <r>
    <x v="173"/>
    <x v="31"/>
  </r>
  <r>
    <x v="173"/>
    <x v="27"/>
  </r>
  <r>
    <x v="174"/>
    <x v="34"/>
  </r>
  <r>
    <x v="174"/>
    <x v="37"/>
  </r>
  <r>
    <x v="174"/>
    <x v="32"/>
  </r>
  <r>
    <x v="174"/>
    <x v="44"/>
  </r>
  <r>
    <x v="174"/>
    <x v="31"/>
  </r>
  <r>
    <x v="174"/>
    <x v="45"/>
  </r>
  <r>
    <x v="175"/>
    <x v="37"/>
  </r>
  <r>
    <x v="175"/>
    <x v="37"/>
  </r>
  <r>
    <x v="175"/>
    <x v="32"/>
  </r>
  <r>
    <x v="175"/>
    <x v="31"/>
  </r>
  <r>
    <x v="175"/>
    <x v="34"/>
  </r>
  <r>
    <x v="175"/>
    <x v="44"/>
  </r>
  <r>
    <x v="175"/>
    <x v="27"/>
  </r>
  <r>
    <x v="175"/>
    <x v="45"/>
  </r>
  <r>
    <x v="175"/>
    <x v="43"/>
  </r>
  <r>
    <x v="176"/>
    <x v="4"/>
  </r>
  <r>
    <x v="176"/>
    <x v="3"/>
  </r>
  <r>
    <x v="176"/>
    <x v="5"/>
  </r>
  <r>
    <x v="176"/>
    <x v="27"/>
  </r>
  <r>
    <x v="176"/>
    <x v="28"/>
  </r>
  <r>
    <x v="177"/>
    <x v="4"/>
  </r>
  <r>
    <x v="177"/>
    <x v="3"/>
  </r>
  <r>
    <x v="177"/>
    <x v="5"/>
  </r>
  <r>
    <x v="177"/>
    <x v="28"/>
  </r>
  <r>
    <x v="177"/>
    <x v="27"/>
  </r>
  <r>
    <x v="178"/>
    <x v="4"/>
  </r>
  <r>
    <x v="178"/>
    <x v="28"/>
  </r>
  <r>
    <x v="178"/>
    <x v="27"/>
  </r>
  <r>
    <x v="178"/>
    <x v="3"/>
  </r>
  <r>
    <x v="178"/>
    <x v="5"/>
  </r>
  <r>
    <x v="179"/>
    <x v="27"/>
  </r>
  <r>
    <x v="179"/>
    <x v="6"/>
  </r>
  <r>
    <x v="179"/>
    <x v="28"/>
  </r>
  <r>
    <x v="179"/>
    <x v="4"/>
  </r>
  <r>
    <x v="179"/>
    <x v="5"/>
  </r>
  <r>
    <x v="179"/>
    <x v="35"/>
  </r>
  <r>
    <x v="180"/>
    <x v="14"/>
  </r>
  <r>
    <x v="180"/>
    <x v="5"/>
  </r>
  <r>
    <x v="180"/>
    <x v="15"/>
  </r>
  <r>
    <x v="180"/>
    <x v="31"/>
  </r>
  <r>
    <x v="180"/>
    <x v="27"/>
  </r>
  <r>
    <x v="180"/>
    <x v="30"/>
  </r>
  <r>
    <x v="180"/>
    <x v="29"/>
  </r>
  <r>
    <x v="180"/>
    <x v="35"/>
  </r>
  <r>
    <x v="180"/>
    <x v="14"/>
  </r>
  <r>
    <x v="181"/>
    <x v="41"/>
  </r>
  <r>
    <x v="181"/>
    <x v="15"/>
  </r>
  <r>
    <x v="181"/>
    <x v="27"/>
  </r>
  <r>
    <x v="181"/>
    <x v="31"/>
  </r>
  <r>
    <x v="181"/>
    <x v="42"/>
  </r>
  <r>
    <x v="181"/>
    <x v="35"/>
  </r>
  <r>
    <x v="182"/>
    <x v="42"/>
  </r>
  <r>
    <x v="182"/>
    <x v="31"/>
  </r>
  <r>
    <x v="182"/>
    <x v="27"/>
  </r>
  <r>
    <x v="182"/>
    <x v="35"/>
  </r>
  <r>
    <x v="182"/>
    <x v="15"/>
  </r>
  <r>
    <x v="182"/>
    <x v="41"/>
  </r>
  <r>
    <x v="182"/>
    <x v="5"/>
  </r>
  <r>
    <x v="182"/>
    <x v="42"/>
  </r>
  <r>
    <x v="183"/>
    <x v="15"/>
  </r>
  <r>
    <x v="183"/>
    <x v="32"/>
  </r>
  <r>
    <x v="183"/>
    <x v="30"/>
  </r>
  <r>
    <x v="183"/>
    <x v="15"/>
  </r>
  <r>
    <x v="183"/>
    <x v="14"/>
  </r>
  <r>
    <x v="183"/>
    <x v="41"/>
  </r>
  <r>
    <x v="183"/>
    <x v="31"/>
  </r>
  <r>
    <x v="184"/>
    <x v="32"/>
  </r>
  <r>
    <x v="184"/>
    <x v="15"/>
  </r>
  <r>
    <x v="184"/>
    <x v="30"/>
  </r>
  <r>
    <x v="184"/>
    <x v="41"/>
  </r>
  <r>
    <x v="184"/>
    <x v="15"/>
  </r>
  <r>
    <x v="184"/>
    <x v="31"/>
  </r>
  <r>
    <x v="185"/>
    <x v="42"/>
  </r>
  <r>
    <x v="185"/>
    <x v="31"/>
  </r>
  <r>
    <x v="185"/>
    <x v="27"/>
  </r>
  <r>
    <x v="185"/>
    <x v="35"/>
  </r>
  <r>
    <x v="185"/>
    <x v="4"/>
  </r>
  <r>
    <x v="185"/>
    <x v="5"/>
  </r>
  <r>
    <x v="185"/>
    <x v="15"/>
  </r>
  <r>
    <x v="186"/>
    <x v="5"/>
  </r>
  <r>
    <x v="186"/>
    <x v="30"/>
  </r>
  <r>
    <x v="186"/>
    <x v="29"/>
  </r>
  <r>
    <x v="186"/>
    <x v="14"/>
  </r>
  <r>
    <x v="186"/>
    <x v="15"/>
  </r>
  <r>
    <x v="186"/>
    <x v="27"/>
  </r>
  <r>
    <x v="186"/>
    <x v="3"/>
  </r>
  <r>
    <x v="186"/>
    <x v="5"/>
  </r>
  <r>
    <x v="186"/>
    <x v="4"/>
  </r>
  <r>
    <x v="186"/>
    <x v="32"/>
  </r>
  <r>
    <x v="187"/>
    <x v="32"/>
  </r>
  <r>
    <x v="187"/>
    <x v="29"/>
  </r>
  <r>
    <x v="187"/>
    <x v="43"/>
  </r>
  <r>
    <x v="187"/>
    <x v="45"/>
  </r>
  <r>
    <x v="187"/>
    <x v="44"/>
  </r>
  <r>
    <x v="187"/>
    <x v="32"/>
  </r>
  <r>
    <x v="188"/>
    <x v="30"/>
  </r>
  <r>
    <x v="188"/>
    <x v="5"/>
  </r>
  <r>
    <x v="188"/>
    <x v="29"/>
  </r>
  <r>
    <x v="188"/>
    <x v="15"/>
  </r>
  <r>
    <x v="188"/>
    <x v="3"/>
  </r>
  <r>
    <x v="188"/>
    <x v="32"/>
  </r>
  <r>
    <x v="189"/>
    <x v="29"/>
  </r>
  <r>
    <x v="189"/>
    <x v="30"/>
  </r>
  <r>
    <x v="189"/>
    <x v="32"/>
  </r>
  <r>
    <x v="189"/>
    <x v="3"/>
  </r>
  <r>
    <x v="189"/>
    <x v="10"/>
  </r>
  <r>
    <x v="189"/>
    <x v="43"/>
  </r>
  <r>
    <x v="190"/>
    <x v="29"/>
  </r>
  <r>
    <x v="190"/>
    <x v="5"/>
  </r>
  <r>
    <x v="190"/>
    <x v="3"/>
  </r>
  <r>
    <x v="190"/>
    <x v="30"/>
  </r>
  <r>
    <x v="190"/>
    <x v="10"/>
  </r>
  <r>
    <x v="190"/>
    <x v="27"/>
  </r>
  <r>
    <x v="191"/>
    <x v="44"/>
  </r>
  <r>
    <x v="191"/>
    <x v="32"/>
  </r>
  <r>
    <x v="191"/>
    <x v="15"/>
  </r>
  <r>
    <x v="191"/>
    <x v="37"/>
  </r>
  <r>
    <x v="191"/>
    <x v="31"/>
  </r>
  <r>
    <x v="191"/>
    <x v="44"/>
  </r>
  <r>
    <x v="192"/>
    <x v="44"/>
  </r>
  <r>
    <x v="192"/>
    <x v="32"/>
  </r>
  <r>
    <x v="192"/>
    <x v="37"/>
  </r>
  <r>
    <x v="192"/>
    <x v="31"/>
  </r>
  <r>
    <x v="192"/>
    <x v="43"/>
  </r>
  <r>
    <x v="193"/>
    <x v="44"/>
  </r>
  <r>
    <x v="193"/>
    <x v="32"/>
  </r>
  <r>
    <x v="193"/>
    <x v="37"/>
  </r>
  <r>
    <x v="193"/>
    <x v="31"/>
  </r>
  <r>
    <x v="193"/>
    <x v="43"/>
  </r>
  <r>
    <x v="194"/>
    <x v="33"/>
  </r>
  <r>
    <x v="194"/>
    <x v="34"/>
  </r>
  <r>
    <x v="194"/>
    <x v="37"/>
  </r>
  <r>
    <x v="194"/>
    <x v="32"/>
  </r>
  <r>
    <x v="195"/>
    <x v="37"/>
  </r>
  <r>
    <x v="195"/>
    <x v="27"/>
  </r>
  <r>
    <x v="195"/>
    <x v="32"/>
  </r>
  <r>
    <x v="196"/>
    <x v="11"/>
  </r>
  <r>
    <x v="196"/>
    <x v="1"/>
  </r>
  <r>
    <x v="196"/>
    <x v="34"/>
  </r>
  <r>
    <x v="196"/>
    <x v="37"/>
  </r>
  <r>
    <x v="196"/>
    <x v="25"/>
  </r>
  <r>
    <x v="196"/>
    <x v="44"/>
  </r>
  <r>
    <x v="196"/>
    <x v="31"/>
  </r>
  <r>
    <x v="196"/>
    <x v="9"/>
  </r>
  <r>
    <x v="196"/>
    <x v="33"/>
  </r>
  <r>
    <x v="196"/>
    <x v="46"/>
  </r>
  <r>
    <x v="197"/>
    <x v="11"/>
  </r>
  <r>
    <x v="197"/>
    <x v="33"/>
  </r>
  <r>
    <x v="197"/>
    <x v="46"/>
  </r>
  <r>
    <x v="197"/>
    <x v="34"/>
  </r>
  <r>
    <x v="197"/>
    <x v="37"/>
  </r>
  <r>
    <x v="197"/>
    <x v="25"/>
  </r>
  <r>
    <x v="197"/>
    <x v="44"/>
  </r>
  <r>
    <x v="197"/>
    <x v="31"/>
  </r>
  <r>
    <x v="197"/>
    <x v="9"/>
  </r>
  <r>
    <x v="197"/>
    <x v="11"/>
  </r>
  <r>
    <x v="198"/>
    <x v="46"/>
  </r>
  <r>
    <x v="198"/>
    <x v="33"/>
  </r>
  <r>
    <x v="198"/>
    <x v="31"/>
  </r>
  <r>
    <x v="198"/>
    <x v="11"/>
  </r>
  <r>
    <x v="198"/>
    <x v="34"/>
  </r>
  <r>
    <x v="198"/>
    <x v="37"/>
  </r>
  <r>
    <x v="198"/>
    <x v="33"/>
  </r>
  <r>
    <x v="198"/>
    <x v="46"/>
  </r>
  <r>
    <x v="198"/>
    <x v="9"/>
  </r>
  <r>
    <x v="199"/>
    <x v="33"/>
  </r>
  <r>
    <x v="199"/>
    <x v="46"/>
  </r>
  <r>
    <x v="199"/>
    <x v="11"/>
  </r>
  <r>
    <x v="199"/>
    <x v="34"/>
  </r>
  <r>
    <x v="199"/>
    <x v="37"/>
  </r>
  <r>
    <x v="199"/>
    <x v="33"/>
  </r>
  <r>
    <x v="200"/>
    <x v="33"/>
  </r>
  <r>
    <x v="200"/>
    <x v="46"/>
  </r>
  <r>
    <x v="200"/>
    <x v="11"/>
  </r>
  <r>
    <x v="200"/>
    <x v="34"/>
  </r>
  <r>
    <x v="200"/>
    <x v="37"/>
  </r>
  <r>
    <x v="200"/>
    <x v="33"/>
  </r>
  <r>
    <x v="201"/>
    <x v="46"/>
  </r>
  <r>
    <x v="201"/>
    <x v="33"/>
  </r>
  <r>
    <x v="201"/>
    <x v="34"/>
  </r>
  <r>
    <x v="201"/>
    <x v="37"/>
  </r>
  <r>
    <x v="201"/>
    <x v="11"/>
  </r>
  <r>
    <x v="201"/>
    <x v="46"/>
  </r>
  <r>
    <x v="202"/>
    <x v="46"/>
  </r>
  <r>
    <x v="202"/>
    <x v="33"/>
  </r>
  <r>
    <x v="202"/>
    <x v="34"/>
  </r>
  <r>
    <x v="202"/>
    <x v="37"/>
  </r>
  <r>
    <x v="202"/>
    <x v="11"/>
  </r>
  <r>
    <x v="202"/>
    <x v="46"/>
  </r>
  <r>
    <x v="203"/>
    <x v="46"/>
  </r>
  <r>
    <x v="203"/>
    <x v="33"/>
  </r>
  <r>
    <x v="203"/>
    <x v="34"/>
  </r>
  <r>
    <x v="203"/>
    <x v="37"/>
  </r>
  <r>
    <x v="203"/>
    <x v="11"/>
  </r>
  <r>
    <x v="203"/>
    <x v="46"/>
  </r>
  <r>
    <x v="204"/>
    <x v="46"/>
  </r>
  <r>
    <x v="204"/>
    <x v="16"/>
  </r>
  <r>
    <x v="204"/>
    <x v="33"/>
  </r>
  <r>
    <x v="204"/>
    <x v="34"/>
  </r>
  <r>
    <x v="204"/>
    <x v="37"/>
  </r>
  <r>
    <x v="204"/>
    <x v="11"/>
  </r>
  <r>
    <x v="204"/>
    <x v="46"/>
  </r>
  <r>
    <x v="205"/>
    <x v="33"/>
  </r>
  <r>
    <x v="205"/>
    <x v="46"/>
  </r>
  <r>
    <x v="206"/>
    <x v="33"/>
  </r>
  <r>
    <x v="206"/>
    <x v="11"/>
  </r>
  <r>
    <x v="206"/>
    <x v="46"/>
  </r>
  <r>
    <x v="207"/>
    <x v="33"/>
  </r>
  <r>
    <x v="207"/>
    <x v="16"/>
  </r>
  <r>
    <x v="207"/>
    <x v="46"/>
  </r>
  <r>
    <x v="208"/>
    <x v="33"/>
  </r>
  <r>
    <x v="208"/>
    <x v="37"/>
  </r>
  <r>
    <x v="208"/>
    <x v="34"/>
  </r>
  <r>
    <x v="208"/>
    <x v="32"/>
  </r>
  <r>
    <x v="209"/>
    <x v="33"/>
  </r>
  <r>
    <x v="209"/>
    <x v="46"/>
  </r>
  <r>
    <x v="210"/>
    <x v="33"/>
  </r>
  <r>
    <x v="210"/>
    <x v="37"/>
  </r>
  <r>
    <x v="210"/>
    <x v="34"/>
  </r>
  <r>
    <x v="210"/>
    <x v="32"/>
  </r>
  <r>
    <x v="211"/>
    <x v="33"/>
  </r>
  <r>
    <x v="211"/>
    <x v="46"/>
  </r>
  <r>
    <x v="212"/>
    <x v="33"/>
  </r>
  <r>
    <x v="212"/>
    <x v="46"/>
  </r>
  <r>
    <x v="213"/>
    <x v="33"/>
  </r>
  <r>
    <x v="213"/>
    <x v="37"/>
  </r>
  <r>
    <x v="213"/>
    <x v="46"/>
  </r>
  <r>
    <x v="214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EEC2E-AEF9-4CF4-A89D-1FE084CEBA7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" firstHeaderRow="1" firstDataRow="2" firstDataCol="1"/>
  <pivotFields count="8">
    <pivotField showAll="0"/>
    <pivotField showAll="0"/>
    <pivotField axis="axisRow" showAll="0" sortType="ascending">
      <items count="50">
        <item x="18"/>
        <item x="35"/>
        <item x="6"/>
        <item m="1" x="48"/>
        <item x="39"/>
        <item x="23"/>
        <item x="9"/>
        <item x="37"/>
        <item x="12"/>
        <item x="3"/>
        <item x="21"/>
        <item x="27"/>
        <item x="30"/>
        <item x="29"/>
        <item x="24"/>
        <item x="11"/>
        <item x="26"/>
        <item x="32"/>
        <item x="28"/>
        <item x="8"/>
        <item x="16"/>
        <item x="10"/>
        <item x="19"/>
        <item x="17"/>
        <item x="1"/>
        <item x="7"/>
        <item x="40"/>
        <item x="15"/>
        <item x="14"/>
        <item x="31"/>
        <item x="41"/>
        <item x="45"/>
        <item x="42"/>
        <item x="4"/>
        <item x="46"/>
        <item x="36"/>
        <item x="22"/>
        <item x="5"/>
        <item x="34"/>
        <item x="33"/>
        <item x="2"/>
        <item x="0"/>
        <item x="44"/>
        <item x="43"/>
        <item x="25"/>
        <item x="20"/>
        <item x="38"/>
        <item m="1" x="47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48">
    <i>
      <x v="7"/>
    </i>
    <i>
      <x v="40"/>
    </i>
    <i>
      <x v="26"/>
    </i>
    <i>
      <x v="28"/>
    </i>
    <i>
      <x v="44"/>
    </i>
    <i>
      <x v="31"/>
    </i>
    <i>
      <x v="30"/>
    </i>
    <i>
      <x v="32"/>
    </i>
    <i>
      <x v="14"/>
    </i>
    <i>
      <x v="38"/>
    </i>
    <i>
      <x v="35"/>
    </i>
    <i>
      <x v="25"/>
    </i>
    <i>
      <x v="12"/>
    </i>
    <i>
      <x v="18"/>
    </i>
    <i>
      <x v="27"/>
    </i>
    <i>
      <x v="29"/>
    </i>
    <i>
      <x v="41"/>
    </i>
    <i>
      <x v="39"/>
    </i>
    <i>
      <x v="16"/>
    </i>
    <i>
      <x v="37"/>
    </i>
    <i>
      <x v="10"/>
    </i>
    <i>
      <x v="42"/>
    </i>
    <i>
      <x v="9"/>
    </i>
    <i>
      <x v="46"/>
    </i>
    <i>
      <x v="22"/>
    </i>
    <i>
      <x v="24"/>
    </i>
    <i>
      <x v="13"/>
    </i>
    <i>
      <x v="43"/>
    </i>
    <i>
      <x v="23"/>
    </i>
    <i>
      <x v="34"/>
    </i>
    <i>
      <x v="45"/>
    </i>
    <i>
      <x v="2"/>
    </i>
    <i>
      <x v="4"/>
    </i>
    <i>
      <x v="17"/>
    </i>
    <i>
      <x v="48"/>
    </i>
    <i>
      <x v="36"/>
    </i>
    <i>
      <x v="15"/>
    </i>
    <i>
      <x v="1"/>
    </i>
    <i>
      <x v="5"/>
    </i>
    <i>
      <x v="33"/>
    </i>
    <i>
      <x v="11"/>
    </i>
    <i>
      <x v="20"/>
    </i>
    <i>
      <x v="19"/>
    </i>
    <i>
      <x/>
    </i>
    <i>
      <x v="21"/>
    </i>
    <i>
      <x v="8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perc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1C225-0946-4A05-A2B4-33CB525374E5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06" firstHeaderRow="1" firstDataRow="1" firstDataCol="1"/>
  <pivotFields count="2">
    <pivotField axis="axisRow" showAll="0">
      <items count="216">
        <item x="186"/>
        <item x="49"/>
        <item x="100"/>
        <item x="205"/>
        <item x="42"/>
        <item x="110"/>
        <item x="83"/>
        <item x="91"/>
        <item x="39"/>
        <item x="66"/>
        <item x="196"/>
        <item x="14"/>
        <item x="40"/>
        <item x="84"/>
        <item x="161"/>
        <item x="181"/>
        <item x="70"/>
        <item x="46"/>
        <item x="11"/>
        <item x="85"/>
        <item x="124"/>
        <item x="82"/>
        <item x="184"/>
        <item x="97"/>
        <item x="28"/>
        <item x="133"/>
        <item x="93"/>
        <item x="79"/>
        <item x="195"/>
        <item x="29"/>
        <item x="118"/>
        <item x="138"/>
        <item x="192"/>
        <item x="108"/>
        <item x="55"/>
        <item x="130"/>
        <item x="81"/>
        <item x="126"/>
        <item x="146"/>
        <item x="90"/>
        <item x="165"/>
        <item x="89"/>
        <item x="147"/>
        <item x="125"/>
        <item x="206"/>
        <item x="60"/>
        <item x="26"/>
        <item x="58"/>
        <item x="65"/>
        <item x="38"/>
        <item x="20"/>
        <item x="3"/>
        <item x="142"/>
        <item x="86"/>
        <item x="59"/>
        <item x="109"/>
        <item x="95"/>
        <item x="102"/>
        <item x="76"/>
        <item x="5"/>
        <item x="128"/>
        <item x="140"/>
        <item x="32"/>
        <item x="152"/>
        <item x="139"/>
        <item x="51"/>
        <item x="198"/>
        <item x="4"/>
        <item x="10"/>
        <item x="69"/>
        <item x="127"/>
        <item x="120"/>
        <item x="35"/>
        <item x="13"/>
        <item x="104"/>
        <item x="52"/>
        <item x="30"/>
        <item x="72"/>
        <item x="67"/>
        <item x="194"/>
        <item x="74"/>
        <item x="116"/>
        <item x="117"/>
        <item x="64"/>
        <item x="62"/>
        <item x="75"/>
        <item x="169"/>
        <item x="22"/>
        <item x="0"/>
        <item x="162"/>
        <item x="173"/>
        <item x="155"/>
        <item x="154"/>
        <item x="9"/>
        <item x="36"/>
        <item x="18"/>
        <item x="107"/>
        <item x="57"/>
        <item x="166"/>
        <item x="153"/>
        <item x="163"/>
        <item x="112"/>
        <item x="211"/>
        <item x="48"/>
        <item x="160"/>
        <item x="189"/>
        <item x="193"/>
        <item x="33"/>
        <item x="177"/>
        <item x="148"/>
        <item x="122"/>
        <item x="115"/>
        <item x="53"/>
        <item x="34"/>
        <item x="37"/>
        <item x="150"/>
        <item x="136"/>
        <item x="172"/>
        <item x="185"/>
        <item x="106"/>
        <item x="44"/>
        <item x="213"/>
        <item x="68"/>
        <item x="119"/>
        <item x="149"/>
        <item x="56"/>
        <item x="210"/>
        <item x="45"/>
        <item x="187"/>
        <item x="47"/>
        <item x="99"/>
        <item x="129"/>
        <item x="191"/>
        <item x="132"/>
        <item x="212"/>
        <item x="183"/>
        <item x="12"/>
        <item x="204"/>
        <item x="197"/>
        <item x="77"/>
        <item x="145"/>
        <item x="103"/>
        <item x="50"/>
        <item x="8"/>
        <item x="1"/>
        <item x="157"/>
        <item x="180"/>
        <item x="208"/>
        <item x="178"/>
        <item x="73"/>
        <item x="201"/>
        <item x="98"/>
        <item x="96"/>
        <item x="174"/>
        <item x="19"/>
        <item x="17"/>
        <item x="78"/>
        <item x="159"/>
        <item x="23"/>
        <item x="41"/>
        <item x="137"/>
        <item x="88"/>
        <item x="71"/>
        <item x="87"/>
        <item x="199"/>
        <item x="43"/>
        <item x="131"/>
        <item x="156"/>
        <item x="6"/>
        <item x="105"/>
        <item x="27"/>
        <item x="151"/>
        <item x="121"/>
        <item x="175"/>
        <item x="21"/>
        <item x="24"/>
        <item x="202"/>
        <item x="141"/>
        <item x="111"/>
        <item x="167"/>
        <item x="144"/>
        <item x="16"/>
        <item x="182"/>
        <item x="143"/>
        <item x="63"/>
        <item x="2"/>
        <item x="15"/>
        <item x="176"/>
        <item x="207"/>
        <item x="168"/>
        <item x="188"/>
        <item x="113"/>
        <item x="171"/>
        <item x="123"/>
        <item x="200"/>
        <item x="61"/>
        <item x="101"/>
        <item x="31"/>
        <item x="190"/>
        <item x="209"/>
        <item x="114"/>
        <item x="25"/>
        <item x="158"/>
        <item x="54"/>
        <item x="92"/>
        <item x="80"/>
        <item x="164"/>
        <item x="203"/>
        <item x="94"/>
        <item x="170"/>
        <item x="7"/>
        <item x="179"/>
        <item x="135"/>
        <item x="134"/>
        <item x="214"/>
        <item t="default"/>
      </items>
    </pivotField>
    <pivotField axis="axisRow" dataField="1" showAll="0">
      <items count="49">
        <item x="18"/>
        <item x="35"/>
        <item x="6"/>
        <item x="13"/>
        <item x="40"/>
        <item x="23"/>
        <item x="9"/>
        <item x="38"/>
        <item x="12"/>
        <item x="3"/>
        <item x="21"/>
        <item x="27"/>
        <item x="30"/>
        <item x="29"/>
        <item x="24"/>
        <item x="11"/>
        <item x="26"/>
        <item x="32"/>
        <item x="28"/>
        <item x="8"/>
        <item x="16"/>
        <item x="10"/>
        <item x="19"/>
        <item x="17"/>
        <item x="1"/>
        <item x="7"/>
        <item x="41"/>
        <item x="15"/>
        <item x="14"/>
        <item x="31"/>
        <item x="42"/>
        <item x="45"/>
        <item x="43"/>
        <item x="4"/>
        <item x="46"/>
        <item x="36"/>
        <item x="22"/>
        <item x="5"/>
        <item x="34"/>
        <item x="33"/>
        <item x="2"/>
        <item x="0"/>
        <item x="37"/>
        <item x="44"/>
        <item x="25"/>
        <item x="20"/>
        <item x="39"/>
        <item x="47"/>
        <item t="default"/>
      </items>
    </pivotField>
  </pivotFields>
  <rowFields count="2">
    <field x="0"/>
    <field x="1"/>
  </rowFields>
  <rowItems count="1403">
    <i>
      <x/>
    </i>
    <i r="1">
      <x v="9"/>
    </i>
    <i r="1">
      <x v="11"/>
    </i>
    <i r="1">
      <x v="12"/>
    </i>
    <i r="1">
      <x v="13"/>
    </i>
    <i r="1">
      <x v="17"/>
    </i>
    <i r="1">
      <x v="27"/>
    </i>
    <i r="1">
      <x v="28"/>
    </i>
    <i r="1">
      <x v="33"/>
    </i>
    <i r="1">
      <x v="37"/>
    </i>
    <i>
      <x v="1"/>
    </i>
    <i r="1">
      <x v="6"/>
    </i>
    <i r="1">
      <x v="9"/>
    </i>
    <i r="1">
      <x v="19"/>
    </i>
    <i r="1">
      <x v="21"/>
    </i>
    <i r="1">
      <x v="23"/>
    </i>
    <i r="1">
      <x v="33"/>
    </i>
    <i>
      <x v="2"/>
    </i>
    <i r="1">
      <x v="3"/>
    </i>
    <i r="1">
      <x v="6"/>
    </i>
    <i r="1">
      <x v="18"/>
    </i>
    <i r="1">
      <x v="22"/>
    </i>
    <i r="1">
      <x v="33"/>
    </i>
    <i>
      <x v="3"/>
    </i>
    <i r="1">
      <x v="34"/>
    </i>
    <i r="1">
      <x v="39"/>
    </i>
    <i>
      <x v="4"/>
    </i>
    <i r="1">
      <x v="3"/>
    </i>
    <i r="1">
      <x v="20"/>
    </i>
    <i r="1">
      <x v="22"/>
    </i>
    <i r="1">
      <x v="45"/>
    </i>
    <i>
      <x v="5"/>
    </i>
    <i r="1">
      <x/>
    </i>
    <i r="1">
      <x v="1"/>
    </i>
    <i r="1">
      <x v="5"/>
    </i>
    <i r="1">
      <x v="6"/>
    </i>
    <i>
      <x v="6"/>
    </i>
    <i r="1">
      <x v="8"/>
    </i>
    <i r="1">
      <x v="15"/>
    </i>
    <i r="1">
      <x v="36"/>
    </i>
    <i>
      <x v="7"/>
    </i>
    <i r="1">
      <x v="6"/>
    </i>
    <i r="1">
      <x v="10"/>
    </i>
    <i r="1">
      <x v="14"/>
    </i>
    <i r="1">
      <x v="22"/>
    </i>
    <i r="1">
      <x v="45"/>
    </i>
    <i r="1">
      <x v="46"/>
    </i>
    <i>
      <x v="8"/>
    </i>
    <i r="1">
      <x v="6"/>
    </i>
    <i r="1">
      <x v="9"/>
    </i>
    <i r="1">
      <x v="16"/>
    </i>
    <i r="1">
      <x v="21"/>
    </i>
    <i r="1">
      <x v="33"/>
    </i>
    <i r="1">
      <x v="37"/>
    </i>
    <i>
      <x v="9"/>
    </i>
    <i r="1">
      <x v="6"/>
    </i>
    <i r="1">
      <x v="8"/>
    </i>
    <i r="1">
      <x v="14"/>
    </i>
    <i r="1">
      <x v="22"/>
    </i>
    <i r="1">
      <x v="36"/>
    </i>
    <i r="1">
      <x v="45"/>
    </i>
    <i>
      <x v="10"/>
    </i>
    <i r="1">
      <x v="6"/>
    </i>
    <i r="1">
      <x v="15"/>
    </i>
    <i r="1">
      <x v="24"/>
    </i>
    <i r="1">
      <x v="29"/>
    </i>
    <i r="1">
      <x v="34"/>
    </i>
    <i r="1">
      <x v="38"/>
    </i>
    <i r="1">
      <x v="39"/>
    </i>
    <i r="1">
      <x v="42"/>
    </i>
    <i r="1">
      <x v="43"/>
    </i>
    <i r="1">
      <x v="44"/>
    </i>
    <i>
      <x v="11"/>
    </i>
    <i r="1">
      <x v="6"/>
    </i>
    <i r="1">
      <x v="9"/>
    </i>
    <i r="1">
      <x v="19"/>
    </i>
    <i r="1">
      <x v="20"/>
    </i>
    <i r="1">
      <x v="21"/>
    </i>
    <i r="1">
      <x v="33"/>
    </i>
    <i>
      <x v="12"/>
    </i>
    <i r="1">
      <x v="6"/>
    </i>
    <i r="1">
      <x v="9"/>
    </i>
    <i r="1">
      <x v="16"/>
    </i>
    <i r="1">
      <x v="21"/>
    </i>
    <i r="1">
      <x v="33"/>
    </i>
    <i r="1">
      <x v="37"/>
    </i>
    <i>
      <x v="13"/>
    </i>
    <i r="1">
      <x v="8"/>
    </i>
    <i r="1">
      <x v="15"/>
    </i>
    <i r="1">
      <x v="36"/>
    </i>
    <i>
      <x v="14"/>
    </i>
    <i r="1">
      <x v="2"/>
    </i>
    <i r="1">
      <x v="9"/>
    </i>
    <i r="1">
      <x v="11"/>
    </i>
    <i r="1">
      <x v="18"/>
    </i>
    <i r="1">
      <x v="29"/>
    </i>
    <i r="1">
      <x v="33"/>
    </i>
    <i r="1">
      <x v="37"/>
    </i>
    <i>
      <x v="15"/>
    </i>
    <i r="1">
      <x v="1"/>
    </i>
    <i r="1">
      <x v="11"/>
    </i>
    <i r="1">
      <x v="26"/>
    </i>
    <i r="1">
      <x v="27"/>
    </i>
    <i r="1">
      <x v="29"/>
    </i>
    <i r="1">
      <x v="30"/>
    </i>
    <i>
      <x v="16"/>
    </i>
    <i r="1">
      <x v="6"/>
    </i>
    <i r="1">
      <x v="8"/>
    </i>
    <i r="1">
      <x v="22"/>
    </i>
    <i r="1">
      <x v="45"/>
    </i>
    <i>
      <x v="17"/>
    </i>
    <i r="1">
      <x v="6"/>
    </i>
    <i r="1">
      <x v="16"/>
    </i>
    <i r="1">
      <x v="19"/>
    </i>
    <i r="1">
      <x v="20"/>
    </i>
    <i r="1">
      <x v="21"/>
    </i>
    <i r="1">
      <x v="24"/>
    </i>
    <i>
      <x v="18"/>
    </i>
    <i r="1">
      <x/>
    </i>
    <i r="1">
      <x v="3"/>
    </i>
    <i r="1">
      <x v="6"/>
    </i>
    <i r="1">
      <x v="9"/>
    </i>
    <i r="1">
      <x v="19"/>
    </i>
    <i r="1">
      <x v="20"/>
    </i>
    <i r="1">
      <x v="21"/>
    </i>
    <i r="1">
      <x v="33"/>
    </i>
    <i>
      <x v="19"/>
    </i>
    <i r="1">
      <x v="8"/>
    </i>
    <i r="1">
      <x v="15"/>
    </i>
    <i r="1">
      <x v="35"/>
    </i>
    <i r="1">
      <x v="36"/>
    </i>
    <i>
      <x v="20"/>
    </i>
    <i r="1">
      <x/>
    </i>
    <i r="1">
      <x v="4"/>
    </i>
    <i r="1">
      <x v="6"/>
    </i>
    <i>
      <x v="21"/>
    </i>
    <i r="1">
      <x v="8"/>
    </i>
    <i r="1">
      <x v="15"/>
    </i>
    <i r="1">
      <x v="24"/>
    </i>
    <i r="1">
      <x v="36"/>
    </i>
    <i>
      <x v="22"/>
    </i>
    <i r="1">
      <x v="12"/>
    </i>
    <i r="1">
      <x v="17"/>
    </i>
    <i r="1">
      <x v="26"/>
    </i>
    <i r="1">
      <x v="27"/>
    </i>
    <i r="1">
      <x v="29"/>
    </i>
    <i>
      <x v="23"/>
    </i>
    <i r="1">
      <x v="8"/>
    </i>
    <i r="1">
      <x v="10"/>
    </i>
    <i r="1">
      <x v="14"/>
    </i>
    <i r="1">
      <x v="22"/>
    </i>
    <i r="1">
      <x v="35"/>
    </i>
    <i r="1">
      <x v="45"/>
    </i>
    <i r="1">
      <x v="46"/>
    </i>
    <i>
      <x v="24"/>
    </i>
    <i r="1">
      <x v="6"/>
    </i>
    <i r="1">
      <x v="9"/>
    </i>
    <i r="1">
      <x v="19"/>
    </i>
    <i r="1">
      <x v="21"/>
    </i>
    <i r="1">
      <x v="23"/>
    </i>
    <i r="1">
      <x v="33"/>
    </i>
    <i>
      <x v="25"/>
    </i>
    <i r="1">
      <x/>
    </i>
    <i r="1">
      <x v="1"/>
    </i>
    <i r="1">
      <x v="5"/>
    </i>
    <i>
      <x v="26"/>
    </i>
    <i r="1">
      <x v="6"/>
    </i>
    <i r="1">
      <x v="7"/>
    </i>
    <i r="1">
      <x v="8"/>
    </i>
    <i r="1">
      <x v="10"/>
    </i>
    <i r="1">
      <x v="14"/>
    </i>
    <i r="1">
      <x v="22"/>
    </i>
    <i r="1">
      <x v="36"/>
    </i>
    <i r="1">
      <x v="45"/>
    </i>
    <i r="1">
      <x v="46"/>
    </i>
    <i>
      <x v="27"/>
    </i>
    <i r="1">
      <x v="8"/>
    </i>
    <i r="1">
      <x v="15"/>
    </i>
    <i r="1">
      <x v="22"/>
    </i>
    <i r="1">
      <x v="36"/>
    </i>
    <i>
      <x v="28"/>
    </i>
    <i r="1">
      <x v="11"/>
    </i>
    <i r="1">
      <x v="17"/>
    </i>
    <i r="1">
      <x v="42"/>
    </i>
    <i>
      <x v="29"/>
    </i>
    <i r="1">
      <x v="6"/>
    </i>
    <i r="1">
      <x v="9"/>
    </i>
    <i r="1">
      <x v="16"/>
    </i>
    <i r="1">
      <x v="19"/>
    </i>
    <i r="1">
      <x v="20"/>
    </i>
    <i r="1">
      <x v="21"/>
    </i>
    <i r="1">
      <x v="33"/>
    </i>
    <i>
      <x v="30"/>
    </i>
    <i r="1">
      <x/>
    </i>
    <i r="1">
      <x v="3"/>
    </i>
    <i r="1">
      <x v="4"/>
    </i>
    <i r="1">
      <x v="6"/>
    </i>
    <i>
      <x v="31"/>
    </i>
    <i r="1">
      <x/>
    </i>
    <i r="1">
      <x v="1"/>
    </i>
    <i r="1">
      <x v="2"/>
    </i>
    <i r="1">
      <x v="5"/>
    </i>
    <i r="1">
      <x v="6"/>
    </i>
    <i>
      <x v="32"/>
    </i>
    <i r="1">
      <x v="17"/>
    </i>
    <i r="1">
      <x v="29"/>
    </i>
    <i r="1">
      <x v="32"/>
    </i>
    <i r="1">
      <x v="42"/>
    </i>
    <i r="1">
      <x v="43"/>
    </i>
    <i>
      <x v="33"/>
    </i>
    <i r="1">
      <x/>
    </i>
    <i r="1">
      <x v="1"/>
    </i>
    <i r="1">
      <x v="4"/>
    </i>
    <i r="1">
      <x v="5"/>
    </i>
    <i r="1">
      <x v="6"/>
    </i>
    <i>
      <x v="34"/>
    </i>
    <i r="1">
      <x v="1"/>
    </i>
    <i r="1">
      <x v="6"/>
    </i>
    <i r="1">
      <x v="8"/>
    </i>
    <i r="1">
      <x v="15"/>
    </i>
    <i r="1">
      <x v="17"/>
    </i>
    <i r="1">
      <x v="20"/>
    </i>
    <i r="1">
      <x v="24"/>
    </i>
    <i r="1">
      <x v="29"/>
    </i>
    <i r="1">
      <x v="33"/>
    </i>
    <i r="1">
      <x v="36"/>
    </i>
    <i r="1">
      <x v="38"/>
    </i>
    <i r="1">
      <x v="40"/>
    </i>
    <i r="1">
      <x v="41"/>
    </i>
    <i r="1">
      <x v="45"/>
    </i>
    <i>
      <x v="35"/>
    </i>
    <i r="1">
      <x/>
    </i>
    <i r="1">
      <x v="3"/>
    </i>
    <i r="1">
      <x v="6"/>
    </i>
    <i r="1">
      <x v="8"/>
    </i>
    <i>
      <x v="36"/>
    </i>
    <i r="1">
      <x v="8"/>
    </i>
    <i r="1">
      <x v="15"/>
    </i>
    <i r="1">
      <x v="24"/>
    </i>
    <i r="1">
      <x v="36"/>
    </i>
    <i>
      <x v="37"/>
    </i>
    <i r="1">
      <x/>
    </i>
    <i r="1">
      <x v="1"/>
    </i>
    <i r="1">
      <x v="4"/>
    </i>
    <i r="1">
      <x v="5"/>
    </i>
    <i r="1">
      <x v="6"/>
    </i>
    <i>
      <x v="38"/>
    </i>
    <i r="1">
      <x/>
    </i>
    <i r="1">
      <x v="1"/>
    </i>
    <i r="1">
      <x v="2"/>
    </i>
    <i r="1">
      <x v="3"/>
    </i>
    <i r="1">
      <x v="4"/>
    </i>
    <i r="1">
      <x v="6"/>
    </i>
    <i>
      <x v="39"/>
    </i>
    <i r="1">
      <x v="6"/>
    </i>
    <i r="1">
      <x v="10"/>
    </i>
    <i r="1">
      <x v="22"/>
    </i>
    <i r="1">
      <x v="35"/>
    </i>
    <i r="1">
      <x v="45"/>
    </i>
    <i r="1">
      <x v="46"/>
    </i>
    <i>
      <x v="40"/>
    </i>
    <i r="1">
      <x v="13"/>
    </i>
    <i r="1">
      <x v="17"/>
    </i>
    <i r="1">
      <x v="27"/>
    </i>
    <i r="1">
      <x v="31"/>
    </i>
    <i r="1">
      <x v="32"/>
    </i>
    <i r="1">
      <x v="38"/>
    </i>
    <i r="1">
      <x v="42"/>
    </i>
    <i r="1">
      <x v="43"/>
    </i>
    <i r="1">
      <x v="44"/>
    </i>
    <i>
      <x v="41"/>
    </i>
    <i r="1">
      <x v="6"/>
    </i>
    <i r="1">
      <x v="8"/>
    </i>
    <i r="1">
      <x v="10"/>
    </i>
    <i r="1">
      <x v="14"/>
    </i>
    <i r="1">
      <x v="22"/>
    </i>
    <i r="1">
      <x v="36"/>
    </i>
    <i r="1">
      <x v="45"/>
    </i>
    <i>
      <x v="42"/>
    </i>
    <i r="1">
      <x v="1"/>
    </i>
    <i r="1">
      <x v="2"/>
    </i>
    <i r="1">
      <x v="3"/>
    </i>
    <i r="1">
      <x v="29"/>
    </i>
    <i>
      <x v="43"/>
    </i>
    <i r="1">
      <x/>
    </i>
    <i r="1">
      <x v="1"/>
    </i>
    <i r="1">
      <x v="5"/>
    </i>
    <i r="1">
      <x v="6"/>
    </i>
    <i>
      <x v="44"/>
    </i>
    <i r="1">
      <x v="15"/>
    </i>
    <i r="1">
      <x v="34"/>
    </i>
    <i r="1">
      <x v="39"/>
    </i>
    <i>
      <x v="45"/>
    </i>
    <i r="1">
      <x v="6"/>
    </i>
    <i r="1">
      <x v="8"/>
    </i>
    <i r="1">
      <x v="22"/>
    </i>
    <i r="1">
      <x v="35"/>
    </i>
    <i r="1">
      <x v="36"/>
    </i>
    <i r="1">
      <x v="45"/>
    </i>
    <i>
      <x v="46"/>
    </i>
    <i r="1">
      <x v="6"/>
    </i>
    <i r="1">
      <x v="9"/>
    </i>
    <i r="1">
      <x v="19"/>
    </i>
    <i r="1">
      <x v="20"/>
    </i>
    <i r="1">
      <x v="21"/>
    </i>
    <i r="1">
      <x v="23"/>
    </i>
    <i>
      <x v="47"/>
    </i>
    <i r="1">
      <x v="6"/>
    </i>
    <i r="1">
      <x v="8"/>
    </i>
    <i r="1">
      <x v="14"/>
    </i>
    <i r="1">
      <x v="22"/>
    </i>
    <i r="1">
      <x v="36"/>
    </i>
    <i r="1">
      <x v="45"/>
    </i>
    <i>
      <x v="48"/>
    </i>
    <i r="1">
      <x v="6"/>
    </i>
    <i r="1">
      <x v="8"/>
    </i>
    <i r="1">
      <x v="14"/>
    </i>
    <i r="1">
      <x v="22"/>
    </i>
    <i r="1">
      <x v="36"/>
    </i>
    <i r="1">
      <x v="45"/>
    </i>
    <i>
      <x v="49"/>
    </i>
    <i r="1">
      <x v="3"/>
    </i>
    <i r="1">
      <x v="6"/>
    </i>
    <i r="1">
      <x v="9"/>
    </i>
    <i r="1">
      <x v="19"/>
    </i>
    <i r="1">
      <x v="23"/>
    </i>
    <i r="1">
      <x v="33"/>
    </i>
    <i>
      <x v="50"/>
    </i>
    <i r="1">
      <x v="19"/>
    </i>
    <i r="1">
      <x v="20"/>
    </i>
    <i r="1">
      <x v="21"/>
    </i>
    <i r="1">
      <x v="24"/>
    </i>
    <i r="1">
      <x v="44"/>
    </i>
    <i>
      <x v="51"/>
    </i>
    <i r="1">
      <x v="2"/>
    </i>
    <i r="1">
      <x v="6"/>
    </i>
    <i r="1">
      <x v="9"/>
    </i>
    <i r="1">
      <x v="19"/>
    </i>
    <i r="1">
      <x v="24"/>
    </i>
    <i r="1">
      <x v="33"/>
    </i>
    <i r="1">
      <x v="40"/>
    </i>
    <i r="1">
      <x v="41"/>
    </i>
    <i>
      <x v="52"/>
    </i>
    <i r="1">
      <x v="1"/>
    </i>
    <i r="1">
      <x v="2"/>
    </i>
    <i r="1">
      <x v="4"/>
    </i>
    <i r="1">
      <x v="11"/>
    </i>
    <i r="1">
      <x v="18"/>
    </i>
    <i r="1">
      <x v="29"/>
    </i>
    <i>
      <x v="53"/>
    </i>
    <i r="1">
      <x v="8"/>
    </i>
    <i r="1">
      <x v="15"/>
    </i>
    <i r="1">
      <x v="36"/>
    </i>
    <i>
      <x v="54"/>
    </i>
    <i r="1">
      <x v="6"/>
    </i>
    <i r="1">
      <x v="8"/>
    </i>
    <i r="1">
      <x v="14"/>
    </i>
    <i r="1">
      <x v="22"/>
    </i>
    <i r="1">
      <x v="36"/>
    </i>
    <i r="1">
      <x v="45"/>
    </i>
    <i>
      <x v="55"/>
    </i>
    <i r="1">
      <x/>
    </i>
    <i r="1">
      <x v="1"/>
    </i>
    <i r="1">
      <x v="2"/>
    </i>
    <i r="1">
      <x v="5"/>
    </i>
    <i r="1">
      <x v="6"/>
    </i>
    <i>
      <x v="56"/>
    </i>
    <i r="1">
      <x v="6"/>
    </i>
    <i r="1">
      <x v="8"/>
    </i>
    <i r="1">
      <x v="10"/>
    </i>
    <i r="1">
      <x v="14"/>
    </i>
    <i r="1">
      <x v="22"/>
    </i>
    <i r="1">
      <x v="35"/>
    </i>
    <i r="1">
      <x v="45"/>
    </i>
    <i>
      <x v="57"/>
    </i>
    <i r="1">
      <x v="2"/>
    </i>
    <i r="1">
      <x v="3"/>
    </i>
    <i r="1">
      <x v="4"/>
    </i>
    <i r="1">
      <x v="18"/>
    </i>
    <i r="1">
      <x v="33"/>
    </i>
    <i>
      <x v="58"/>
    </i>
    <i r="1">
      <x v="6"/>
    </i>
    <i r="1">
      <x v="8"/>
    </i>
    <i r="1">
      <x v="22"/>
    </i>
    <i r="1">
      <x v="35"/>
    </i>
    <i r="1">
      <x v="36"/>
    </i>
    <i r="1">
      <x v="45"/>
    </i>
    <i>
      <x v="59"/>
    </i>
    <i r="1">
      <x v="3"/>
    </i>
    <i r="1">
      <x v="6"/>
    </i>
    <i r="1">
      <x v="8"/>
    </i>
    <i r="1">
      <x v="9"/>
    </i>
    <i r="1">
      <x v="15"/>
    </i>
    <i r="1">
      <x v="21"/>
    </i>
    <i r="1">
      <x v="24"/>
    </i>
    <i r="1">
      <x v="28"/>
    </i>
    <i r="1">
      <x v="40"/>
    </i>
    <i>
      <x v="60"/>
    </i>
    <i r="1">
      <x/>
    </i>
    <i r="1">
      <x v="1"/>
    </i>
    <i r="1">
      <x v="5"/>
    </i>
    <i r="1">
      <x v="6"/>
    </i>
    <i r="1">
      <x v="22"/>
    </i>
    <i>
      <x v="61"/>
    </i>
    <i r="1">
      <x v="1"/>
    </i>
    <i r="1">
      <x v="2"/>
    </i>
    <i r="1">
      <x v="4"/>
    </i>
    <i r="1">
      <x v="11"/>
    </i>
    <i>
      <x v="62"/>
    </i>
    <i r="1">
      <x v="6"/>
    </i>
    <i r="1">
      <x v="20"/>
    </i>
    <i r="1">
      <x v="21"/>
    </i>
    <i r="1">
      <x v="24"/>
    </i>
    <i r="1">
      <x v="25"/>
    </i>
    <i r="1">
      <x v="33"/>
    </i>
    <i r="1">
      <x v="41"/>
    </i>
    <i>
      <x v="63"/>
    </i>
    <i r="1">
      <x v="1"/>
    </i>
    <i r="1">
      <x v="5"/>
    </i>
    <i>
      <x v="64"/>
    </i>
    <i r="1">
      <x/>
    </i>
    <i r="1">
      <x v="1"/>
    </i>
    <i r="1">
      <x v="2"/>
    </i>
    <i r="1">
      <x v="4"/>
    </i>
    <i r="1">
      <x v="11"/>
    </i>
    <i>
      <x v="65"/>
    </i>
    <i r="1">
      <x v="24"/>
    </i>
    <i r="1">
      <x v="40"/>
    </i>
    <i r="1">
      <x v="41"/>
    </i>
    <i>
      <x v="66"/>
    </i>
    <i r="1">
      <x v="6"/>
    </i>
    <i r="1">
      <x v="15"/>
    </i>
    <i r="1">
      <x v="29"/>
    </i>
    <i r="1">
      <x v="34"/>
    </i>
    <i r="1">
      <x v="38"/>
    </i>
    <i r="1">
      <x v="39"/>
    </i>
    <i r="1">
      <x v="42"/>
    </i>
    <i>
      <x v="67"/>
    </i>
    <i r="1">
      <x v="2"/>
    </i>
    <i r="1">
      <x v="21"/>
    </i>
    <i r="1">
      <x v="24"/>
    </i>
    <i r="1">
      <x v="25"/>
    </i>
    <i r="1">
      <x v="41"/>
    </i>
    <i>
      <x v="68"/>
    </i>
    <i r="1">
      <x/>
    </i>
    <i r="1">
      <x v="3"/>
    </i>
    <i r="1">
      <x v="6"/>
    </i>
    <i r="1">
      <x v="8"/>
    </i>
    <i r="1">
      <x v="9"/>
    </i>
    <i r="1">
      <x v="20"/>
    </i>
    <i r="1">
      <x v="22"/>
    </i>
    <i r="1">
      <x v="23"/>
    </i>
    <i>
      <x v="69"/>
    </i>
    <i r="1">
      <x v="6"/>
    </i>
    <i r="1">
      <x v="8"/>
    </i>
    <i r="1">
      <x v="10"/>
    </i>
    <i r="1">
      <x v="14"/>
    </i>
    <i r="1">
      <x v="22"/>
    </i>
    <i r="1">
      <x v="45"/>
    </i>
    <i>
      <x v="70"/>
    </i>
    <i r="1">
      <x/>
    </i>
    <i r="1">
      <x v="1"/>
    </i>
    <i r="1">
      <x v="5"/>
    </i>
    <i r="1">
      <x v="6"/>
    </i>
    <i>
      <x v="71"/>
    </i>
    <i r="1">
      <x/>
    </i>
    <i r="1">
      <x v="3"/>
    </i>
    <i r="1">
      <x v="4"/>
    </i>
    <i r="1">
      <x v="6"/>
    </i>
    <i>
      <x v="72"/>
    </i>
    <i r="1">
      <x v="6"/>
    </i>
    <i r="1">
      <x v="9"/>
    </i>
    <i r="1">
      <x v="16"/>
    </i>
    <i r="1">
      <x v="19"/>
    </i>
    <i r="1">
      <x v="21"/>
    </i>
    <i r="1">
      <x v="33"/>
    </i>
    <i r="1">
      <x v="37"/>
    </i>
    <i>
      <x v="73"/>
    </i>
    <i r="1">
      <x v="3"/>
    </i>
    <i r="1">
      <x v="6"/>
    </i>
    <i r="1">
      <x v="9"/>
    </i>
    <i r="1">
      <x v="19"/>
    </i>
    <i r="1">
      <x v="20"/>
    </i>
    <i r="1">
      <x v="21"/>
    </i>
    <i r="1">
      <x v="24"/>
    </i>
    <i r="1">
      <x v="33"/>
    </i>
    <i r="1">
      <x v="40"/>
    </i>
    <i>
      <x v="74"/>
    </i>
    <i r="1">
      <x/>
    </i>
    <i r="1">
      <x v="4"/>
    </i>
    <i r="1">
      <x v="6"/>
    </i>
    <i>
      <x v="75"/>
    </i>
    <i r="1">
      <x v="3"/>
    </i>
    <i r="1">
      <x v="15"/>
    </i>
    <i r="1">
      <x v="22"/>
    </i>
    <i>
      <x v="76"/>
    </i>
    <i r="1">
      <x v="3"/>
    </i>
    <i r="1">
      <x v="6"/>
    </i>
    <i r="1">
      <x v="9"/>
    </i>
    <i r="1">
      <x v="19"/>
    </i>
    <i r="1">
      <x v="21"/>
    </i>
    <i r="1">
      <x v="23"/>
    </i>
    <i r="1">
      <x v="33"/>
    </i>
    <i>
      <x v="77"/>
    </i>
    <i r="1">
      <x v="6"/>
    </i>
    <i r="1">
      <x v="8"/>
    </i>
    <i r="1">
      <x v="22"/>
    </i>
    <i r="1">
      <x v="45"/>
    </i>
    <i>
      <x v="78"/>
    </i>
    <i r="1">
      <x v="6"/>
    </i>
    <i r="1">
      <x v="8"/>
    </i>
    <i r="1">
      <x v="22"/>
    </i>
    <i r="1">
      <x v="45"/>
    </i>
    <i>
      <x v="79"/>
    </i>
    <i r="1">
      <x v="17"/>
    </i>
    <i r="1">
      <x v="38"/>
    </i>
    <i r="1">
      <x v="39"/>
    </i>
    <i r="1">
      <x v="42"/>
    </i>
    <i>
      <x v="80"/>
    </i>
    <i r="1">
      <x v="8"/>
    </i>
    <i r="1">
      <x v="10"/>
    </i>
    <i r="1">
      <x v="22"/>
    </i>
    <i r="1">
      <x v="35"/>
    </i>
    <i r="1">
      <x v="36"/>
    </i>
    <i r="1">
      <x v="45"/>
    </i>
    <i>
      <x v="81"/>
    </i>
    <i r="1">
      <x/>
    </i>
    <i r="1">
      <x v="3"/>
    </i>
    <i r="1">
      <x v="4"/>
    </i>
    <i r="1">
      <x v="6"/>
    </i>
    <i>
      <x v="82"/>
    </i>
    <i r="1">
      <x/>
    </i>
    <i r="1">
      <x v="3"/>
    </i>
    <i r="1">
      <x v="4"/>
    </i>
    <i r="1">
      <x v="6"/>
    </i>
    <i>
      <x v="83"/>
    </i>
    <i r="1">
      <x v="6"/>
    </i>
    <i r="1">
      <x v="8"/>
    </i>
    <i r="1">
      <x v="14"/>
    </i>
    <i r="1">
      <x v="22"/>
    </i>
    <i r="1">
      <x v="27"/>
    </i>
    <i r="1">
      <x v="36"/>
    </i>
    <i r="1">
      <x v="45"/>
    </i>
    <i>
      <x v="84"/>
    </i>
    <i r="1">
      <x v="6"/>
    </i>
    <i r="1">
      <x v="8"/>
    </i>
    <i r="1">
      <x v="22"/>
    </i>
    <i r="1">
      <x v="45"/>
    </i>
    <i>
      <x v="85"/>
    </i>
    <i r="1">
      <x v="6"/>
    </i>
    <i r="1">
      <x v="8"/>
    </i>
    <i r="1">
      <x v="22"/>
    </i>
    <i r="1">
      <x v="35"/>
    </i>
    <i r="1">
      <x v="36"/>
    </i>
    <i r="1">
      <x v="45"/>
    </i>
    <i>
      <x v="86"/>
    </i>
    <i r="1">
      <x v="17"/>
    </i>
    <i r="1">
      <x v="29"/>
    </i>
    <i r="1">
      <x v="31"/>
    </i>
    <i r="1">
      <x v="32"/>
    </i>
    <i r="1">
      <x v="38"/>
    </i>
    <i r="1">
      <x v="42"/>
    </i>
    <i r="1">
      <x v="43"/>
    </i>
    <i r="1">
      <x v="44"/>
    </i>
    <i>
      <x v="87"/>
    </i>
    <i r="1">
      <x v="6"/>
    </i>
    <i r="1">
      <x v="9"/>
    </i>
    <i r="1">
      <x v="16"/>
    </i>
    <i r="1">
      <x v="19"/>
    </i>
    <i r="1">
      <x v="20"/>
    </i>
    <i r="1">
      <x v="21"/>
    </i>
    <i r="1">
      <x v="33"/>
    </i>
    <i>
      <x v="88"/>
    </i>
    <i r="1">
      <x v="24"/>
    </i>
    <i r="1">
      <x v="40"/>
    </i>
    <i r="1">
      <x v="41"/>
    </i>
    <i>
      <x v="89"/>
    </i>
    <i r="1">
      <x v="1"/>
    </i>
    <i r="1">
      <x v="11"/>
    </i>
    <i r="1">
      <x v="26"/>
    </i>
    <i r="1">
      <x v="27"/>
    </i>
    <i r="1">
      <x v="28"/>
    </i>
    <i r="1">
      <x v="29"/>
    </i>
    <i r="1">
      <x v="30"/>
    </i>
    <i r="1">
      <x v="37"/>
    </i>
    <i>
      <x v="90"/>
    </i>
    <i r="1">
      <x v="11"/>
    </i>
    <i r="1">
      <x v="17"/>
    </i>
    <i r="1">
      <x v="29"/>
    </i>
    <i r="1">
      <x v="34"/>
    </i>
    <i r="1">
      <x v="38"/>
    </i>
    <i r="1">
      <x v="42"/>
    </i>
    <i r="1">
      <x v="43"/>
    </i>
    <i>
      <x v="91"/>
    </i>
    <i r="1">
      <x v="9"/>
    </i>
    <i r="1">
      <x v="11"/>
    </i>
    <i r="1">
      <x v="16"/>
    </i>
    <i r="1">
      <x v="33"/>
    </i>
    <i r="1">
      <x v="37"/>
    </i>
    <i>
      <x v="92"/>
    </i>
    <i r="1">
      <x v="9"/>
    </i>
    <i r="1">
      <x v="11"/>
    </i>
    <i r="1">
      <x v="16"/>
    </i>
    <i r="1">
      <x v="18"/>
    </i>
    <i r="1">
      <x v="33"/>
    </i>
    <i r="1">
      <x v="37"/>
    </i>
    <i>
      <x v="93"/>
    </i>
    <i r="1">
      <x v="6"/>
    </i>
    <i r="1">
      <x v="8"/>
    </i>
    <i r="1">
      <x v="15"/>
    </i>
    <i r="1">
      <x v="21"/>
    </i>
    <i r="1">
      <x v="24"/>
    </i>
    <i r="1">
      <x v="27"/>
    </i>
    <i r="1">
      <x v="40"/>
    </i>
    <i>
      <x v="94"/>
    </i>
    <i r="1">
      <x v="3"/>
    </i>
    <i r="1">
      <x v="11"/>
    </i>
    <i r="1">
      <x v="16"/>
    </i>
    <i r="1">
      <x v="18"/>
    </i>
    <i r="1">
      <x v="20"/>
    </i>
    <i r="1">
      <x v="21"/>
    </i>
    <i r="1">
      <x v="24"/>
    </i>
    <i r="1">
      <x v="33"/>
    </i>
    <i r="1">
      <x v="37"/>
    </i>
    <i>
      <x v="95"/>
    </i>
    <i r="1">
      <x v="3"/>
    </i>
    <i r="1">
      <x v="6"/>
    </i>
    <i r="1">
      <x v="9"/>
    </i>
    <i r="1">
      <x v="19"/>
    </i>
    <i r="1">
      <x v="20"/>
    </i>
    <i r="1">
      <x v="23"/>
    </i>
    <i r="1">
      <x v="33"/>
    </i>
    <i r="1">
      <x v="45"/>
    </i>
    <i>
      <x v="96"/>
    </i>
    <i r="1">
      <x/>
    </i>
    <i r="1">
      <x v="4"/>
    </i>
    <i r="1">
      <x v="6"/>
    </i>
    <i>
      <x v="97"/>
    </i>
    <i r="1">
      <x v="6"/>
    </i>
    <i r="1">
      <x v="8"/>
    </i>
    <i r="1">
      <x v="22"/>
    </i>
    <i r="1">
      <x v="36"/>
    </i>
    <i r="1">
      <x v="45"/>
    </i>
    <i>
      <x v="98"/>
    </i>
    <i r="1">
      <x v="17"/>
    </i>
    <i r="1">
      <x v="31"/>
    </i>
    <i r="1">
      <x v="32"/>
    </i>
    <i r="1">
      <x v="38"/>
    </i>
    <i r="1">
      <x v="42"/>
    </i>
    <i>
      <x v="99"/>
    </i>
    <i r="1">
      <x v="9"/>
    </i>
    <i r="1">
      <x v="11"/>
    </i>
    <i r="1">
      <x v="18"/>
    </i>
    <i r="1">
      <x v="33"/>
    </i>
    <i r="1">
      <x v="37"/>
    </i>
    <i>
      <x v="100"/>
    </i>
    <i r="1">
      <x v="9"/>
    </i>
    <i r="1">
      <x v="12"/>
    </i>
    <i r="1">
      <x v="13"/>
    </i>
    <i r="1">
      <x v="17"/>
    </i>
    <i r="1">
      <x v="21"/>
    </i>
    <i r="1">
      <x v="32"/>
    </i>
    <i>
      <x v="101"/>
    </i>
    <i r="1">
      <x v="1"/>
    </i>
    <i r="1">
      <x v="2"/>
    </i>
    <i r="1">
      <x v="5"/>
    </i>
    <i r="1">
      <x v="6"/>
    </i>
    <i r="1">
      <x v="11"/>
    </i>
    <i r="1">
      <x v="29"/>
    </i>
    <i>
      <x v="102"/>
    </i>
    <i r="1">
      <x v="34"/>
    </i>
    <i r="1">
      <x v="39"/>
    </i>
    <i>
      <x v="103"/>
    </i>
    <i r="1">
      <x v="6"/>
    </i>
    <i r="1">
      <x v="9"/>
    </i>
    <i r="1">
      <x v="19"/>
    </i>
    <i r="1">
      <x v="21"/>
    </i>
    <i r="1">
      <x v="33"/>
    </i>
    <i>
      <x v="104"/>
    </i>
    <i r="1">
      <x v="2"/>
    </i>
    <i r="1">
      <x v="11"/>
    </i>
    <i r="1">
      <x v="18"/>
    </i>
    <i r="1">
      <x v="29"/>
    </i>
    <i r="1">
      <x v="33"/>
    </i>
    <i r="1">
      <x v="37"/>
    </i>
    <i>
      <x v="105"/>
    </i>
    <i r="1">
      <x v="9"/>
    </i>
    <i r="1">
      <x v="12"/>
    </i>
    <i r="1">
      <x v="13"/>
    </i>
    <i r="1">
      <x v="17"/>
    </i>
    <i r="1">
      <x v="21"/>
    </i>
    <i r="1">
      <x v="32"/>
    </i>
    <i>
      <x v="106"/>
    </i>
    <i r="1">
      <x v="17"/>
    </i>
    <i r="1">
      <x v="29"/>
    </i>
    <i r="1">
      <x v="32"/>
    </i>
    <i r="1">
      <x v="42"/>
    </i>
    <i r="1">
      <x v="43"/>
    </i>
    <i>
      <x v="107"/>
    </i>
    <i r="1">
      <x v="6"/>
    </i>
    <i r="1">
      <x v="19"/>
    </i>
    <i r="1">
      <x v="20"/>
    </i>
    <i r="1">
      <x v="21"/>
    </i>
    <i r="1">
      <x v="24"/>
    </i>
    <i r="1">
      <x v="25"/>
    </i>
    <i r="1">
      <x v="33"/>
    </i>
    <i r="1">
      <x v="41"/>
    </i>
    <i>
      <x v="108"/>
    </i>
    <i r="1">
      <x v="9"/>
    </i>
    <i r="1">
      <x v="11"/>
    </i>
    <i r="1">
      <x v="18"/>
    </i>
    <i r="1">
      <x v="33"/>
    </i>
    <i r="1">
      <x v="37"/>
    </i>
    <i>
      <x v="109"/>
    </i>
    <i r="1">
      <x v="1"/>
    </i>
    <i r="1">
      <x v="5"/>
    </i>
    <i>
      <x v="110"/>
    </i>
    <i r="1">
      <x/>
    </i>
    <i r="1">
      <x v="4"/>
    </i>
    <i r="1">
      <x v="6"/>
    </i>
    <i>
      <x v="111"/>
    </i>
    <i r="1">
      <x v="3"/>
    </i>
    <i r="1">
      <x v="4"/>
    </i>
    <i r="1">
      <x v="6"/>
    </i>
    <i r="1">
      <x v="18"/>
    </i>
    <i r="1">
      <x v="33"/>
    </i>
    <i>
      <x v="112"/>
    </i>
    <i r="1">
      <x v="20"/>
    </i>
    <i r="1">
      <x v="24"/>
    </i>
    <i>
      <x v="113"/>
    </i>
    <i r="1">
      <x v="6"/>
    </i>
    <i r="1">
      <x v="19"/>
    </i>
    <i r="1">
      <x v="20"/>
    </i>
    <i r="1">
      <x v="21"/>
    </i>
    <i r="1">
      <x v="24"/>
    </i>
    <i r="1">
      <x v="25"/>
    </i>
    <i r="1">
      <x v="33"/>
    </i>
    <i r="1">
      <x v="41"/>
    </i>
    <i>
      <x v="114"/>
    </i>
    <i r="1">
      <x v="3"/>
    </i>
    <i r="1">
      <x v="6"/>
    </i>
    <i r="1">
      <x v="9"/>
    </i>
    <i r="1">
      <x v="19"/>
    </i>
    <i r="1">
      <x v="20"/>
    </i>
    <i r="1">
      <x v="22"/>
    </i>
    <i>
      <x v="115"/>
    </i>
    <i r="1">
      <x v="1"/>
    </i>
    <i r="1">
      <x v="2"/>
    </i>
    <i r="1">
      <x v="5"/>
    </i>
    <i r="1">
      <x v="29"/>
    </i>
    <i>
      <x v="116"/>
    </i>
    <i r="1">
      <x/>
    </i>
    <i r="1">
      <x v="1"/>
    </i>
    <i r="1">
      <x v="5"/>
    </i>
    <i>
      <x v="117"/>
    </i>
    <i r="1">
      <x v="11"/>
    </i>
    <i r="1">
      <x v="17"/>
    </i>
    <i r="1">
      <x v="29"/>
    </i>
    <i r="1">
      <x v="38"/>
    </i>
    <i r="1">
      <x v="42"/>
    </i>
    <i r="1">
      <x v="43"/>
    </i>
    <i>
      <x v="118"/>
    </i>
    <i r="1">
      <x v="1"/>
    </i>
    <i r="1">
      <x v="11"/>
    </i>
    <i r="1">
      <x v="27"/>
    </i>
    <i r="1">
      <x v="29"/>
    </i>
    <i r="1">
      <x v="30"/>
    </i>
    <i r="1">
      <x v="33"/>
    </i>
    <i r="1">
      <x v="37"/>
    </i>
    <i>
      <x v="119"/>
    </i>
    <i r="1">
      <x/>
    </i>
    <i r="1">
      <x v="3"/>
    </i>
    <i r="1">
      <x v="4"/>
    </i>
    <i r="1">
      <x v="6"/>
    </i>
    <i>
      <x v="120"/>
    </i>
    <i r="1">
      <x v="3"/>
    </i>
    <i r="1">
      <x v="6"/>
    </i>
    <i r="1">
      <x v="9"/>
    </i>
    <i r="1">
      <x v="15"/>
    </i>
    <i r="1">
      <x v="23"/>
    </i>
    <i r="1">
      <x v="33"/>
    </i>
    <i>
      <x v="121"/>
    </i>
    <i r="1">
      <x v="34"/>
    </i>
    <i r="1">
      <x v="39"/>
    </i>
    <i r="1">
      <x v="42"/>
    </i>
    <i>
      <x v="122"/>
    </i>
    <i r="1">
      <x v="6"/>
    </i>
    <i r="1">
      <x v="8"/>
    </i>
    <i r="1">
      <x v="22"/>
    </i>
    <i r="1">
      <x v="45"/>
    </i>
    <i>
      <x v="123"/>
    </i>
    <i r="1">
      <x/>
    </i>
    <i r="1">
      <x v="3"/>
    </i>
    <i r="1">
      <x v="4"/>
    </i>
    <i r="1">
      <x v="6"/>
    </i>
    <i>
      <x v="124"/>
    </i>
    <i r="1">
      <x v="1"/>
    </i>
    <i r="1">
      <x v="5"/>
    </i>
    <i r="1">
      <x v="11"/>
    </i>
    <i r="1">
      <x v="17"/>
    </i>
    <i r="1">
      <x v="20"/>
    </i>
    <i r="1">
      <x v="29"/>
    </i>
    <i>
      <x v="125"/>
    </i>
    <i r="1">
      <x v="6"/>
    </i>
    <i r="1">
      <x v="8"/>
    </i>
    <i r="1">
      <x v="10"/>
    </i>
    <i r="1">
      <x v="22"/>
    </i>
    <i r="1">
      <x v="35"/>
    </i>
    <i r="1">
      <x v="36"/>
    </i>
    <i r="1">
      <x v="45"/>
    </i>
    <i>
      <x v="126"/>
    </i>
    <i r="1">
      <x v="17"/>
    </i>
    <i r="1">
      <x v="38"/>
    </i>
    <i r="1">
      <x v="39"/>
    </i>
    <i r="1">
      <x v="42"/>
    </i>
    <i>
      <x v="127"/>
    </i>
    <i r="1">
      <x v="6"/>
    </i>
    <i r="1">
      <x v="9"/>
    </i>
    <i r="1">
      <x v="16"/>
    </i>
    <i r="1">
      <x v="19"/>
    </i>
    <i r="1">
      <x v="20"/>
    </i>
    <i r="1">
      <x v="21"/>
    </i>
    <i r="1">
      <x v="24"/>
    </i>
    <i>
      <x v="128"/>
    </i>
    <i r="1">
      <x v="13"/>
    </i>
    <i r="1">
      <x v="17"/>
    </i>
    <i r="1">
      <x v="31"/>
    </i>
    <i r="1">
      <x v="32"/>
    </i>
    <i r="1">
      <x v="43"/>
    </i>
    <i>
      <x v="129"/>
    </i>
    <i r="1">
      <x v="6"/>
    </i>
    <i r="1">
      <x v="9"/>
    </i>
    <i r="1">
      <x v="19"/>
    </i>
    <i r="1">
      <x v="21"/>
    </i>
    <i r="1">
      <x v="23"/>
    </i>
    <i>
      <x v="130"/>
    </i>
    <i r="1">
      <x v="3"/>
    </i>
    <i r="1">
      <x v="6"/>
    </i>
    <i r="1">
      <x v="18"/>
    </i>
    <i r="1">
      <x v="22"/>
    </i>
    <i>
      <x v="131"/>
    </i>
    <i r="1">
      <x/>
    </i>
    <i r="1">
      <x v="1"/>
    </i>
    <i r="1">
      <x v="2"/>
    </i>
    <i r="1">
      <x v="5"/>
    </i>
    <i r="1">
      <x v="29"/>
    </i>
    <i>
      <x v="132"/>
    </i>
    <i r="1">
      <x v="17"/>
    </i>
    <i r="1">
      <x v="27"/>
    </i>
    <i r="1">
      <x v="29"/>
    </i>
    <i r="1">
      <x v="42"/>
    </i>
    <i r="1">
      <x v="43"/>
    </i>
    <i>
      <x v="133"/>
    </i>
    <i r="1">
      <x/>
    </i>
    <i r="1">
      <x v="1"/>
    </i>
    <i r="1">
      <x v="5"/>
    </i>
    <i r="1">
      <x v="6"/>
    </i>
    <i r="1">
      <x v="20"/>
    </i>
    <i>
      <x v="134"/>
    </i>
    <i r="1">
      <x v="34"/>
    </i>
    <i r="1">
      <x v="39"/>
    </i>
    <i>
      <x v="135"/>
    </i>
    <i r="1">
      <x v="12"/>
    </i>
    <i r="1">
      <x v="17"/>
    </i>
    <i r="1">
      <x v="26"/>
    </i>
    <i r="1">
      <x v="27"/>
    </i>
    <i r="1">
      <x v="28"/>
    </i>
    <i r="1">
      <x v="29"/>
    </i>
    <i>
      <x v="136"/>
    </i>
    <i r="1">
      <x v="3"/>
    </i>
    <i r="1">
      <x v="8"/>
    </i>
    <i r="1">
      <x v="9"/>
    </i>
    <i r="1">
      <x v="19"/>
    </i>
    <i r="1">
      <x v="20"/>
    </i>
    <i r="1">
      <x v="21"/>
    </i>
    <i r="1">
      <x v="24"/>
    </i>
    <i r="1">
      <x v="27"/>
    </i>
    <i r="1">
      <x v="40"/>
    </i>
    <i>
      <x v="137"/>
    </i>
    <i r="1">
      <x v="15"/>
    </i>
    <i r="1">
      <x v="20"/>
    </i>
    <i r="1">
      <x v="34"/>
    </i>
    <i r="1">
      <x v="38"/>
    </i>
    <i r="1">
      <x v="39"/>
    </i>
    <i r="1">
      <x v="42"/>
    </i>
    <i>
      <x v="138"/>
    </i>
    <i r="1">
      <x v="6"/>
    </i>
    <i r="1">
      <x v="15"/>
    </i>
    <i r="1">
      <x v="29"/>
    </i>
    <i r="1">
      <x v="34"/>
    </i>
    <i r="1">
      <x v="38"/>
    </i>
    <i r="1">
      <x v="39"/>
    </i>
    <i r="1">
      <x v="42"/>
    </i>
    <i r="1">
      <x v="43"/>
    </i>
    <i r="1">
      <x v="44"/>
    </i>
    <i>
      <x v="139"/>
    </i>
    <i r="1">
      <x v="6"/>
    </i>
    <i r="1">
      <x v="8"/>
    </i>
    <i r="1">
      <x v="22"/>
    </i>
    <i r="1">
      <x v="35"/>
    </i>
    <i r="1">
      <x v="36"/>
    </i>
    <i r="1">
      <x v="45"/>
    </i>
    <i>
      <x v="140"/>
    </i>
    <i r="1">
      <x/>
    </i>
    <i r="1">
      <x v="2"/>
    </i>
    <i r="1">
      <x v="3"/>
    </i>
    <i r="1">
      <x v="4"/>
    </i>
    <i r="1">
      <x v="6"/>
    </i>
    <i>
      <x v="141"/>
    </i>
    <i r="1">
      <x/>
    </i>
    <i r="1">
      <x v="3"/>
    </i>
    <i r="1">
      <x v="4"/>
    </i>
    <i r="1">
      <x v="6"/>
    </i>
    <i>
      <x v="142"/>
    </i>
    <i r="1">
      <x v="6"/>
    </i>
    <i r="1">
      <x v="9"/>
    </i>
    <i r="1">
      <x v="19"/>
    </i>
    <i r="1">
      <x v="21"/>
    </i>
    <i r="1">
      <x v="23"/>
    </i>
    <i r="1">
      <x v="33"/>
    </i>
    <i>
      <x v="143"/>
    </i>
    <i r="1">
      <x v="6"/>
    </i>
    <i r="1">
      <x v="15"/>
    </i>
    <i r="1">
      <x v="24"/>
    </i>
    <i r="1">
      <x v="28"/>
    </i>
    <i r="1">
      <x v="40"/>
    </i>
    <i>
      <x v="144"/>
    </i>
    <i r="1">
      <x v="2"/>
    </i>
    <i r="1">
      <x v="9"/>
    </i>
    <i r="1">
      <x v="24"/>
    </i>
    <i r="1">
      <x v="33"/>
    </i>
    <i r="1">
      <x v="37"/>
    </i>
    <i r="1">
      <x v="40"/>
    </i>
    <i r="1">
      <x v="41"/>
    </i>
    <i>
      <x v="145"/>
    </i>
    <i r="1">
      <x v="2"/>
    </i>
    <i r="1">
      <x v="11"/>
    </i>
    <i r="1">
      <x v="18"/>
    </i>
    <i r="1">
      <x v="33"/>
    </i>
    <i r="1">
      <x v="37"/>
    </i>
    <i>
      <x v="146"/>
    </i>
    <i r="1">
      <x v="1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7"/>
    </i>
    <i>
      <x v="147"/>
    </i>
    <i r="1">
      <x v="17"/>
    </i>
    <i r="1">
      <x v="38"/>
    </i>
    <i r="1">
      <x v="39"/>
    </i>
    <i r="1">
      <x v="42"/>
    </i>
    <i>
      <x v="148"/>
    </i>
    <i r="1">
      <x v="9"/>
    </i>
    <i r="1">
      <x v="11"/>
    </i>
    <i r="1">
      <x v="18"/>
    </i>
    <i r="1">
      <x v="33"/>
    </i>
    <i r="1">
      <x v="37"/>
    </i>
    <i>
      <x v="149"/>
    </i>
    <i r="1">
      <x v="6"/>
    </i>
    <i r="1">
      <x v="8"/>
    </i>
    <i r="1">
      <x v="10"/>
    </i>
    <i r="1">
      <x v="22"/>
    </i>
    <i r="1">
      <x v="35"/>
    </i>
    <i r="1">
      <x v="36"/>
    </i>
    <i r="1">
      <x v="45"/>
    </i>
    <i>
      <x v="150"/>
    </i>
    <i r="1">
      <x v="15"/>
    </i>
    <i r="1">
      <x v="34"/>
    </i>
    <i r="1">
      <x v="38"/>
    </i>
    <i r="1">
      <x v="39"/>
    </i>
    <i r="1">
      <x v="42"/>
    </i>
    <i>
      <x v="151"/>
    </i>
    <i r="1">
      <x v="6"/>
    </i>
    <i r="1">
      <x v="10"/>
    </i>
    <i r="1">
      <x v="14"/>
    </i>
    <i r="1">
      <x v="22"/>
    </i>
    <i r="1">
      <x v="35"/>
    </i>
    <i r="1">
      <x v="45"/>
    </i>
    <i r="1">
      <x v="46"/>
    </i>
    <i>
      <x v="152"/>
    </i>
    <i r="1">
      <x v="8"/>
    </i>
    <i r="1">
      <x v="10"/>
    </i>
    <i r="1">
      <x v="14"/>
    </i>
    <i r="1">
      <x v="22"/>
    </i>
    <i r="1">
      <x v="35"/>
    </i>
    <i r="1">
      <x v="45"/>
    </i>
    <i r="1">
      <x v="46"/>
    </i>
    <i>
      <x v="153"/>
    </i>
    <i r="1">
      <x v="17"/>
    </i>
    <i r="1">
      <x v="29"/>
    </i>
    <i r="1">
      <x v="31"/>
    </i>
    <i r="1">
      <x v="38"/>
    </i>
    <i r="1">
      <x v="42"/>
    </i>
    <i r="1">
      <x v="43"/>
    </i>
    <i>
      <x v="154"/>
    </i>
    <i r="1">
      <x v="6"/>
    </i>
    <i r="1">
      <x v="19"/>
    </i>
    <i r="1">
      <x v="20"/>
    </i>
    <i r="1">
      <x v="21"/>
    </i>
    <i r="1">
      <x v="24"/>
    </i>
    <i>
      <x v="155"/>
    </i>
    <i r="1">
      <x v="3"/>
    </i>
    <i r="1">
      <x v="5"/>
    </i>
    <i r="1">
      <x v="6"/>
    </i>
    <i r="1">
      <x v="8"/>
    </i>
    <i r="1">
      <x v="14"/>
    </i>
    <i r="1">
      <x v="22"/>
    </i>
    <i r="1">
      <x v="45"/>
    </i>
    <i>
      <x v="156"/>
    </i>
    <i r="1">
      <x v="8"/>
    </i>
    <i r="1">
      <x v="22"/>
    </i>
    <i r="1">
      <x v="36"/>
    </i>
    <i r="1">
      <x v="45"/>
    </i>
    <i>
      <x v="157"/>
    </i>
    <i r="1">
      <x v="2"/>
    </i>
    <i r="1">
      <x v="3"/>
    </i>
    <i r="1">
      <x v="6"/>
    </i>
    <i r="1">
      <x v="11"/>
    </i>
    <i r="1">
      <x v="18"/>
    </i>
    <i r="1">
      <x v="29"/>
    </i>
    <i r="1">
      <x v="33"/>
    </i>
    <i r="1">
      <x v="37"/>
    </i>
    <i>
      <x v="158"/>
    </i>
    <i r="1">
      <x v="6"/>
    </i>
    <i r="1">
      <x v="9"/>
    </i>
    <i r="1">
      <x v="16"/>
    </i>
    <i r="1">
      <x v="19"/>
    </i>
    <i r="1">
      <x v="20"/>
    </i>
    <i r="1">
      <x v="21"/>
    </i>
    <i r="1">
      <x v="24"/>
    </i>
    <i r="1">
      <x v="33"/>
    </i>
    <i>
      <x v="159"/>
    </i>
    <i r="1">
      <x v="6"/>
    </i>
    <i r="1">
      <x v="9"/>
    </i>
    <i r="1">
      <x v="12"/>
    </i>
    <i r="1">
      <x v="13"/>
    </i>
    <i r="1">
      <x v="16"/>
    </i>
    <i r="1">
      <x v="21"/>
    </i>
    <i r="1">
      <x v="24"/>
    </i>
    <i r="1">
      <x v="25"/>
    </i>
    <i r="1">
      <x v="33"/>
    </i>
    <i>
      <x v="160"/>
    </i>
    <i r="1">
      <x/>
    </i>
    <i r="1">
      <x v="1"/>
    </i>
    <i r="1">
      <x v="2"/>
    </i>
    <i r="1">
      <x v="5"/>
    </i>
    <i r="1">
      <x v="6"/>
    </i>
    <i>
      <x v="161"/>
    </i>
    <i r="1">
      <x v="8"/>
    </i>
    <i r="1">
      <x v="15"/>
    </i>
    <i r="1">
      <x v="36"/>
    </i>
    <i>
      <x v="162"/>
    </i>
    <i r="1">
      <x v="6"/>
    </i>
    <i r="1">
      <x v="8"/>
    </i>
    <i r="1">
      <x v="22"/>
    </i>
    <i r="1">
      <x v="45"/>
    </i>
    <i>
      <x v="163"/>
    </i>
    <i r="1">
      <x v="8"/>
    </i>
    <i r="1">
      <x v="15"/>
    </i>
    <i r="1">
      <x v="36"/>
    </i>
    <i>
      <x v="164"/>
    </i>
    <i r="1">
      <x v="15"/>
    </i>
    <i r="1">
      <x v="34"/>
    </i>
    <i r="1">
      <x v="38"/>
    </i>
    <i r="1">
      <x v="39"/>
    </i>
    <i r="1">
      <x v="42"/>
    </i>
    <i>
      <x v="165"/>
    </i>
    <i r="1">
      <x v="3"/>
    </i>
    <i r="1">
      <x v="19"/>
    </i>
    <i r="1">
      <x v="20"/>
    </i>
    <i r="1">
      <x v="23"/>
    </i>
    <i>
      <x v="166"/>
    </i>
    <i r="1">
      <x/>
    </i>
    <i r="1">
      <x v="5"/>
    </i>
    <i r="1">
      <x v="6"/>
    </i>
    <i r="1">
      <x v="8"/>
    </i>
    <i>
      <x v="167"/>
    </i>
    <i r="1">
      <x v="2"/>
    </i>
    <i r="1">
      <x v="11"/>
    </i>
    <i r="1">
      <x v="18"/>
    </i>
    <i r="1">
      <x v="33"/>
    </i>
    <i r="1">
      <x v="37"/>
    </i>
    <i>
      <x v="168"/>
    </i>
    <i r="1">
      <x v="6"/>
    </i>
    <i r="1">
      <x v="8"/>
    </i>
    <i r="1">
      <x v="15"/>
    </i>
    <i r="1">
      <x v="21"/>
    </i>
    <i r="1">
      <x v="24"/>
    </i>
    <i r="1">
      <x v="28"/>
    </i>
    <i r="1">
      <x v="33"/>
    </i>
    <i r="1">
      <x v="40"/>
    </i>
    <i>
      <x v="169"/>
    </i>
    <i r="1">
      <x/>
    </i>
    <i r="1">
      <x v="3"/>
    </i>
    <i r="1">
      <x v="4"/>
    </i>
    <i r="1">
      <x v="6"/>
    </i>
    <i>
      <x v="170"/>
    </i>
    <i r="1">
      <x v="6"/>
    </i>
    <i r="1">
      <x v="9"/>
    </i>
    <i r="1">
      <x v="19"/>
    </i>
    <i r="1">
      <x v="20"/>
    </i>
    <i r="1">
      <x v="21"/>
    </i>
    <i r="1">
      <x v="33"/>
    </i>
    <i>
      <x v="171"/>
    </i>
    <i r="1">
      <x v="1"/>
    </i>
    <i r="1">
      <x v="5"/>
    </i>
    <i r="1">
      <x v="17"/>
    </i>
    <i r="1">
      <x v="20"/>
    </i>
    <i r="1">
      <x v="29"/>
    </i>
    <i>
      <x v="172"/>
    </i>
    <i r="1">
      <x/>
    </i>
    <i r="1">
      <x v="4"/>
    </i>
    <i r="1">
      <x v="6"/>
    </i>
    <i>
      <x v="173"/>
    </i>
    <i r="1">
      <x v="11"/>
    </i>
    <i r="1">
      <x v="17"/>
    </i>
    <i r="1">
      <x v="29"/>
    </i>
    <i r="1">
      <x v="31"/>
    </i>
    <i r="1">
      <x v="32"/>
    </i>
    <i r="1">
      <x v="38"/>
    </i>
    <i r="1">
      <x v="42"/>
    </i>
    <i r="1">
      <x v="43"/>
    </i>
    <i>
      <x v="174"/>
    </i>
    <i r="1">
      <x v="6"/>
    </i>
    <i r="1">
      <x v="9"/>
    </i>
    <i r="1">
      <x v="19"/>
    </i>
    <i r="1">
      <x v="20"/>
    </i>
    <i r="1">
      <x v="21"/>
    </i>
    <i r="1">
      <x v="24"/>
    </i>
    <i>
      <x v="175"/>
    </i>
    <i r="1">
      <x v="6"/>
    </i>
    <i r="1">
      <x v="19"/>
    </i>
    <i r="1">
      <x v="20"/>
    </i>
    <i r="1">
      <x v="21"/>
    </i>
    <i r="1">
      <x v="23"/>
    </i>
    <i>
      <x v="176"/>
    </i>
    <i r="1">
      <x v="15"/>
    </i>
    <i r="1">
      <x v="34"/>
    </i>
    <i r="1">
      <x v="38"/>
    </i>
    <i r="1">
      <x v="39"/>
    </i>
    <i r="1">
      <x v="42"/>
    </i>
    <i>
      <x v="177"/>
    </i>
    <i r="1">
      <x v="1"/>
    </i>
    <i r="1">
      <x v="2"/>
    </i>
    <i r="1">
      <x v="4"/>
    </i>
    <i r="1">
      <x v="11"/>
    </i>
    <i>
      <x v="178"/>
    </i>
    <i r="1">
      <x v="1"/>
    </i>
    <i r="1">
      <x v="2"/>
    </i>
    <i r="1">
      <x v="5"/>
    </i>
    <i r="1">
      <x v="6"/>
    </i>
    <i r="1">
      <x v="20"/>
    </i>
    <i r="1">
      <x v="29"/>
    </i>
    <i>
      <x v="179"/>
    </i>
    <i r="1">
      <x v="13"/>
    </i>
    <i r="1">
      <x v="17"/>
    </i>
    <i r="1">
      <x v="31"/>
    </i>
    <i r="1">
      <x v="32"/>
    </i>
    <i r="1">
      <x v="38"/>
    </i>
    <i r="1">
      <x v="42"/>
    </i>
    <i>
      <x v="180"/>
    </i>
    <i r="1">
      <x/>
    </i>
    <i r="1">
      <x v="1"/>
    </i>
    <i r="1">
      <x v="2"/>
    </i>
    <i r="1">
      <x v="4"/>
    </i>
    <i r="1">
      <x v="5"/>
    </i>
    <i r="1">
      <x v="11"/>
    </i>
    <i>
      <x v="181"/>
    </i>
    <i r="1">
      <x v="3"/>
    </i>
    <i r="1">
      <x v="6"/>
    </i>
    <i r="1">
      <x v="8"/>
    </i>
    <i r="1">
      <x v="10"/>
    </i>
    <i r="1">
      <x v="22"/>
    </i>
    <i r="1">
      <x v="23"/>
    </i>
    <i r="1">
      <x v="36"/>
    </i>
    <i r="1">
      <x v="45"/>
    </i>
    <i>
      <x v="182"/>
    </i>
    <i r="1">
      <x v="1"/>
    </i>
    <i r="1">
      <x v="11"/>
    </i>
    <i r="1">
      <x v="26"/>
    </i>
    <i r="1">
      <x v="27"/>
    </i>
    <i r="1">
      <x v="29"/>
    </i>
    <i r="1">
      <x v="30"/>
    </i>
    <i r="1">
      <x v="37"/>
    </i>
    <i>
      <x v="183"/>
    </i>
    <i r="1">
      <x/>
    </i>
    <i r="1">
      <x v="1"/>
    </i>
    <i r="1">
      <x v="2"/>
    </i>
    <i r="1">
      <x v="4"/>
    </i>
    <i r="1">
      <x v="11"/>
    </i>
    <i r="1">
      <x v="18"/>
    </i>
    <i>
      <x v="184"/>
    </i>
    <i r="1">
      <x v="7"/>
    </i>
    <i r="1">
      <x v="8"/>
    </i>
    <i r="1">
      <x v="14"/>
    </i>
    <i r="1">
      <x v="22"/>
    </i>
    <i r="1">
      <x v="27"/>
    </i>
    <i r="1">
      <x v="42"/>
    </i>
    <i r="1">
      <x v="45"/>
    </i>
    <i>
      <x v="185"/>
    </i>
    <i r="1">
      <x v="2"/>
    </i>
    <i r="1">
      <x v="9"/>
    </i>
    <i r="1">
      <x v="19"/>
    </i>
    <i r="1">
      <x v="24"/>
    </i>
    <i r="1">
      <x v="25"/>
    </i>
    <i r="1">
      <x v="33"/>
    </i>
    <i r="1">
      <x v="40"/>
    </i>
    <i r="1">
      <x v="41"/>
    </i>
    <i>
      <x v="186"/>
    </i>
    <i r="1">
      <x v="3"/>
    </i>
    <i r="1">
      <x v="6"/>
    </i>
    <i r="1">
      <x v="9"/>
    </i>
    <i r="1">
      <x v="19"/>
    </i>
    <i r="1">
      <x v="20"/>
    </i>
    <i r="1">
      <x v="21"/>
    </i>
    <i r="1">
      <x v="23"/>
    </i>
    <i>
      <x v="187"/>
    </i>
    <i r="1">
      <x v="9"/>
    </i>
    <i r="1">
      <x v="11"/>
    </i>
    <i r="1">
      <x v="18"/>
    </i>
    <i r="1">
      <x v="33"/>
    </i>
    <i r="1">
      <x v="37"/>
    </i>
    <i>
      <x v="188"/>
    </i>
    <i r="1">
      <x v="20"/>
    </i>
    <i r="1">
      <x v="34"/>
    </i>
    <i r="1">
      <x v="39"/>
    </i>
    <i>
      <x v="189"/>
    </i>
    <i r="1">
      <x v="17"/>
    </i>
    <i r="1">
      <x v="31"/>
    </i>
    <i r="1">
      <x v="32"/>
    </i>
    <i r="1">
      <x v="38"/>
    </i>
    <i r="1">
      <x v="42"/>
    </i>
    <i r="1">
      <x v="43"/>
    </i>
    <i r="1">
      <x v="44"/>
    </i>
    <i>
      <x v="190"/>
    </i>
    <i r="1">
      <x v="9"/>
    </i>
    <i r="1">
      <x v="12"/>
    </i>
    <i r="1">
      <x v="13"/>
    </i>
    <i r="1">
      <x v="17"/>
    </i>
    <i r="1">
      <x v="27"/>
    </i>
    <i r="1">
      <x v="37"/>
    </i>
    <i>
      <x v="191"/>
    </i>
    <i r="1">
      <x v="1"/>
    </i>
    <i r="1">
      <x v="2"/>
    </i>
    <i r="1">
      <x v="5"/>
    </i>
    <i r="1">
      <x v="11"/>
    </i>
    <i r="1">
      <x v="29"/>
    </i>
    <i>
      <x v="192"/>
    </i>
    <i r="1">
      <x v="17"/>
    </i>
    <i r="1">
      <x v="29"/>
    </i>
    <i r="1">
      <x v="32"/>
    </i>
    <i r="1">
      <x v="42"/>
    </i>
    <i r="1">
      <x v="43"/>
    </i>
    <i>
      <x v="193"/>
    </i>
    <i r="1">
      <x/>
    </i>
    <i r="1">
      <x v="4"/>
    </i>
    <i r="1">
      <x v="6"/>
    </i>
    <i>
      <x v="194"/>
    </i>
    <i r="1">
      <x v="15"/>
    </i>
    <i r="1">
      <x v="34"/>
    </i>
    <i r="1">
      <x v="38"/>
    </i>
    <i r="1">
      <x v="39"/>
    </i>
    <i r="1">
      <x v="42"/>
    </i>
    <i>
      <x v="195"/>
    </i>
    <i r="1">
      <x v="6"/>
    </i>
    <i r="1">
      <x v="8"/>
    </i>
    <i r="1">
      <x v="22"/>
    </i>
    <i r="1">
      <x v="29"/>
    </i>
    <i r="1">
      <x v="36"/>
    </i>
    <i r="1">
      <x v="45"/>
    </i>
    <i>
      <x v="196"/>
    </i>
    <i r="1">
      <x v="3"/>
    </i>
    <i r="1">
      <x v="6"/>
    </i>
    <i r="1">
      <x v="18"/>
    </i>
    <i r="1">
      <x v="23"/>
    </i>
    <i r="1">
      <x v="33"/>
    </i>
    <i>
      <x v="197"/>
    </i>
    <i r="1">
      <x v="6"/>
    </i>
    <i r="1">
      <x v="9"/>
    </i>
    <i r="1">
      <x v="16"/>
    </i>
    <i r="1">
      <x v="19"/>
    </i>
    <i r="1">
      <x v="23"/>
    </i>
    <i r="1">
      <x v="33"/>
    </i>
    <i r="1">
      <x v="37"/>
    </i>
    <i>
      <x v="198"/>
    </i>
    <i r="1">
      <x v="9"/>
    </i>
    <i r="1">
      <x v="11"/>
    </i>
    <i r="1">
      <x v="12"/>
    </i>
    <i r="1">
      <x v="13"/>
    </i>
    <i r="1">
      <x v="21"/>
    </i>
    <i r="1">
      <x v="37"/>
    </i>
    <i>
      <x v="199"/>
    </i>
    <i r="1">
      <x v="34"/>
    </i>
    <i r="1">
      <x v="39"/>
    </i>
    <i>
      <x v="200"/>
    </i>
    <i r="1">
      <x/>
    </i>
    <i r="1">
      <x v="1"/>
    </i>
    <i r="1">
      <x v="2"/>
    </i>
    <i r="1">
      <x v="5"/>
    </i>
    <i r="1">
      <x v="11"/>
    </i>
    <i r="1">
      <x v="29"/>
    </i>
    <i>
      <x v="201"/>
    </i>
    <i r="1">
      <x v="6"/>
    </i>
    <i r="1">
      <x v="9"/>
    </i>
    <i r="1">
      <x v="16"/>
    </i>
    <i r="1">
      <x v="19"/>
    </i>
    <i r="1">
      <x v="20"/>
    </i>
    <i r="1">
      <x v="21"/>
    </i>
    <i r="1">
      <x v="24"/>
    </i>
    <i r="1">
      <x v="33"/>
    </i>
    <i>
      <x v="202"/>
    </i>
    <i r="1">
      <x v="1"/>
    </i>
    <i r="1">
      <x v="2"/>
    </i>
    <i r="1">
      <x v="9"/>
    </i>
    <i r="1">
      <x v="11"/>
    </i>
    <i r="1">
      <x v="18"/>
    </i>
    <i r="1">
      <x v="29"/>
    </i>
    <i r="1">
      <x v="33"/>
    </i>
    <i r="1">
      <x v="37"/>
    </i>
    <i>
      <x v="203"/>
    </i>
    <i r="1">
      <x v="6"/>
    </i>
    <i r="1">
      <x v="8"/>
    </i>
    <i r="1">
      <x v="15"/>
    </i>
    <i r="1">
      <x v="17"/>
    </i>
    <i r="1">
      <x v="20"/>
    </i>
    <i r="1">
      <x v="24"/>
    </i>
    <i r="1">
      <x v="29"/>
    </i>
    <i r="1">
      <x v="33"/>
    </i>
    <i r="1">
      <x v="36"/>
    </i>
    <i r="1">
      <x v="39"/>
    </i>
    <i r="1">
      <x v="40"/>
    </i>
    <i r="1">
      <x v="41"/>
    </i>
    <i r="1">
      <x v="45"/>
    </i>
    <i>
      <x v="204"/>
    </i>
    <i r="1">
      <x v="6"/>
    </i>
    <i r="1">
      <x v="10"/>
    </i>
    <i r="1">
      <x v="14"/>
    </i>
    <i r="1">
      <x v="22"/>
    </i>
    <i r="1">
      <x v="45"/>
    </i>
    <i r="1">
      <x v="46"/>
    </i>
    <i>
      <x v="205"/>
    </i>
    <i r="1">
      <x v="8"/>
    </i>
    <i r="1">
      <x v="15"/>
    </i>
    <i r="1">
      <x v="22"/>
    </i>
    <i r="1">
      <x v="36"/>
    </i>
    <i>
      <x v="206"/>
    </i>
    <i r="1">
      <x v="9"/>
    </i>
    <i r="1">
      <x v="12"/>
    </i>
    <i r="1">
      <x v="13"/>
    </i>
    <i r="1">
      <x v="17"/>
    </i>
    <i r="1">
      <x v="21"/>
    </i>
    <i r="1">
      <x v="37"/>
    </i>
    <i>
      <x v="207"/>
    </i>
    <i r="1">
      <x v="15"/>
    </i>
    <i r="1">
      <x v="34"/>
    </i>
    <i r="1">
      <x v="38"/>
    </i>
    <i r="1">
      <x v="39"/>
    </i>
    <i r="1">
      <x v="42"/>
    </i>
    <i>
      <x v="208"/>
    </i>
    <i r="1">
      <x v="6"/>
    </i>
    <i r="1">
      <x v="8"/>
    </i>
    <i r="1">
      <x v="10"/>
    </i>
    <i r="1">
      <x v="14"/>
    </i>
    <i r="1">
      <x v="22"/>
    </i>
    <i r="1">
      <x v="36"/>
    </i>
    <i r="1">
      <x v="45"/>
    </i>
    <i>
      <x v="209"/>
    </i>
    <i r="1">
      <x v="17"/>
    </i>
    <i r="1">
      <x v="29"/>
    </i>
    <i r="1">
      <x v="32"/>
    </i>
    <i r="1">
      <x v="42"/>
    </i>
    <i r="1">
      <x v="44"/>
    </i>
    <i>
      <x v="210"/>
    </i>
    <i r="1">
      <x v="6"/>
    </i>
    <i r="1">
      <x v="8"/>
    </i>
    <i r="1">
      <x v="15"/>
    </i>
    <i r="1">
      <x v="24"/>
    </i>
    <i r="1">
      <x v="28"/>
    </i>
    <i r="1">
      <x v="33"/>
    </i>
    <i r="1">
      <x v="40"/>
    </i>
    <i>
      <x v="211"/>
    </i>
    <i r="1">
      <x v="1"/>
    </i>
    <i r="1">
      <x v="2"/>
    </i>
    <i r="1">
      <x v="11"/>
    </i>
    <i r="1">
      <x v="18"/>
    </i>
    <i r="1">
      <x v="33"/>
    </i>
    <i r="1">
      <x v="37"/>
    </i>
    <i>
      <x v="212"/>
    </i>
    <i r="1">
      <x/>
    </i>
    <i r="1">
      <x v="1"/>
    </i>
    <i r="1">
      <x v="5"/>
    </i>
    <i r="1">
      <x v="6"/>
    </i>
    <i>
      <x v="213"/>
    </i>
    <i r="1">
      <x/>
    </i>
    <i r="1">
      <x v="1"/>
    </i>
    <i r="1">
      <x v="5"/>
    </i>
    <i r="1">
      <x v="6"/>
    </i>
    <i>
      <x v="214"/>
    </i>
    <i r="1">
      <x v="47"/>
    </i>
    <i t="grand">
      <x/>
    </i>
  </rowItems>
  <colItems count="1">
    <i/>
  </colItems>
  <dataFields count="1">
    <dataField name="Count of VisualBucke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1460E-CFE7-4164-9D1D-848DFD3C4B1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2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224">
        <item x="128"/>
        <item x="22"/>
        <item x="203"/>
        <item x="35"/>
        <item x="201"/>
        <item x="100"/>
        <item x="104"/>
        <item x="109"/>
        <item x="79"/>
        <item x="206"/>
        <item x="193"/>
        <item x="81"/>
        <item x="111"/>
        <item x="164"/>
        <item x="48"/>
        <item x="46"/>
        <item x="205"/>
        <item x="113"/>
        <item x="139"/>
        <item x="72"/>
        <item x="52"/>
        <item x="151"/>
        <item x="218"/>
        <item x="93"/>
        <item x="12"/>
        <item x="115"/>
        <item x="211"/>
        <item x="103"/>
        <item x="75"/>
        <item x="61"/>
        <item x="74"/>
        <item x="157"/>
        <item x="175"/>
        <item x="58"/>
        <item x="138"/>
        <item x="87"/>
        <item x="64"/>
        <item x="214"/>
        <item x="153"/>
        <item x="147"/>
        <item x="132"/>
        <item x="171"/>
        <item x="172"/>
        <item x="88"/>
        <item x="63"/>
        <item x="145"/>
        <item x="119"/>
        <item x="14"/>
        <item x="98"/>
        <item x="78"/>
        <item x="207"/>
        <item x="198"/>
        <item x="83"/>
        <item x="2"/>
        <item x="91"/>
        <item x="62"/>
        <item x="90"/>
        <item x="118"/>
        <item x="97"/>
        <item x="26"/>
        <item x="210"/>
        <item x="142"/>
        <item x="212"/>
        <item x="120"/>
        <item x="121"/>
        <item x="10"/>
        <item x="136"/>
        <item x="196"/>
        <item x="195"/>
        <item x="11"/>
        <item x="24"/>
        <item x="51"/>
        <item x="68"/>
        <item x="152"/>
        <item x="45"/>
        <item x="110"/>
        <item x="18"/>
        <item x="19"/>
        <item x="116"/>
        <item x="117"/>
        <item x="65"/>
        <item x="131"/>
        <item x="56"/>
        <item x="59"/>
        <item x="204"/>
        <item x="67"/>
        <item x="94"/>
        <item x="140"/>
        <item x="85"/>
        <item x="0"/>
        <item x="165"/>
        <item x="49"/>
        <item x="39"/>
        <item x="50"/>
        <item x="188"/>
        <item x="179"/>
        <item x="189"/>
        <item x="8"/>
        <item x="5"/>
        <item x="29"/>
        <item x="124"/>
        <item x="54"/>
        <item x="57"/>
        <item x="32"/>
        <item x="181"/>
        <item x="125"/>
        <item x="167"/>
        <item x="143"/>
        <item x="199"/>
        <item x="170"/>
        <item x="15"/>
        <item x="161"/>
        <item x="169"/>
        <item x="176"/>
        <item x="122"/>
        <item x="123"/>
        <item x="7"/>
        <item x="31"/>
        <item x="69"/>
        <item x="42"/>
        <item x="197"/>
        <item x="162"/>
        <item x="177"/>
        <item x="185"/>
        <item x="186"/>
        <item x="55"/>
        <item x="149"/>
        <item x="66"/>
        <item x="60"/>
        <item x="95"/>
        <item x="112"/>
        <item x="219"/>
        <item x="114"/>
        <item x="202"/>
        <item x="34"/>
        <item x="101"/>
        <item x="173"/>
        <item x="183"/>
        <item x="30"/>
        <item x="221"/>
        <item x="137"/>
        <item x="194"/>
        <item x="96"/>
        <item x="20"/>
        <item x="16"/>
        <item x="47"/>
        <item x="1"/>
        <item x="160"/>
        <item x="216"/>
        <item x="38"/>
        <item x="215"/>
        <item x="17"/>
        <item x="146"/>
        <item x="190"/>
        <item x="148"/>
        <item x="92"/>
        <item x="141"/>
        <item x="180"/>
        <item x="182"/>
        <item x="40"/>
        <item x="70"/>
        <item x="99"/>
        <item x="163"/>
        <item x="41"/>
        <item x="25"/>
        <item x="73"/>
        <item x="102"/>
        <item x="134"/>
        <item x="105"/>
        <item x="127"/>
        <item x="28"/>
        <item x="21"/>
        <item x="13"/>
        <item x="44"/>
        <item x="178"/>
        <item x="184"/>
        <item x="187"/>
        <item x="76"/>
        <item x="106"/>
        <item x="191"/>
        <item x="9"/>
        <item x="158"/>
        <item x="209"/>
        <item x="71"/>
        <item x="217"/>
        <item x="166"/>
        <item x="150"/>
        <item x="77"/>
        <item x="80"/>
        <item x="208"/>
        <item x="3"/>
        <item x="23"/>
        <item x="53"/>
        <item x="82"/>
        <item x="86"/>
        <item x="6"/>
        <item x="133"/>
        <item x="129"/>
        <item x="154"/>
        <item x="200"/>
        <item x="174"/>
        <item x="84"/>
        <item x="135"/>
        <item x="33"/>
        <item x="36"/>
        <item x="4"/>
        <item x="37"/>
        <item x="220"/>
        <item x="159"/>
        <item x="144"/>
        <item x="43"/>
        <item x="130"/>
        <item x="107"/>
        <item x="168"/>
        <item x="192"/>
        <item x="89"/>
        <item x="108"/>
        <item x="27"/>
        <item x="126"/>
        <item x="213"/>
        <item x="155"/>
        <item x="156"/>
        <item x="2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24">
    <i>
      <x v="205"/>
    </i>
    <i>
      <x v="143"/>
    </i>
    <i>
      <x v="27"/>
    </i>
    <i>
      <x v="77"/>
    </i>
    <i>
      <x v="171"/>
    </i>
    <i>
      <x v="183"/>
    </i>
    <i>
      <x v="97"/>
    </i>
    <i>
      <x v="57"/>
    </i>
    <i>
      <x v="93"/>
    </i>
    <i>
      <x v="125"/>
    </i>
    <i>
      <x v="33"/>
    </i>
    <i>
      <x v="43"/>
    </i>
    <i>
      <x v="54"/>
    </i>
    <i>
      <x v="157"/>
    </i>
    <i>
      <x v="186"/>
    </i>
    <i>
      <x v="102"/>
    </i>
    <i>
      <x v="55"/>
    </i>
    <i>
      <x v="134"/>
    </i>
    <i>
      <x v="195"/>
    </i>
    <i>
      <x v="198"/>
    </i>
    <i>
      <x v="172"/>
    </i>
    <i>
      <x v="109"/>
    </i>
    <i>
      <x v="103"/>
    </i>
    <i>
      <x v="215"/>
    </i>
    <i>
      <x v="65"/>
    </i>
    <i>
      <x v="98"/>
    </i>
    <i>
      <x v="59"/>
    </i>
    <i>
      <x v="160"/>
    </i>
    <i>
      <x v="180"/>
    </i>
    <i>
      <x v="91"/>
    </i>
    <i>
      <x v="116"/>
    </i>
    <i>
      <x v="169"/>
    </i>
    <i>
      <x v="203"/>
    </i>
    <i>
      <x v="56"/>
    </i>
    <i>
      <x v="107"/>
    </i>
    <i>
      <x v="209"/>
    </i>
    <i>
      <x v="129"/>
    </i>
    <i>
      <x v="220"/>
    </i>
    <i>
      <x v="151"/>
    </i>
    <i>
      <x v="71"/>
    </i>
    <i>
      <x v="44"/>
    </i>
    <i>
      <x v="42"/>
    </i>
    <i>
      <x v="164"/>
    </i>
    <i>
      <x v="47"/>
    </i>
    <i>
      <x v="3"/>
    </i>
    <i>
      <x v="24"/>
    </i>
    <i>
      <x v="149"/>
    </i>
    <i>
      <x v="163"/>
    </i>
    <i>
      <x v="40"/>
    </i>
    <i>
      <x v="104"/>
    </i>
    <i>
      <x v="1"/>
    </i>
    <i>
      <x v="159"/>
    </i>
    <i>
      <x v="216"/>
    </i>
    <i>
      <x/>
    </i>
    <i>
      <x v="204"/>
    </i>
    <i>
      <x v="221"/>
    </i>
    <i>
      <x v="197"/>
    </i>
    <i>
      <x v="48"/>
    </i>
    <i>
      <x v="155"/>
    </i>
    <i>
      <x v="138"/>
    </i>
    <i>
      <x v="101"/>
    </i>
    <i>
      <x v="76"/>
    </i>
    <i>
      <x v="208"/>
    </i>
    <i>
      <x v="14"/>
    </i>
    <i>
      <x v="213"/>
    </i>
    <i>
      <x v="106"/>
    </i>
    <i>
      <x v="12"/>
    </i>
    <i>
      <x v="122"/>
    </i>
    <i>
      <x v="210"/>
    </i>
    <i>
      <x v="75"/>
    </i>
    <i>
      <x v="29"/>
    </i>
    <i>
      <x v="5"/>
    </i>
    <i>
      <x v="23"/>
    </i>
    <i>
      <x v="105"/>
    </i>
    <i>
      <x v="99"/>
    </i>
    <i>
      <x v="7"/>
    </i>
    <i>
      <x v="100"/>
    </i>
    <i>
      <x v="190"/>
    </i>
    <i>
      <x v="174"/>
    </i>
    <i>
      <x v="82"/>
    </i>
    <i>
      <x v="41"/>
    </i>
    <i>
      <x v="110"/>
    </i>
    <i>
      <x v="68"/>
    </i>
    <i>
      <x v="95"/>
    </i>
    <i>
      <x v="81"/>
    </i>
    <i>
      <x v="124"/>
    </i>
    <i>
      <x v="147"/>
    </i>
    <i>
      <x v="28"/>
    </i>
    <i>
      <x v="88"/>
    </i>
    <i>
      <x v="144"/>
    </i>
    <i>
      <x v="86"/>
    </i>
    <i>
      <x v="69"/>
    </i>
    <i>
      <x v="181"/>
    </i>
    <i>
      <x v="170"/>
    </i>
    <i>
      <x v="78"/>
    </i>
    <i>
      <x v="167"/>
    </i>
    <i>
      <x v="114"/>
    </i>
    <i>
      <x v="92"/>
    </i>
    <i>
      <x v="35"/>
    </i>
    <i>
      <x v="177"/>
    </i>
    <i>
      <x v="158"/>
    </i>
    <i>
      <x v="153"/>
    </i>
    <i>
      <x v="200"/>
    </i>
    <i>
      <x v="119"/>
    </i>
    <i>
      <x v="111"/>
    </i>
    <i>
      <x v="146"/>
    </i>
    <i>
      <x v="202"/>
    </i>
    <i>
      <x v="137"/>
    </i>
    <i>
      <x v="63"/>
    </i>
    <i>
      <x v="135"/>
    </i>
    <i>
      <x v="179"/>
    </i>
    <i>
      <x v="53"/>
    </i>
    <i>
      <x v="52"/>
    </i>
    <i>
      <x v="112"/>
    </i>
    <i>
      <x v="85"/>
    </i>
    <i>
      <x v="214"/>
    </i>
    <i>
      <x v="211"/>
    </i>
    <i>
      <x v="165"/>
    </i>
    <i>
      <x v="34"/>
    </i>
    <i>
      <x v="32"/>
    </i>
    <i>
      <x v="90"/>
    </i>
    <i>
      <x v="152"/>
    </i>
    <i>
      <x v="136"/>
    </i>
    <i>
      <x v="10"/>
    </i>
    <i>
      <x v="140"/>
    </i>
    <i>
      <x v="6"/>
    </i>
    <i>
      <x v="123"/>
    </i>
    <i>
      <x v="118"/>
    </i>
    <i>
      <x v="89"/>
    </i>
    <i>
      <x v="217"/>
    </i>
    <i>
      <x v="17"/>
    </i>
    <i>
      <x v="175"/>
    </i>
    <i>
      <x v="185"/>
    </i>
    <i>
      <x v="113"/>
    </i>
    <i>
      <x v="11"/>
    </i>
    <i>
      <x v="178"/>
    </i>
    <i>
      <x v="94"/>
    </i>
    <i>
      <x v="126"/>
    </i>
    <i>
      <x v="130"/>
    </i>
    <i>
      <x v="79"/>
    </i>
    <i>
      <x v="39"/>
    </i>
    <i>
      <x v="201"/>
    </i>
    <i>
      <x v="21"/>
    </i>
    <i>
      <x v="145"/>
    </i>
    <i>
      <x v="58"/>
    </i>
    <i>
      <x v="184"/>
    </i>
    <i>
      <x v="212"/>
    </i>
    <i>
      <x v="45"/>
    </i>
    <i>
      <x v="117"/>
    </i>
    <i>
      <x v="142"/>
    </i>
    <i>
      <x v="219"/>
    </i>
    <i>
      <x v="154"/>
    </i>
    <i>
      <x v="141"/>
    </i>
    <i>
      <x v="206"/>
    </i>
    <i>
      <x v="207"/>
    </i>
    <i>
      <x v="139"/>
    </i>
    <i>
      <x v="132"/>
    </i>
    <i>
      <x v="148"/>
    </i>
    <i>
      <x v="182"/>
    </i>
    <i>
      <x v="38"/>
    </i>
    <i>
      <x v="67"/>
    </i>
    <i>
      <x v="156"/>
    </i>
    <i>
      <x v="84"/>
    </i>
    <i>
      <x v="150"/>
    </i>
    <i>
      <x v="193"/>
    </i>
    <i>
      <x v="19"/>
    </i>
    <i>
      <x v="20"/>
    </i>
    <i>
      <x v="13"/>
    </i>
    <i>
      <x v="162"/>
    </i>
    <i>
      <x v="120"/>
    </i>
    <i>
      <x v="176"/>
    </i>
    <i>
      <x v="194"/>
    </i>
    <i>
      <x v="73"/>
    </i>
    <i>
      <x v="121"/>
    </i>
    <i>
      <x v="187"/>
    </i>
    <i>
      <x v="62"/>
    </i>
    <i>
      <x v="188"/>
    </i>
    <i>
      <x v="83"/>
    </i>
    <i>
      <x v="115"/>
    </i>
    <i>
      <x v="173"/>
    </i>
    <i>
      <x v="168"/>
    </i>
    <i>
      <x v="4"/>
    </i>
    <i>
      <x v="46"/>
    </i>
    <i>
      <x v="70"/>
    </i>
    <i>
      <x v="2"/>
    </i>
    <i>
      <x v="25"/>
    </i>
    <i>
      <x v="16"/>
    </i>
    <i>
      <x v="74"/>
    </i>
    <i>
      <x v="199"/>
    </i>
    <i>
      <x v="15"/>
    </i>
    <i>
      <x v="80"/>
    </i>
    <i>
      <x v="196"/>
    </i>
    <i>
      <x v="127"/>
    </i>
    <i>
      <x v="60"/>
    </i>
    <i>
      <x v="131"/>
    </i>
    <i>
      <x v="87"/>
    </i>
    <i>
      <x v="192"/>
    </i>
    <i>
      <x v="161"/>
    </i>
    <i>
      <x v="133"/>
    </i>
    <i>
      <x v="31"/>
    </i>
    <i>
      <x v="96"/>
    </i>
    <i>
      <x v="189"/>
    </i>
    <i>
      <x v="166"/>
    </i>
    <i>
      <x v="37"/>
    </i>
    <i>
      <x v="66"/>
    </i>
    <i>
      <x v="191"/>
    </i>
    <i>
      <x v="51"/>
    </i>
    <i>
      <x v="49"/>
    </i>
    <i>
      <x v="61"/>
    </i>
    <i>
      <x v="9"/>
    </i>
    <i>
      <x v="50"/>
    </i>
    <i>
      <x v="22"/>
    </i>
    <i>
      <x v="218"/>
    </i>
    <i>
      <x v="26"/>
    </i>
    <i>
      <x v="36"/>
    </i>
    <i>
      <x v="72"/>
    </i>
    <i>
      <x v="8"/>
    </i>
    <i>
      <x v="108"/>
    </i>
    <i>
      <x v="30"/>
    </i>
    <i>
      <x v="128"/>
    </i>
    <i>
      <x v="18"/>
    </i>
    <i>
      <x v="64"/>
    </i>
    <i>
      <x v="22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eigh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FBBE-6FDF-4D4B-A8E2-1D843B6DD7D0}">
  <sheetPr filterMode="1"/>
  <dimension ref="A1:K185"/>
  <sheetViews>
    <sheetView topLeftCell="A40" zoomScale="70" zoomScaleNormal="70" workbookViewId="0">
      <selection activeCell="A2" sqref="A2:E181"/>
    </sheetView>
  </sheetViews>
  <sheetFormatPr defaultRowHeight="15" x14ac:dyDescent="0.25"/>
  <cols>
    <col min="2" max="2" width="22.42578125" customWidth="1"/>
    <col min="3" max="3" width="10.5703125" bestFit="1" customWidth="1"/>
    <col min="4" max="4" width="19.42578125" customWidth="1"/>
    <col min="5" max="5" width="66.140625" customWidth="1"/>
    <col min="6" max="6" width="56.42578125" bestFit="1" customWidth="1"/>
    <col min="7" max="7" width="26" customWidth="1"/>
    <col min="10" max="10" width="25.5703125" bestFit="1" customWidth="1"/>
  </cols>
  <sheetData>
    <row r="1" spans="1:10" x14ac:dyDescent="0.25">
      <c r="B1" s="1" t="s">
        <v>107</v>
      </c>
      <c r="C1" t="s">
        <v>459</v>
      </c>
      <c r="D1" t="s">
        <v>458</v>
      </c>
      <c r="G1" t="s">
        <v>460</v>
      </c>
      <c r="H1" t="s">
        <v>461</v>
      </c>
      <c r="I1" t="s">
        <v>462</v>
      </c>
    </row>
    <row r="2" spans="1:10" x14ac:dyDescent="0.25">
      <c r="A2" t="str">
        <f>TRIM(B2)</f>
        <v>Iceland</v>
      </c>
      <c r="B2" s="2" t="s">
        <v>504</v>
      </c>
      <c r="C2" t="s">
        <v>370</v>
      </c>
      <c r="D2" t="s">
        <v>2341</v>
      </c>
      <c r="E2" t="s">
        <v>57</v>
      </c>
      <c r="F2" t="s">
        <v>372</v>
      </c>
      <c r="G2" t="str">
        <f>VLOOKUP($A2,NameCensus!$C$2:$E$140,1,FALSE)</f>
        <v>Iceland</v>
      </c>
      <c r="H2">
        <f>VLOOKUP($A2,NameCensus!$C$2:$E$140,2,FALSE)</f>
        <v>498</v>
      </c>
      <c r="I2">
        <f>VLOOKUP($A2,NameCensus!$C$2:$E$140,3,FALSE)</f>
        <v>2.3370000000000002</v>
      </c>
    </row>
    <row r="3" spans="1:10" x14ac:dyDescent="0.25">
      <c r="A3" s="19" t="str">
        <f t="shared" ref="A3:A66" si="0">TRIM(B3)</f>
        <v>Norway</v>
      </c>
      <c r="B3" s="2" t="s">
        <v>0</v>
      </c>
      <c r="C3" t="s">
        <v>370</v>
      </c>
      <c r="D3" t="s">
        <v>373</v>
      </c>
      <c r="E3" t="s">
        <v>58</v>
      </c>
      <c r="F3" t="s">
        <v>374</v>
      </c>
      <c r="G3" t="str">
        <f>VLOOKUP($A3,NameCensus!$C$2:$E$140,1,FALSE)</f>
        <v>Norway</v>
      </c>
      <c r="H3">
        <f>VLOOKUP($A3,NameCensus!$C$2:$E$140,2,FALSE)</f>
        <v>4.8099999999999996</v>
      </c>
      <c r="I3">
        <f>VLOOKUP($A3,NameCensus!$C$2:$E$140,3,FALSE)</f>
        <v>11.420999999999999</v>
      </c>
    </row>
    <row r="4" spans="1:10" x14ac:dyDescent="0.25">
      <c r="A4" s="19" t="str">
        <f t="shared" si="0"/>
        <v>Sweden</v>
      </c>
      <c r="B4" s="2" t="s">
        <v>1</v>
      </c>
      <c r="C4" t="s">
        <v>370</v>
      </c>
      <c r="D4" t="s">
        <v>373</v>
      </c>
      <c r="E4" t="s">
        <v>59</v>
      </c>
      <c r="F4" t="s">
        <v>375</v>
      </c>
      <c r="G4" t="str">
        <f>VLOOKUP($A4,NameCensus!$C$2:$E$140,1,FALSE)</f>
        <v>Sweden</v>
      </c>
      <c r="H4">
        <f>VLOOKUP($A4,NameCensus!$C$2:$E$140,2,FALSE)</f>
        <v>6.234</v>
      </c>
      <c r="I4">
        <f>VLOOKUP($A4,NameCensus!$C$2:$E$140,3,FALSE)</f>
        <v>12.705</v>
      </c>
    </row>
    <row r="5" spans="1:10" x14ac:dyDescent="0.25">
      <c r="A5" s="19" t="str">
        <f t="shared" si="0"/>
        <v>Denmark</v>
      </c>
      <c r="B5" s="2" t="s">
        <v>4</v>
      </c>
      <c r="C5" t="s">
        <v>370</v>
      </c>
      <c r="D5" t="s">
        <v>373</v>
      </c>
      <c r="E5" t="s">
        <v>60</v>
      </c>
      <c r="F5" t="s">
        <v>375</v>
      </c>
      <c r="G5" t="str">
        <f>VLOOKUP($A5,NameCensus!$C$2:$E$140,1,FALSE)</f>
        <v>Denmark</v>
      </c>
      <c r="H5">
        <f>VLOOKUP($A5,NameCensus!$C$2:$E$140,2,FALSE)</f>
        <v>3.7450000000000001</v>
      </c>
      <c r="I5">
        <f>VLOOKUP($A5,NameCensus!$C$2:$E$140,3,FALSE)</f>
        <v>8.827</v>
      </c>
    </row>
    <row r="6" spans="1:10" x14ac:dyDescent="0.25">
      <c r="A6" s="19" t="str">
        <f t="shared" si="0"/>
        <v>Finland</v>
      </c>
      <c r="B6" s="2" t="s">
        <v>5</v>
      </c>
      <c r="C6" t="s">
        <v>376</v>
      </c>
      <c r="D6" t="s">
        <v>373</v>
      </c>
      <c r="E6" t="s">
        <v>61</v>
      </c>
      <c r="F6" t="s">
        <v>377</v>
      </c>
      <c r="G6" t="str">
        <f>VLOOKUP($A6,NameCensus!$C$2:$E$140,1,FALSE)</f>
        <v>Finland</v>
      </c>
      <c r="H6">
        <f>VLOOKUP($A6,NameCensus!$C$2:$E$140,2,FALSE)</f>
        <v>4.4260000000000002</v>
      </c>
      <c r="I6">
        <f>VLOOKUP($A6,NameCensus!$C$2:$E$140,3,FALSE)</f>
        <v>8.3710000000000004</v>
      </c>
    </row>
    <row r="7" spans="1:10" x14ac:dyDescent="0.25">
      <c r="A7" s="19" t="str">
        <f t="shared" si="0"/>
        <v>England</v>
      </c>
      <c r="B7" s="2" t="s">
        <v>6</v>
      </c>
      <c r="C7" t="s">
        <v>370</v>
      </c>
      <c r="D7" t="s">
        <v>378</v>
      </c>
      <c r="E7" t="s">
        <v>62</v>
      </c>
      <c r="F7" t="s">
        <v>379</v>
      </c>
      <c r="G7" s="9" t="e">
        <f>VLOOKUP($A7,NameCensus!$C$2:$E$140,1,FALSE)</f>
        <v>#N/A</v>
      </c>
      <c r="H7" s="9" t="e">
        <f>VLOOKUP($A7,NameCensus!$C$2:$E$140,2,FALSE)</f>
        <v>#N/A</v>
      </c>
      <c r="I7" s="9" t="e">
        <f>VLOOKUP($A7,NameCensus!$C$2:$E$140,3,FALSE)</f>
        <v>#N/A</v>
      </c>
    </row>
    <row r="8" spans="1:10" x14ac:dyDescent="0.25">
      <c r="A8" s="19" t="str">
        <f t="shared" si="0"/>
        <v>Scotland</v>
      </c>
      <c r="B8" s="2" t="s">
        <v>7</v>
      </c>
      <c r="C8" t="s">
        <v>370</v>
      </c>
      <c r="D8" t="s">
        <v>373</v>
      </c>
      <c r="E8" t="s">
        <v>63</v>
      </c>
      <c r="F8" t="s">
        <v>380</v>
      </c>
      <c r="G8" s="9" t="e">
        <f>VLOOKUP($A8,NameCensus!$C$2:$E$140,1,FALSE)</f>
        <v>#N/A</v>
      </c>
      <c r="H8" s="9" t="e">
        <f>VLOOKUP($A8,NameCensus!$C$2:$E$140,2,FALSE)</f>
        <v>#N/A</v>
      </c>
      <c r="I8" s="9" t="e">
        <f>VLOOKUP($A8,NameCensus!$C$2:$E$140,3,FALSE)</f>
        <v>#N/A</v>
      </c>
      <c r="J8" t="s">
        <v>744</v>
      </c>
    </row>
    <row r="9" spans="1:10" x14ac:dyDescent="0.25">
      <c r="A9" s="19" t="str">
        <f t="shared" si="0"/>
        <v>Wales</v>
      </c>
      <c r="B9" s="2" t="s">
        <v>8</v>
      </c>
      <c r="C9" t="s">
        <v>370</v>
      </c>
      <c r="D9" t="s">
        <v>373</v>
      </c>
      <c r="E9" t="s">
        <v>64</v>
      </c>
      <c r="F9" t="s">
        <v>380</v>
      </c>
      <c r="G9" s="9" t="e">
        <f>VLOOKUP($A9,NameCensus!$C$2:$E$140,1,FALSE)</f>
        <v>#N/A</v>
      </c>
      <c r="H9" s="9" t="e">
        <f>VLOOKUP($A9,NameCensus!$C$2:$E$140,2,FALSE)</f>
        <v>#N/A</v>
      </c>
      <c r="I9" s="9" t="e">
        <f>VLOOKUP($A9,NameCensus!$C$2:$E$140,3,FALSE)</f>
        <v>#N/A</v>
      </c>
    </row>
    <row r="10" spans="1:10" x14ac:dyDescent="0.25">
      <c r="A10" s="19" t="str">
        <f t="shared" si="0"/>
        <v>Northern Ireland</v>
      </c>
      <c r="B10" s="2" t="s">
        <v>9</v>
      </c>
      <c r="C10" t="s">
        <v>376</v>
      </c>
      <c r="D10" t="s">
        <v>373</v>
      </c>
      <c r="E10" t="s">
        <v>65</v>
      </c>
      <c r="F10" t="s">
        <v>381</v>
      </c>
      <c r="G10" s="9" t="e">
        <f>VLOOKUP($A10,NameCensus!$C$2:$E$140,1,FALSE)</f>
        <v>#N/A</v>
      </c>
      <c r="H10" s="9" t="e">
        <f>VLOOKUP($A10,NameCensus!$C$2:$E$140,2,FALSE)</f>
        <v>#N/A</v>
      </c>
      <c r="I10" s="9" t="e">
        <f>VLOOKUP($A10,NameCensus!$C$2:$E$140,3,FALSE)</f>
        <v>#N/A</v>
      </c>
    </row>
    <row r="11" spans="1:10" x14ac:dyDescent="0.25">
      <c r="A11" s="19" t="str">
        <f t="shared" si="0"/>
        <v>Ireland</v>
      </c>
      <c r="B11" s="2" t="s">
        <v>10</v>
      </c>
      <c r="C11" t="s">
        <v>370</v>
      </c>
      <c r="D11" t="s">
        <v>373</v>
      </c>
      <c r="E11" t="s">
        <v>66</v>
      </c>
      <c r="F11" t="s">
        <v>382</v>
      </c>
      <c r="G11" t="str">
        <f>VLOOKUP($A11,NameCensus!$C$2:$E$140,1,FALSE)</f>
        <v>Ireland</v>
      </c>
      <c r="H11">
        <f>VLOOKUP($A11,NameCensus!$C$2:$E$140,2,FALSE)</f>
        <v>6.7439999999999998</v>
      </c>
      <c r="I11">
        <f>VLOOKUP($A11,NameCensus!$C$2:$E$140,3,FALSE)</f>
        <v>13.044</v>
      </c>
    </row>
    <row r="12" spans="1:10" x14ac:dyDescent="0.25">
      <c r="A12" s="19" t="str">
        <f t="shared" si="0"/>
        <v>France</v>
      </c>
      <c r="B12" s="2" t="s">
        <v>11</v>
      </c>
      <c r="C12" t="s">
        <v>370</v>
      </c>
      <c r="D12" t="s">
        <v>378</v>
      </c>
      <c r="E12" t="s">
        <v>67</v>
      </c>
      <c r="F12" t="s">
        <v>379</v>
      </c>
      <c r="G12" t="str">
        <f>VLOOKUP($A12,NameCensus!$C$2:$E$140,1,FALSE)</f>
        <v>France</v>
      </c>
      <c r="H12">
        <f>VLOOKUP($A12,NameCensus!$C$2:$E$140,2,FALSE)</f>
        <v>41.459000000000003</v>
      </c>
      <c r="I12">
        <f>VLOOKUP($A12,NameCensus!$C$2:$E$140,3,FALSE)</f>
        <v>38.787999999999997</v>
      </c>
    </row>
    <row r="13" spans="1:10" x14ac:dyDescent="0.25">
      <c r="A13" s="19" t="str">
        <f t="shared" si="0"/>
        <v>Belgium</v>
      </c>
      <c r="B13" s="2" t="s">
        <v>12</v>
      </c>
      <c r="C13" t="s">
        <v>376</v>
      </c>
      <c r="D13" t="s">
        <v>373</v>
      </c>
      <c r="E13" t="s">
        <v>68</v>
      </c>
      <c r="F13" t="s">
        <v>383</v>
      </c>
      <c r="G13" t="str">
        <f>VLOOKUP($A13,NameCensus!$C$2:$E$140,1,FALSE)</f>
        <v>Belgium</v>
      </c>
      <c r="H13">
        <f>VLOOKUP($A13,NameCensus!$C$2:$E$140,2,FALSE)</f>
        <v>14.538</v>
      </c>
      <c r="I13">
        <f>VLOOKUP($A13,NameCensus!$C$2:$E$140,3,FALSE)</f>
        <v>22.416</v>
      </c>
    </row>
    <row r="14" spans="1:10" x14ac:dyDescent="0.25">
      <c r="A14" s="19" t="str">
        <f t="shared" si="0"/>
        <v>Netherlands</v>
      </c>
      <c r="B14" s="2" t="s">
        <v>13</v>
      </c>
      <c r="C14" t="s">
        <v>370</v>
      </c>
      <c r="D14" t="s">
        <v>378</v>
      </c>
      <c r="E14" t="s">
        <v>69</v>
      </c>
      <c r="F14" t="s">
        <v>384</v>
      </c>
      <c r="G14" t="str">
        <f>VLOOKUP($A14,NameCensus!$C$2:$E$140,1,FALSE)</f>
        <v>Netherlands</v>
      </c>
      <c r="H14">
        <f>VLOOKUP($A14,NameCensus!$C$2:$E$140,2,FALSE)</f>
        <v>34.213000000000001</v>
      </c>
      <c r="I14">
        <f>VLOOKUP($A14,NameCensus!$C$2:$E$140,3,FALSE)</f>
        <v>31.073</v>
      </c>
    </row>
    <row r="15" spans="1:10" hidden="1" x14ac:dyDescent="0.25">
      <c r="A15" t="str">
        <f t="shared" si="0"/>
        <v>Luxembourg</v>
      </c>
      <c r="B15" s="2" t="s">
        <v>14</v>
      </c>
      <c r="C15" t="s">
        <v>370</v>
      </c>
      <c r="D15" t="s">
        <v>371</v>
      </c>
      <c r="E15" t="s">
        <v>70</v>
      </c>
      <c r="F15" t="s">
        <v>385</v>
      </c>
      <c r="G15" t="str">
        <f>VLOOKUP($A15,NameCensus!$C$2:$E$140,1,FALSE)</f>
        <v>Luxembourg</v>
      </c>
      <c r="H15">
        <f>VLOOKUP($A15,NameCensus!$C$2:$E$140,2,FALSE)</f>
        <v>1.889</v>
      </c>
      <c r="I15">
        <f>VLOOKUP($A15,NameCensus!$C$2:$E$140,3,FALSE)</f>
        <v>6.1740000000000004</v>
      </c>
    </row>
    <row r="16" spans="1:10" x14ac:dyDescent="0.25">
      <c r="A16" s="19" t="str">
        <f t="shared" si="0"/>
        <v>Germany</v>
      </c>
      <c r="B16" s="2" t="s">
        <v>15</v>
      </c>
      <c r="C16" t="s">
        <v>370</v>
      </c>
      <c r="D16" t="s">
        <v>378</v>
      </c>
      <c r="E16" t="s">
        <v>71</v>
      </c>
      <c r="F16" t="s">
        <v>379</v>
      </c>
      <c r="G16" t="str">
        <f>VLOOKUP($A16,NameCensus!$C$2:$E$140,1,FALSE)</f>
        <v>Germany</v>
      </c>
      <c r="H16">
        <f>VLOOKUP($A16,NameCensus!$C$2:$E$140,2,FALSE)</f>
        <v>37.01</v>
      </c>
      <c r="I16">
        <f>VLOOKUP($A16,NameCensus!$C$2:$E$140,3,FALSE)</f>
        <v>35.015999999999998</v>
      </c>
    </row>
    <row r="17" spans="1:11" x14ac:dyDescent="0.25">
      <c r="A17" s="19" t="str">
        <f t="shared" si="0"/>
        <v>Austria</v>
      </c>
      <c r="B17" s="2" t="s">
        <v>16</v>
      </c>
      <c r="C17" t="s">
        <v>370</v>
      </c>
      <c r="D17" t="s">
        <v>373</v>
      </c>
      <c r="E17" t="s">
        <v>72</v>
      </c>
      <c r="F17" t="s">
        <v>386</v>
      </c>
      <c r="G17" t="str">
        <f>VLOOKUP($A17,NameCensus!$C$2:$E$140,1,FALSE)</f>
        <v>Austria</v>
      </c>
      <c r="H17">
        <f>VLOOKUP($A17,NameCensus!$C$2:$E$140,2,FALSE)</f>
        <v>5.242</v>
      </c>
      <c r="I17">
        <f>VLOOKUP($A17,NameCensus!$C$2:$E$140,3,FALSE)</f>
        <v>10.238</v>
      </c>
    </row>
    <row r="18" spans="1:11" x14ac:dyDescent="0.25">
      <c r="A18" s="19" t="str">
        <f t="shared" si="0"/>
        <v>Switzerland</v>
      </c>
      <c r="B18" s="2" t="s">
        <v>17</v>
      </c>
      <c r="C18" t="s">
        <v>376</v>
      </c>
      <c r="D18" t="s">
        <v>378</v>
      </c>
      <c r="E18" t="s">
        <v>73</v>
      </c>
      <c r="F18" t="s">
        <v>387</v>
      </c>
      <c r="G18" t="str">
        <f>VLOOKUP($A18,NameCensus!$C$2:$E$140,1,FALSE)</f>
        <v>Switzerland</v>
      </c>
      <c r="H18">
        <f>VLOOKUP($A18,NameCensus!$C$2:$E$140,2,FALSE)</f>
        <v>6.085</v>
      </c>
      <c r="I18">
        <f>VLOOKUP($A18,NameCensus!$C$2:$E$140,3,FALSE)</f>
        <v>13.547000000000001</v>
      </c>
    </row>
    <row r="19" spans="1:11" x14ac:dyDescent="0.25">
      <c r="A19" s="19" t="str">
        <f t="shared" si="0"/>
        <v>Spain</v>
      </c>
      <c r="B19" s="2" t="s">
        <v>24</v>
      </c>
      <c r="C19" t="s">
        <v>370</v>
      </c>
      <c r="D19" t="s">
        <v>378</v>
      </c>
      <c r="E19" t="s">
        <v>74</v>
      </c>
      <c r="F19" t="s">
        <v>379</v>
      </c>
      <c r="G19" t="str">
        <f>VLOOKUP($A19,NameCensus!$C$2:$E$140,1,FALSE)</f>
        <v>Spain</v>
      </c>
      <c r="H19">
        <f>VLOOKUP($A19,NameCensus!$C$2:$E$140,2,FALSE)</f>
        <v>32.21</v>
      </c>
      <c r="I19">
        <f>VLOOKUP($A19,NameCensus!$C$2:$E$140,3,FALSE)</f>
        <v>36.695999999999998</v>
      </c>
    </row>
    <row r="20" spans="1:11" hidden="1" x14ac:dyDescent="0.25">
      <c r="A20" t="str">
        <f t="shared" si="0"/>
        <v>Andorra</v>
      </c>
      <c r="B20" s="2" t="s">
        <v>27</v>
      </c>
      <c r="C20" t="s">
        <v>370</v>
      </c>
      <c r="D20" t="s">
        <v>388</v>
      </c>
      <c r="E20" t="s">
        <v>75</v>
      </c>
      <c r="F20" t="s">
        <v>389</v>
      </c>
      <c r="G20" s="10" t="e">
        <f>VLOOKUP($A20,NameCensus!$C$2:$E$140,1,FALSE)</f>
        <v>#N/A</v>
      </c>
      <c r="H20" s="10" t="e">
        <f>VLOOKUP($A20,NameCensus!$C$2:$E$140,2,FALSE)</f>
        <v>#N/A</v>
      </c>
      <c r="I20" s="10" t="e">
        <f>VLOOKUP($A20,NameCensus!$C$2:$E$140,3,FALSE)</f>
        <v>#N/A</v>
      </c>
      <c r="J20" t="s">
        <v>749</v>
      </c>
      <c r="K20" t="s">
        <v>750</v>
      </c>
    </row>
    <row r="21" spans="1:11" x14ac:dyDescent="0.25">
      <c r="A21" s="19" t="str">
        <f t="shared" si="0"/>
        <v>Portugal</v>
      </c>
      <c r="B21" s="2" t="s">
        <v>25</v>
      </c>
      <c r="C21" t="s">
        <v>370</v>
      </c>
      <c r="D21" t="s">
        <v>378</v>
      </c>
      <c r="E21" t="s">
        <v>76</v>
      </c>
      <c r="F21" t="s">
        <v>390</v>
      </c>
      <c r="G21" t="str">
        <f>VLOOKUP($A21,NameCensus!$C$2:$E$140,1,FALSE)</f>
        <v>Portugal</v>
      </c>
      <c r="H21">
        <f>VLOOKUP($A21,NameCensus!$C$2:$E$140,2,FALSE)</f>
        <v>2.7519999999999998</v>
      </c>
      <c r="I21">
        <f>VLOOKUP($A21,NameCensus!$C$2:$E$140,3,FALSE)</f>
        <v>9.18</v>
      </c>
    </row>
    <row r="22" spans="1:11" x14ac:dyDescent="0.25">
      <c r="A22" s="19" t="str">
        <f t="shared" si="0"/>
        <v>Italy</v>
      </c>
      <c r="B22" s="2" t="s">
        <v>26</v>
      </c>
      <c r="C22" t="s">
        <v>370</v>
      </c>
      <c r="D22" t="s">
        <v>378</v>
      </c>
      <c r="E22" t="s">
        <v>77</v>
      </c>
      <c r="F22" t="s">
        <v>379</v>
      </c>
      <c r="G22" t="str">
        <f>VLOOKUP($A22,NameCensus!$C$2:$E$140,1,FALSE)</f>
        <v>Italy</v>
      </c>
      <c r="H22">
        <f>VLOOKUP($A22,NameCensus!$C$2:$E$140,2,FALSE)</f>
        <v>32.816000000000003</v>
      </c>
      <c r="I22">
        <f>VLOOKUP($A22,NameCensus!$C$2:$E$140,3,FALSE)</f>
        <v>23.773</v>
      </c>
    </row>
    <row r="23" spans="1:11" hidden="1" x14ac:dyDescent="0.25">
      <c r="A23" t="str">
        <f t="shared" si="0"/>
        <v>San Marino</v>
      </c>
      <c r="B23" s="2" t="s">
        <v>28</v>
      </c>
      <c r="C23" t="s">
        <v>370</v>
      </c>
      <c r="D23" t="s">
        <v>388</v>
      </c>
      <c r="E23" t="s">
        <v>78</v>
      </c>
      <c r="F23" t="s">
        <v>391</v>
      </c>
      <c r="G23" s="7" t="e">
        <f>VLOOKUP($A23,NameCensus!$C$2:$E$140,1,FALSE)</f>
        <v>#N/A</v>
      </c>
      <c r="H23" s="7" t="e">
        <f>VLOOKUP($A23,NameCensus!$C$2:$E$140,2,FALSE)</f>
        <v>#N/A</v>
      </c>
      <c r="I23" s="7" t="e">
        <f>VLOOKUP($A23,NameCensus!$C$2:$E$140,3,FALSE)</f>
        <v>#N/A</v>
      </c>
      <c r="J23" t="s">
        <v>506</v>
      </c>
    </row>
    <row r="24" spans="1:11" hidden="1" x14ac:dyDescent="0.25">
      <c r="A24" t="str">
        <f t="shared" si="0"/>
        <v>Malta</v>
      </c>
      <c r="B24" s="2" t="s">
        <v>29</v>
      </c>
      <c r="C24" t="s">
        <v>376</v>
      </c>
      <c r="D24" t="s">
        <v>371</v>
      </c>
      <c r="E24" t="s">
        <v>79</v>
      </c>
      <c r="F24" t="s">
        <v>392</v>
      </c>
      <c r="G24" t="str">
        <f>VLOOKUP($A24,NameCensus!$C$2:$E$140,1,FALSE)</f>
        <v>Malta</v>
      </c>
      <c r="H24">
        <f>VLOOKUP($A24,NameCensus!$C$2:$E$140,2,FALSE)</f>
        <v>256</v>
      </c>
      <c r="I24">
        <f>VLOOKUP($A24,NameCensus!$C$2:$E$140,3,FALSE)</f>
        <v>2.2629999999999999</v>
      </c>
    </row>
    <row r="25" spans="1:11" x14ac:dyDescent="0.25">
      <c r="A25" s="19" t="str">
        <f t="shared" si="0"/>
        <v>Poland</v>
      </c>
      <c r="B25" s="2" t="s">
        <v>30</v>
      </c>
      <c r="C25" t="s">
        <v>370</v>
      </c>
      <c r="D25" t="s">
        <v>373</v>
      </c>
      <c r="E25" t="s">
        <v>80</v>
      </c>
      <c r="F25" t="s">
        <v>393</v>
      </c>
      <c r="G25" t="str">
        <f>VLOOKUP($A25,NameCensus!$C$2:$E$140,1,FALSE)</f>
        <v>Poland</v>
      </c>
      <c r="H25">
        <f>VLOOKUP($A25,NameCensus!$C$2:$E$140,2,FALSE)</f>
        <v>11.135999999999999</v>
      </c>
      <c r="I25">
        <f>VLOOKUP($A25,NameCensus!$C$2:$E$140,3,FALSE)</f>
        <v>7.0209999999999999</v>
      </c>
    </row>
    <row r="26" spans="1:11" x14ac:dyDescent="0.25">
      <c r="A26" s="19" t="str">
        <f t="shared" si="0"/>
        <v>Czech Republic</v>
      </c>
      <c r="B26" s="2" t="s">
        <v>81</v>
      </c>
      <c r="C26" t="s">
        <v>370</v>
      </c>
      <c r="D26" t="s">
        <v>373</v>
      </c>
      <c r="E26" t="s">
        <v>82</v>
      </c>
      <c r="F26" t="s">
        <v>394</v>
      </c>
      <c r="G26" t="str">
        <f>VLOOKUP($A26,NameCensus!$C$2:$E$140,1,FALSE)</f>
        <v>Czech Republic</v>
      </c>
      <c r="H26">
        <f>VLOOKUP($A26,NameCensus!$C$2:$E$140,2,FALSE)</f>
        <v>6.3310000000000004</v>
      </c>
      <c r="I26">
        <f>VLOOKUP($A26,NameCensus!$C$2:$E$140,3,FALSE)</f>
        <v>8.1530000000000005</v>
      </c>
    </row>
    <row r="27" spans="1:11" x14ac:dyDescent="0.25">
      <c r="A27" t="str">
        <f t="shared" si="0"/>
        <v>Slovakia</v>
      </c>
      <c r="B27" s="2" t="s">
        <v>31</v>
      </c>
      <c r="C27" t="s">
        <v>370</v>
      </c>
      <c r="D27" t="s">
        <v>2341</v>
      </c>
      <c r="E27" t="s">
        <v>83</v>
      </c>
      <c r="F27" t="s">
        <v>395</v>
      </c>
      <c r="G27" t="str">
        <f>VLOOKUP($A27,NameCensus!$C$2:$E$140,1,FALSE)</f>
        <v>Slovakia</v>
      </c>
      <c r="H27">
        <f>VLOOKUP($A27,NameCensus!$C$2:$E$140,2,FALSE)</f>
        <v>2.782</v>
      </c>
      <c r="I27">
        <f>VLOOKUP($A27,NameCensus!$C$2:$E$140,3,FALSE)</f>
        <v>3.51</v>
      </c>
    </row>
    <row r="28" spans="1:11" x14ac:dyDescent="0.25">
      <c r="A28" s="19" t="str">
        <f t="shared" si="0"/>
        <v>Hungary</v>
      </c>
      <c r="B28" s="2" t="s">
        <v>32</v>
      </c>
      <c r="C28" t="s">
        <v>370</v>
      </c>
      <c r="D28" t="s">
        <v>373</v>
      </c>
      <c r="E28" t="s">
        <v>84</v>
      </c>
      <c r="F28" t="s">
        <v>396</v>
      </c>
      <c r="G28" t="str">
        <f>VLOOKUP($A28,NameCensus!$C$2:$E$140,1,FALSE)</f>
        <v>Hungary</v>
      </c>
      <c r="H28">
        <f>VLOOKUP($A28,NameCensus!$C$2:$E$140,2,FALSE)</f>
        <v>2.5449999999999999</v>
      </c>
      <c r="I28">
        <f>VLOOKUP($A28,NameCensus!$C$2:$E$140,3,FALSE)</f>
        <v>7.6189999999999998</v>
      </c>
    </row>
    <row r="29" spans="1:11" x14ac:dyDescent="0.25">
      <c r="A29" s="19" t="str">
        <f t="shared" si="0"/>
        <v>Romania</v>
      </c>
      <c r="B29" s="2" t="s">
        <v>33</v>
      </c>
      <c r="C29" t="s">
        <v>370</v>
      </c>
      <c r="D29" t="s">
        <v>373</v>
      </c>
      <c r="E29" t="s">
        <v>85</v>
      </c>
      <c r="F29" t="s">
        <v>397</v>
      </c>
      <c r="G29" t="str">
        <f>VLOOKUP($A29,NameCensus!$C$2:$E$140,1,FALSE)</f>
        <v>Romania</v>
      </c>
      <c r="H29">
        <f>VLOOKUP($A29,NameCensus!$C$2:$E$140,2,FALSE)</f>
        <v>4.13</v>
      </c>
      <c r="I29">
        <f>VLOOKUP($A29,NameCensus!$C$2:$E$140,3,FALSE)</f>
        <v>9.4190000000000005</v>
      </c>
    </row>
    <row r="30" spans="1:11" hidden="1" x14ac:dyDescent="0.25">
      <c r="A30" t="str">
        <f t="shared" si="0"/>
        <v>Moldova</v>
      </c>
      <c r="B30" s="2" t="s">
        <v>34</v>
      </c>
      <c r="C30" t="s">
        <v>376</v>
      </c>
      <c r="D30" t="s">
        <v>388</v>
      </c>
      <c r="E30" t="s">
        <v>86</v>
      </c>
      <c r="F30" t="s">
        <v>398</v>
      </c>
      <c r="G30" t="str">
        <f>VLOOKUP($A30,NameCensus!$C$2:$E$140,1,FALSE)</f>
        <v>Moldova</v>
      </c>
      <c r="H30">
        <f>VLOOKUP($A30,NameCensus!$C$2:$E$140,2,FALSE)</f>
        <v>286</v>
      </c>
      <c r="I30">
        <f>VLOOKUP($A30,NameCensus!$C$2:$E$140,3,FALSE)</f>
        <v>1.722</v>
      </c>
    </row>
    <row r="31" spans="1:11" x14ac:dyDescent="0.25">
      <c r="A31" t="str">
        <f t="shared" si="0"/>
        <v>Slovenia</v>
      </c>
      <c r="B31" s="2" t="s">
        <v>35</v>
      </c>
      <c r="C31" t="s">
        <v>370</v>
      </c>
      <c r="D31" t="s">
        <v>2341</v>
      </c>
      <c r="E31" t="s">
        <v>87</v>
      </c>
      <c r="F31" t="s">
        <v>395</v>
      </c>
      <c r="G31" t="str">
        <f>VLOOKUP($A31,NameCensus!$C$2:$E$140,1,FALSE)</f>
        <v>Slovenia</v>
      </c>
      <c r="H31">
        <f>VLOOKUP($A31,NameCensus!$C$2:$E$140,2,FALSE)</f>
        <v>1.4870000000000001</v>
      </c>
      <c r="I31">
        <f>VLOOKUP($A31,NameCensus!$C$2:$E$140,3,FALSE)</f>
        <v>3.754</v>
      </c>
    </row>
    <row r="32" spans="1:11" x14ac:dyDescent="0.25">
      <c r="A32" s="19" t="str">
        <f t="shared" si="0"/>
        <v>Croatia</v>
      </c>
      <c r="B32" s="2" t="s">
        <v>36</v>
      </c>
      <c r="C32" t="s">
        <v>370</v>
      </c>
      <c r="D32" t="s">
        <v>373</v>
      </c>
      <c r="E32" t="s">
        <v>88</v>
      </c>
      <c r="F32" t="s">
        <v>399</v>
      </c>
      <c r="G32" t="str">
        <f>VLOOKUP($A32,NameCensus!$C$2:$E$140,1,FALSE)</f>
        <v>Croatia</v>
      </c>
      <c r="H32">
        <f>VLOOKUP($A32,NameCensus!$C$2:$E$140,2,FALSE)</f>
        <v>1.9510000000000001</v>
      </c>
      <c r="I32">
        <f>VLOOKUP($A32,NameCensus!$C$2:$E$140,3,FALSE)</f>
        <v>3.9289999999999998</v>
      </c>
    </row>
    <row r="33" spans="1:11" x14ac:dyDescent="0.25">
      <c r="A33" t="str">
        <f t="shared" si="0"/>
        <v>Bosnia and Herzegovina</v>
      </c>
      <c r="B33" s="2" t="s">
        <v>37</v>
      </c>
      <c r="C33" t="s">
        <v>376</v>
      </c>
      <c r="D33" t="s">
        <v>2341</v>
      </c>
      <c r="E33" t="s">
        <v>89</v>
      </c>
      <c r="F33" t="s">
        <v>400</v>
      </c>
      <c r="G33" t="str">
        <f>VLOOKUP($A33,NameCensus!$C$2:$E$140,1,FALSE)</f>
        <v>Bosnia and Herzegovina</v>
      </c>
      <c r="H33">
        <f>VLOOKUP($A33,NameCensus!$C$2:$E$140,2,FALSE)</f>
        <v>1.417</v>
      </c>
      <c r="I33">
        <f>VLOOKUP($A33,NameCensus!$C$2:$E$140,3,FALSE)</f>
        <v>5.0209999999999999</v>
      </c>
    </row>
    <row r="34" spans="1:11" x14ac:dyDescent="0.25">
      <c r="A34" s="19" t="str">
        <f t="shared" si="0"/>
        <v>Serbia</v>
      </c>
      <c r="B34" s="2" t="s">
        <v>38</v>
      </c>
      <c r="C34" t="s">
        <v>370</v>
      </c>
      <c r="D34" t="s">
        <v>373</v>
      </c>
      <c r="E34" t="s">
        <v>90</v>
      </c>
      <c r="F34" t="s">
        <v>401</v>
      </c>
      <c r="G34" t="str">
        <f>VLOOKUP($A34,NameCensus!$C$2:$E$140,1,FALSE)</f>
        <v>Serbia</v>
      </c>
      <c r="H34">
        <f>VLOOKUP($A34,NameCensus!$C$2:$E$140,2,FALSE)</f>
        <v>2.3220000000000001</v>
      </c>
      <c r="I34">
        <f>VLOOKUP($A34,NameCensus!$C$2:$E$140,3,FALSE)</f>
        <v>4.2610000000000001</v>
      </c>
    </row>
    <row r="35" spans="1:11" hidden="1" x14ac:dyDescent="0.25">
      <c r="A35" t="str">
        <f t="shared" si="0"/>
        <v>Montenegro</v>
      </c>
      <c r="B35" s="2" t="s">
        <v>39</v>
      </c>
      <c r="C35" t="s">
        <v>376</v>
      </c>
      <c r="D35" t="s">
        <v>2340</v>
      </c>
      <c r="E35" t="s">
        <v>91</v>
      </c>
      <c r="F35" t="s">
        <v>402</v>
      </c>
      <c r="G35" s="10" t="e">
        <f>VLOOKUP($A35,NameCensus!$C$2:$E$140,1,FALSE)</f>
        <v>#N/A</v>
      </c>
      <c r="H35" s="10" t="e">
        <f>VLOOKUP($A35,NameCensus!$C$2:$E$140,2,FALSE)</f>
        <v>#N/A</v>
      </c>
      <c r="I35" s="10" t="e">
        <f>VLOOKUP($A35,NameCensus!$C$2:$E$140,3,FALSE)</f>
        <v>#N/A</v>
      </c>
      <c r="J35" t="s">
        <v>751</v>
      </c>
      <c r="K35" t="s">
        <v>752</v>
      </c>
    </row>
    <row r="36" spans="1:11" hidden="1" x14ac:dyDescent="0.25">
      <c r="A36" t="str">
        <f t="shared" si="0"/>
        <v>Kosovo</v>
      </c>
      <c r="B36" s="2" t="s">
        <v>40</v>
      </c>
      <c r="C36" t="s">
        <v>376</v>
      </c>
      <c r="D36" t="s">
        <v>388</v>
      </c>
      <c r="E36" t="s">
        <v>92</v>
      </c>
      <c r="F36" t="s">
        <v>403</v>
      </c>
      <c r="G36" t="str">
        <f>VLOOKUP($A36,NameCensus!$C$2:$E$140,1,FALSE)</f>
        <v>Kosovo</v>
      </c>
      <c r="H36">
        <f>VLOOKUP($A36,NameCensus!$C$2:$E$140,2,FALSE)</f>
        <v>1.0469999999999999</v>
      </c>
      <c r="I36">
        <f>VLOOKUP($A36,NameCensus!$C$2:$E$140,3,FALSE)</f>
        <v>4.9180000000000001</v>
      </c>
    </row>
    <row r="37" spans="1:11" hidden="1" x14ac:dyDescent="0.25">
      <c r="A37" t="str">
        <f t="shared" si="0"/>
        <v>Albania</v>
      </c>
      <c r="B37" s="2" t="s">
        <v>41</v>
      </c>
      <c r="C37" t="s">
        <v>370</v>
      </c>
      <c r="D37" t="s">
        <v>371</v>
      </c>
      <c r="E37" t="s">
        <v>93</v>
      </c>
      <c r="F37" t="s">
        <v>395</v>
      </c>
      <c r="G37" t="str">
        <f>VLOOKUP($A37,NameCensus!$C$2:$E$140,1,FALSE)</f>
        <v>Albania</v>
      </c>
      <c r="H37">
        <f>VLOOKUP($A37,NameCensus!$C$2:$E$140,2,FALSE)</f>
        <v>1.202</v>
      </c>
      <c r="I37">
        <f>VLOOKUP($A37,NameCensus!$C$2:$E$140,3,FALSE)</f>
        <v>4.0579999999999998</v>
      </c>
    </row>
    <row r="38" spans="1:11" hidden="1" x14ac:dyDescent="0.25">
      <c r="A38" t="str">
        <f t="shared" si="0"/>
        <v>North Macedonia</v>
      </c>
      <c r="B38" s="2" t="s">
        <v>42</v>
      </c>
      <c r="C38" t="s">
        <v>376</v>
      </c>
      <c r="D38" t="s">
        <v>388</v>
      </c>
      <c r="E38" t="s">
        <v>94</v>
      </c>
      <c r="F38" t="s">
        <v>403</v>
      </c>
      <c r="G38" s="11" t="e">
        <f>VLOOKUP($A38,NameCensus!$C$2:$E$140,1,FALSE)</f>
        <v>#N/A</v>
      </c>
      <c r="H38" s="11" t="e">
        <f>VLOOKUP($A38,NameCensus!$C$2:$E$140,2,FALSE)</f>
        <v>#N/A</v>
      </c>
      <c r="I38" s="11" t="e">
        <f>VLOOKUP($A38,NameCensus!$C$2:$E$140,3,FALSE)</f>
        <v>#N/A</v>
      </c>
      <c r="J38" t="s">
        <v>745</v>
      </c>
    </row>
    <row r="39" spans="1:11" x14ac:dyDescent="0.25">
      <c r="A39" t="str">
        <f t="shared" si="0"/>
        <v>Bulgaria</v>
      </c>
      <c r="B39" s="2" t="s">
        <v>43</v>
      </c>
      <c r="C39" t="s">
        <v>370</v>
      </c>
      <c r="D39" t="s">
        <v>2341</v>
      </c>
      <c r="E39" t="s">
        <v>95</v>
      </c>
      <c r="F39" t="s">
        <v>395</v>
      </c>
      <c r="G39" t="str">
        <f>VLOOKUP($A39,NameCensus!$C$2:$E$140,1,FALSE)</f>
        <v>Bulgaria</v>
      </c>
      <c r="H39">
        <f>VLOOKUP($A39,NameCensus!$C$2:$E$140,2,FALSE)</f>
        <v>2.746</v>
      </c>
      <c r="I39">
        <f>VLOOKUP($A39,NameCensus!$C$2:$E$140,3,FALSE)</f>
        <v>7.6280000000000001</v>
      </c>
    </row>
    <row r="40" spans="1:11" x14ac:dyDescent="0.25">
      <c r="A40" s="19" t="str">
        <f t="shared" si="0"/>
        <v>Greece</v>
      </c>
      <c r="B40" s="2" t="s">
        <v>44</v>
      </c>
      <c r="C40" t="s">
        <v>370</v>
      </c>
      <c r="D40" t="s">
        <v>373</v>
      </c>
      <c r="E40" t="s">
        <v>96</v>
      </c>
      <c r="F40" t="s">
        <v>404</v>
      </c>
      <c r="G40" t="str">
        <f>VLOOKUP($A40,NameCensus!$C$2:$E$140,1,FALSE)</f>
        <v>Greece</v>
      </c>
      <c r="H40">
        <f>VLOOKUP($A40,NameCensus!$C$2:$E$140,2,FALSE)</f>
        <v>3.0409999999999999</v>
      </c>
      <c r="I40">
        <f>VLOOKUP($A40,NameCensus!$C$2:$E$140,3,FALSE)</f>
        <v>6.8179999999999996</v>
      </c>
    </row>
    <row r="41" spans="1:11" hidden="1" x14ac:dyDescent="0.25">
      <c r="A41" t="str">
        <f t="shared" si="0"/>
        <v>Cyprus</v>
      </c>
      <c r="B41" s="2" t="s">
        <v>45</v>
      </c>
      <c r="C41" t="s">
        <v>376</v>
      </c>
      <c r="D41" t="s">
        <v>371</v>
      </c>
      <c r="E41" t="s">
        <v>97</v>
      </c>
      <c r="F41" t="s">
        <v>405</v>
      </c>
      <c r="G41" t="str">
        <f>VLOOKUP($A41,NameCensus!$C$2:$E$140,1,FALSE)</f>
        <v>Cyprus</v>
      </c>
      <c r="H41">
        <f>VLOOKUP($A41,NameCensus!$C$2:$E$140,2,FALSE)</f>
        <v>622</v>
      </c>
      <c r="I41">
        <f>VLOOKUP($A41,NameCensus!$C$2:$E$140,3,FALSE)</f>
        <v>3.641</v>
      </c>
    </row>
    <row r="42" spans="1:11" x14ac:dyDescent="0.25">
      <c r="A42" t="str">
        <f t="shared" si="0"/>
        <v>Estonia</v>
      </c>
      <c r="B42" s="2" t="s">
        <v>46</v>
      </c>
      <c r="C42" t="s">
        <v>370</v>
      </c>
      <c r="D42" t="s">
        <v>2341</v>
      </c>
      <c r="E42" t="s">
        <v>98</v>
      </c>
      <c r="F42" t="s">
        <v>406</v>
      </c>
      <c r="G42" t="str">
        <f>VLOOKUP($A42,NameCensus!$C$2:$E$140,1,FALSE)</f>
        <v>Estonia</v>
      </c>
      <c r="H42">
        <f>VLOOKUP($A42,NameCensus!$C$2:$E$140,2,FALSE)</f>
        <v>298</v>
      </c>
      <c r="I42">
        <f>VLOOKUP($A42,NameCensus!$C$2:$E$140,3,FALSE)</f>
        <v>2.6480000000000001</v>
      </c>
    </row>
    <row r="43" spans="1:11" x14ac:dyDescent="0.25">
      <c r="A43" t="str">
        <f t="shared" si="0"/>
        <v>Latvia</v>
      </c>
      <c r="B43" s="2" t="s">
        <v>47</v>
      </c>
      <c r="C43" t="s">
        <v>370</v>
      </c>
      <c r="D43" t="s">
        <v>2341</v>
      </c>
      <c r="E43" t="s">
        <v>99</v>
      </c>
      <c r="F43" t="s">
        <v>406</v>
      </c>
      <c r="G43" t="str">
        <f>VLOOKUP($A43,NameCensus!$C$2:$E$140,1,FALSE)</f>
        <v>Latvia</v>
      </c>
      <c r="H43">
        <f>VLOOKUP($A43,NameCensus!$C$2:$E$140,2,FALSE)</f>
        <v>1.0329999999999999</v>
      </c>
      <c r="I43">
        <f>VLOOKUP($A43,NameCensus!$C$2:$E$140,3,FALSE)</f>
        <v>2.5630000000000002</v>
      </c>
    </row>
    <row r="44" spans="1:11" x14ac:dyDescent="0.25">
      <c r="A44" t="str">
        <f t="shared" si="0"/>
        <v>Lithuania</v>
      </c>
      <c r="B44" s="2" t="s">
        <v>48</v>
      </c>
      <c r="C44" t="s">
        <v>370</v>
      </c>
      <c r="D44" t="s">
        <v>2341</v>
      </c>
      <c r="E44" t="s">
        <v>100</v>
      </c>
      <c r="F44" t="s">
        <v>406</v>
      </c>
      <c r="G44" t="str">
        <f>VLOOKUP($A44,NameCensus!$C$2:$E$140,1,FALSE)</f>
        <v>Lithuania</v>
      </c>
      <c r="H44">
        <f>VLOOKUP($A44,NameCensus!$C$2:$E$140,2,FALSE)</f>
        <v>789</v>
      </c>
      <c r="I44">
        <f>VLOOKUP($A44,NameCensus!$C$2:$E$140,3,FALSE)</f>
        <v>2.0939999999999999</v>
      </c>
    </row>
    <row r="45" spans="1:11" hidden="1" x14ac:dyDescent="0.25">
      <c r="A45" t="str">
        <f t="shared" si="0"/>
        <v>Belarus</v>
      </c>
      <c r="B45" s="2" t="s">
        <v>49</v>
      </c>
      <c r="C45" t="s">
        <v>370</v>
      </c>
      <c r="D45" t="s">
        <v>388</v>
      </c>
      <c r="E45" t="s">
        <v>101</v>
      </c>
      <c r="F45" t="s">
        <v>407</v>
      </c>
      <c r="G45" t="str">
        <f>VLOOKUP($A45,NameCensus!$C$2:$E$140,1,FALSE)</f>
        <v>Belarus</v>
      </c>
      <c r="H45">
        <f>VLOOKUP($A45,NameCensus!$C$2:$E$140,2,FALSE)</f>
        <v>1.9239999999999999</v>
      </c>
      <c r="I45">
        <f>VLOOKUP($A45,NameCensus!$C$2:$E$140,3,FALSE)</f>
        <v>3.3519999999999999</v>
      </c>
    </row>
    <row r="46" spans="1:11" x14ac:dyDescent="0.25">
      <c r="A46" s="19" t="str">
        <f t="shared" si="0"/>
        <v>Ukraine</v>
      </c>
      <c r="B46" s="2" t="s">
        <v>50</v>
      </c>
      <c r="C46" t="s">
        <v>370</v>
      </c>
      <c r="D46" t="s">
        <v>373</v>
      </c>
      <c r="E46" t="s">
        <v>102</v>
      </c>
      <c r="F46" t="s">
        <v>393</v>
      </c>
      <c r="G46" t="str">
        <f>VLOOKUP($A46,NameCensus!$C$2:$E$140,1,FALSE)</f>
        <v>Ukraine</v>
      </c>
      <c r="H46">
        <f>VLOOKUP($A46,NameCensus!$C$2:$E$140,2,FALSE)</f>
        <v>7.843</v>
      </c>
      <c r="I46">
        <f>VLOOKUP($A46,NameCensus!$C$2:$E$140,3,FALSE)</f>
        <v>7.7939999999999996</v>
      </c>
    </row>
    <row r="47" spans="1:11" hidden="1" x14ac:dyDescent="0.25">
      <c r="A47" t="str">
        <f t="shared" si="0"/>
        <v>Russia</v>
      </c>
      <c r="B47" s="2" t="s">
        <v>55</v>
      </c>
      <c r="C47" t="s">
        <v>408</v>
      </c>
      <c r="D47" t="s">
        <v>2336</v>
      </c>
      <c r="E47" t="s">
        <v>103</v>
      </c>
      <c r="F47" t="s">
        <v>2338</v>
      </c>
      <c r="G47" t="str">
        <f>VLOOKUP($A47,NameCensus!$C$2:$E$140,1,FALSE)</f>
        <v>Russia</v>
      </c>
      <c r="H47">
        <f>VLOOKUP($A47,NameCensus!$C$2:$E$140,2,FALSE)</f>
        <v>26.965</v>
      </c>
      <c r="I47">
        <f>VLOOKUP($A47,NameCensus!$C$2:$E$140,3,FALSE)</f>
        <v>17.411999999999999</v>
      </c>
    </row>
    <row r="48" spans="1:11" x14ac:dyDescent="0.25">
      <c r="A48" t="str">
        <f t="shared" si="0"/>
        <v>Turkey</v>
      </c>
      <c r="B48" s="2" t="s">
        <v>51</v>
      </c>
      <c r="C48" t="s">
        <v>370</v>
      </c>
      <c r="D48" t="s">
        <v>2337</v>
      </c>
      <c r="E48" t="s">
        <v>3</v>
      </c>
      <c r="F48" t="s">
        <v>409</v>
      </c>
      <c r="G48" t="str">
        <f>VLOOKUP($A48,NameCensus!$C$2:$E$140,1,FALSE)</f>
        <v>Turkey</v>
      </c>
      <c r="H48">
        <f>VLOOKUP($A48,NameCensus!$C$2:$E$140,2,FALSE)</f>
        <v>18.411000000000001</v>
      </c>
      <c r="I48">
        <f>VLOOKUP($A48,NameCensus!$C$2:$E$140,3,FALSE)</f>
        <v>24.408999999999999</v>
      </c>
    </row>
    <row r="49" spans="1:9" x14ac:dyDescent="0.25">
      <c r="A49" t="str">
        <f t="shared" si="0"/>
        <v>Georgia</v>
      </c>
      <c r="B49" s="2" t="s">
        <v>52</v>
      </c>
      <c r="C49" t="s">
        <v>370</v>
      </c>
      <c r="D49" t="s">
        <v>2341</v>
      </c>
      <c r="E49" t="s">
        <v>104</v>
      </c>
      <c r="F49" t="s">
        <v>395</v>
      </c>
      <c r="G49" t="str">
        <f>VLOOKUP($A49,NameCensus!$C$2:$E$140,1,FALSE)</f>
        <v>Georgia</v>
      </c>
      <c r="H49">
        <f>VLOOKUP($A49,NameCensus!$C$2:$E$140,2,FALSE)</f>
        <v>1.8149999999999999</v>
      </c>
      <c r="I49">
        <f>VLOOKUP($A49,NameCensus!$C$2:$E$140,3,FALSE)</f>
        <v>6.4039999999999999</v>
      </c>
    </row>
    <row r="50" spans="1:9" hidden="1" x14ac:dyDescent="0.25">
      <c r="A50" t="str">
        <f t="shared" si="0"/>
        <v>Armenia</v>
      </c>
      <c r="B50" s="2" t="s">
        <v>53</v>
      </c>
      <c r="C50" t="s">
        <v>370</v>
      </c>
      <c r="D50" t="s">
        <v>371</v>
      </c>
      <c r="E50" t="s">
        <v>105</v>
      </c>
      <c r="F50" t="s">
        <v>395</v>
      </c>
      <c r="G50" t="str">
        <f>VLOOKUP($A50,NameCensus!$C$2:$E$140,1,FALSE)</f>
        <v>Armenia</v>
      </c>
      <c r="H50">
        <f>VLOOKUP($A50,NameCensus!$C$2:$E$140,2,FALSE)</f>
        <v>352</v>
      </c>
      <c r="I50">
        <f>VLOOKUP($A50,NameCensus!$C$2:$E$140,3,FALSE)</f>
        <v>1.901</v>
      </c>
    </row>
    <row r="51" spans="1:9" hidden="1" x14ac:dyDescent="0.25">
      <c r="A51" t="str">
        <f t="shared" si="0"/>
        <v>Azerbaijan</v>
      </c>
      <c r="B51" s="2" t="s">
        <v>54</v>
      </c>
      <c r="C51" t="s">
        <v>370</v>
      </c>
      <c r="D51" t="s">
        <v>371</v>
      </c>
      <c r="E51" t="s">
        <v>106</v>
      </c>
      <c r="F51" t="s">
        <v>395</v>
      </c>
      <c r="G51" t="str">
        <f>VLOOKUP($A51,NameCensus!$C$2:$E$140,1,FALSE)</f>
        <v>Azerbaijan</v>
      </c>
      <c r="H51">
        <f>VLOOKUP($A51,NameCensus!$C$2:$E$140,2,FALSE)</f>
        <v>608</v>
      </c>
      <c r="I51">
        <f>VLOOKUP($A51,NameCensus!$C$2:$E$140,3,FALSE)</f>
        <v>3.0030000000000001</v>
      </c>
    </row>
    <row r="52" spans="1:9" x14ac:dyDescent="0.25">
      <c r="A52" s="19" t="str">
        <f t="shared" si="0"/>
        <v>United States</v>
      </c>
      <c r="B52" s="3" t="s">
        <v>410</v>
      </c>
      <c r="C52" t="s">
        <v>408</v>
      </c>
      <c r="D52" t="s">
        <v>378</v>
      </c>
      <c r="E52" t="s">
        <v>411</v>
      </c>
      <c r="F52" t="s">
        <v>412</v>
      </c>
      <c r="G52" t="str">
        <f>VLOOKUP($A52,NameCensus!$C$2:$E$140,1,FALSE)</f>
        <v>United States</v>
      </c>
      <c r="H52">
        <f>VLOOKUP($A52,NameCensus!$C$2:$E$140,2,FALSE)</f>
        <v>138.98400000000001</v>
      </c>
      <c r="I52">
        <f>VLOOKUP($A52,NameCensus!$C$2:$E$140,3,FALSE)</f>
        <v>101.26600000000001</v>
      </c>
    </row>
    <row r="53" spans="1:9" x14ac:dyDescent="0.25">
      <c r="A53" s="19" t="str">
        <f t="shared" si="0"/>
        <v>Canada</v>
      </c>
      <c r="B53" s="3" t="s">
        <v>413</v>
      </c>
      <c r="C53" t="s">
        <v>376</v>
      </c>
      <c r="D53" t="s">
        <v>378</v>
      </c>
      <c r="E53" t="s">
        <v>414</v>
      </c>
      <c r="F53" t="s">
        <v>415</v>
      </c>
      <c r="G53" t="str">
        <f>VLOOKUP($A53,NameCensus!$C$2:$E$140,1,FALSE)</f>
        <v>Canada</v>
      </c>
      <c r="H53">
        <f>VLOOKUP($A53,NameCensus!$C$2:$E$140,2,FALSE)</f>
        <v>28.007000000000001</v>
      </c>
      <c r="I53">
        <f>VLOOKUP($A53,NameCensus!$C$2:$E$140,3,FALSE)</f>
        <v>36.463000000000001</v>
      </c>
    </row>
    <row r="54" spans="1:9" x14ac:dyDescent="0.25">
      <c r="A54" s="19" t="str">
        <f t="shared" si="0"/>
        <v>Mexico</v>
      </c>
      <c r="B54" s="3" t="s">
        <v>287</v>
      </c>
      <c r="C54" t="s">
        <v>370</v>
      </c>
      <c r="D54" t="s">
        <v>378</v>
      </c>
      <c r="E54" t="s">
        <v>288</v>
      </c>
      <c r="F54" t="s">
        <v>379</v>
      </c>
      <c r="G54" t="str">
        <f>VLOOKUP($A54,NameCensus!$C$2:$E$140,1,FALSE)</f>
        <v>Mexico</v>
      </c>
      <c r="H54">
        <f>VLOOKUP($A54,NameCensus!$C$2:$E$140,2,FALSE)</f>
        <v>14.497999999999999</v>
      </c>
      <c r="I54">
        <f>VLOOKUP($A54,NameCensus!$C$2:$E$140,3,FALSE)</f>
        <v>30.257999999999999</v>
      </c>
    </row>
    <row r="55" spans="1:9" hidden="1" x14ac:dyDescent="0.25">
      <c r="A55" t="str">
        <f t="shared" si="0"/>
        <v>Guatemala</v>
      </c>
      <c r="B55" s="3" t="s">
        <v>289</v>
      </c>
      <c r="C55" t="s">
        <v>376</v>
      </c>
      <c r="D55" t="s">
        <v>371</v>
      </c>
      <c r="E55" t="s">
        <v>290</v>
      </c>
      <c r="F55" t="s">
        <v>416</v>
      </c>
      <c r="G55" t="str">
        <f>VLOOKUP($A55,NameCensus!$C$2:$E$140,1,FALSE)</f>
        <v>Guatemala</v>
      </c>
      <c r="H55">
        <f>VLOOKUP($A55,NameCensus!$C$2:$E$140,2,FALSE)</f>
        <v>1.9359999999999999</v>
      </c>
      <c r="I55">
        <f>VLOOKUP($A55,NameCensus!$C$2:$E$140,3,FALSE)</f>
        <v>8.6709999999999994</v>
      </c>
    </row>
    <row r="56" spans="1:9" hidden="1" x14ac:dyDescent="0.25">
      <c r="A56" t="str">
        <f t="shared" si="0"/>
        <v>Honduras</v>
      </c>
      <c r="B56" s="3" t="s">
        <v>291</v>
      </c>
      <c r="C56" t="s">
        <v>370</v>
      </c>
      <c r="D56" t="s">
        <v>371</v>
      </c>
      <c r="E56" t="s">
        <v>292</v>
      </c>
      <c r="F56" t="s">
        <v>395</v>
      </c>
      <c r="G56" t="str">
        <f>VLOOKUP($A56,NameCensus!$C$2:$E$140,1,FALSE)</f>
        <v>Honduras</v>
      </c>
      <c r="H56">
        <f>VLOOKUP($A56,NameCensus!$C$2:$E$140,2,FALSE)</f>
        <v>1.2989999999999999</v>
      </c>
      <c r="I56">
        <f>VLOOKUP($A56,NameCensus!$C$2:$E$140,3,FALSE)</f>
        <v>6.86</v>
      </c>
    </row>
    <row r="57" spans="1:9" hidden="1" x14ac:dyDescent="0.25">
      <c r="A57" t="str">
        <f t="shared" si="0"/>
        <v>El Salvador</v>
      </c>
      <c r="B57" s="3" t="s">
        <v>293</v>
      </c>
      <c r="C57" t="s">
        <v>370</v>
      </c>
      <c r="D57" t="s">
        <v>371</v>
      </c>
      <c r="E57" t="s">
        <v>294</v>
      </c>
      <c r="F57" t="s">
        <v>395</v>
      </c>
      <c r="G57" t="str">
        <f>VLOOKUP($A57,NameCensus!$C$2:$E$140,1,FALSE)</f>
        <v>El Salvador</v>
      </c>
      <c r="H57">
        <f>VLOOKUP($A57,NameCensus!$C$2:$E$140,2,FALSE)</f>
        <v>1.2030000000000001</v>
      </c>
      <c r="I57">
        <f>VLOOKUP($A57,NameCensus!$C$2:$E$140,3,FALSE)</f>
        <v>5.44</v>
      </c>
    </row>
    <row r="58" spans="1:9" hidden="1" x14ac:dyDescent="0.25">
      <c r="A58" t="str">
        <f t="shared" si="0"/>
        <v>Nicaragua</v>
      </c>
      <c r="B58" s="3" t="s">
        <v>295</v>
      </c>
      <c r="C58" t="s">
        <v>370</v>
      </c>
      <c r="D58" t="s">
        <v>388</v>
      </c>
      <c r="E58" t="s">
        <v>296</v>
      </c>
      <c r="F58" t="s">
        <v>417</v>
      </c>
      <c r="G58" t="str">
        <f>VLOOKUP($A58,NameCensus!$C$2:$E$140,1,FALSE)</f>
        <v>Nicaragua</v>
      </c>
      <c r="H58">
        <f>VLOOKUP($A58,NameCensus!$C$2:$E$140,2,FALSE)</f>
        <v>1.673</v>
      </c>
      <c r="I58">
        <f>VLOOKUP($A58,NameCensus!$C$2:$E$140,3,FALSE)</f>
        <v>5.9809999999999999</v>
      </c>
    </row>
    <row r="59" spans="1:9" x14ac:dyDescent="0.25">
      <c r="A59" t="str">
        <f t="shared" si="0"/>
        <v>Costa Rica</v>
      </c>
      <c r="B59" s="3" t="s">
        <v>297</v>
      </c>
      <c r="C59" t="s">
        <v>370</v>
      </c>
      <c r="D59" t="s">
        <v>2341</v>
      </c>
      <c r="E59" t="s">
        <v>298</v>
      </c>
      <c r="F59" t="s">
        <v>395</v>
      </c>
      <c r="G59" t="str">
        <f>VLOOKUP($A59,NameCensus!$C$2:$E$140,1,FALSE)</f>
        <v>Costa Rica</v>
      </c>
      <c r="H59">
        <f>VLOOKUP($A59,NameCensus!$C$2:$E$140,2,FALSE)</f>
        <v>1.673</v>
      </c>
      <c r="I59">
        <f>VLOOKUP($A59,NameCensus!$C$2:$E$140,3,FALSE)</f>
        <v>7.8860000000000001</v>
      </c>
    </row>
    <row r="60" spans="1:9" hidden="1" x14ac:dyDescent="0.25">
      <c r="A60" t="str">
        <f t="shared" si="0"/>
        <v>Panama</v>
      </c>
      <c r="B60" s="3" t="s">
        <v>299</v>
      </c>
      <c r="C60" t="s">
        <v>376</v>
      </c>
      <c r="D60" t="s">
        <v>371</v>
      </c>
      <c r="E60" t="s">
        <v>300</v>
      </c>
      <c r="F60" t="s">
        <v>395</v>
      </c>
      <c r="G60" t="str">
        <f>VLOOKUP($A60,NameCensus!$C$2:$E$140,1,FALSE)</f>
        <v>Panama</v>
      </c>
      <c r="H60">
        <f>VLOOKUP($A60,NameCensus!$C$2:$E$140,2,FALSE)</f>
        <v>1.4750000000000001</v>
      </c>
      <c r="I60">
        <f>VLOOKUP($A60,NameCensus!$C$2:$E$140,3,FALSE)</f>
        <v>6.8419999999999996</v>
      </c>
    </row>
    <row r="61" spans="1:9" x14ac:dyDescent="0.25">
      <c r="A61" t="str">
        <f t="shared" si="0"/>
        <v>Puerto Rico</v>
      </c>
      <c r="B61" s="3" t="s">
        <v>305</v>
      </c>
      <c r="C61" t="s">
        <v>376</v>
      </c>
      <c r="D61" t="s">
        <v>2341</v>
      </c>
      <c r="E61" t="s">
        <v>306</v>
      </c>
      <c r="F61" t="s">
        <v>418</v>
      </c>
      <c r="G61" s="10" t="e">
        <f>VLOOKUP($A61,NameCensus!$C$2:$E$140,1,FALSE)</f>
        <v>#N/A</v>
      </c>
      <c r="H61" s="10" t="e">
        <f>VLOOKUP($A61,NameCensus!$C$2:$E$140,2,FALSE)</f>
        <v>#N/A</v>
      </c>
      <c r="I61" s="10" t="e">
        <f>VLOOKUP($A61,NameCensus!$C$2:$E$140,3,FALSE)</f>
        <v>#N/A</v>
      </c>
    </row>
    <row r="62" spans="1:9" x14ac:dyDescent="0.25">
      <c r="A62" t="str">
        <f t="shared" si="0"/>
        <v>Cuba</v>
      </c>
      <c r="B62" s="4" t="s">
        <v>301</v>
      </c>
      <c r="C62" t="s">
        <v>376</v>
      </c>
      <c r="D62" t="s">
        <v>2341</v>
      </c>
      <c r="E62" t="s">
        <v>302</v>
      </c>
      <c r="F62" t="s">
        <v>395</v>
      </c>
      <c r="G62" t="str">
        <f>VLOOKUP($A62,NameCensus!$C$2:$E$140,1,FALSE)</f>
        <v>Cuba</v>
      </c>
      <c r="H62">
        <f>VLOOKUP($A62,NameCensus!$C$2:$E$140,2,FALSE)</f>
        <v>611</v>
      </c>
      <c r="I62">
        <f>VLOOKUP($A62,NameCensus!$C$2:$E$140,3,FALSE)</f>
        <v>3.8730000000000002</v>
      </c>
    </row>
    <row r="63" spans="1:9" x14ac:dyDescent="0.25">
      <c r="A63" t="str">
        <f t="shared" si="0"/>
        <v>Dominican Republic</v>
      </c>
      <c r="B63" s="4" t="s">
        <v>303</v>
      </c>
      <c r="C63" t="s">
        <v>370</v>
      </c>
      <c r="D63" t="s">
        <v>2341</v>
      </c>
      <c r="E63" t="s">
        <v>304</v>
      </c>
      <c r="F63" t="s">
        <v>419</v>
      </c>
      <c r="G63" t="str">
        <f>VLOOKUP($A63,NameCensus!$C$2:$E$140,1,FALSE)</f>
        <v>Dominican Republic</v>
      </c>
      <c r="H63">
        <f>VLOOKUP($A63,NameCensus!$C$2:$E$140,2,FALSE)</f>
        <v>2.2589999999999999</v>
      </c>
      <c r="I63">
        <f>VLOOKUP($A63,NameCensus!$C$2:$E$140,3,FALSE)</f>
        <v>10.003</v>
      </c>
    </row>
    <row r="64" spans="1:9" x14ac:dyDescent="0.25">
      <c r="A64" s="19" t="str">
        <f t="shared" si="0"/>
        <v>Jamaica</v>
      </c>
      <c r="B64" s="4" t="s">
        <v>307</v>
      </c>
      <c r="C64" t="s">
        <v>370</v>
      </c>
      <c r="D64" t="s">
        <v>373</v>
      </c>
      <c r="E64" t="s">
        <v>308</v>
      </c>
      <c r="F64" t="s">
        <v>420</v>
      </c>
      <c r="G64" t="str">
        <f>VLOOKUP($A64,NameCensus!$C$2:$E$140,1,FALSE)</f>
        <v>Jamaica</v>
      </c>
      <c r="H64">
        <f>VLOOKUP($A64,NameCensus!$C$2:$E$140,2,FALSE)</f>
        <v>8.0289999999999999</v>
      </c>
      <c r="I64">
        <f>VLOOKUP($A64,NameCensus!$C$2:$E$140,3,FALSE)</f>
        <v>16.065999999999999</v>
      </c>
    </row>
    <row r="65" spans="1:9" x14ac:dyDescent="0.25">
      <c r="A65" t="str">
        <f t="shared" si="0"/>
        <v>Trinidad and Tobago</v>
      </c>
      <c r="B65" s="4" t="s">
        <v>309</v>
      </c>
      <c r="C65" t="s">
        <v>376</v>
      </c>
      <c r="D65" t="s">
        <v>2341</v>
      </c>
      <c r="E65" t="s">
        <v>310</v>
      </c>
      <c r="F65" t="s">
        <v>395</v>
      </c>
      <c r="G65" t="str">
        <f>VLOOKUP($A65,NameCensus!$C$2:$E$140,1,FALSE)</f>
        <v>Trinidad and Tobago</v>
      </c>
      <c r="H65">
        <f>VLOOKUP($A65,NameCensus!$C$2:$E$140,2,FALSE)</f>
        <v>527</v>
      </c>
      <c r="I65">
        <f>VLOOKUP($A65,NameCensus!$C$2:$E$140,3,FALSE)</f>
        <v>3.0859999999999999</v>
      </c>
    </row>
    <row r="66" spans="1:9" hidden="1" x14ac:dyDescent="0.25">
      <c r="A66" t="str">
        <f t="shared" si="0"/>
        <v>Barbados</v>
      </c>
      <c r="B66" s="4" t="s">
        <v>311</v>
      </c>
      <c r="C66" t="s">
        <v>370</v>
      </c>
      <c r="D66" t="s">
        <v>388</v>
      </c>
      <c r="E66" t="s">
        <v>312</v>
      </c>
      <c r="F66" t="s">
        <v>417</v>
      </c>
      <c r="G66" s="10" t="e">
        <f>VLOOKUP($A66,NameCensus!$C$2:$E$140,1,FALSE)</f>
        <v>#N/A</v>
      </c>
      <c r="H66" s="10" t="e">
        <f>VLOOKUP($A66,NameCensus!$C$2:$E$140,2,FALSE)</f>
        <v>#N/A</v>
      </c>
      <c r="I66" s="10" t="e">
        <f>VLOOKUP($A66,NameCensus!$C$2:$E$140,3,FALSE)</f>
        <v>#N/A</v>
      </c>
    </row>
    <row r="67" spans="1:9" hidden="1" x14ac:dyDescent="0.25">
      <c r="A67" t="str">
        <f t="shared" ref="A67:A130" si="1">TRIM(B67)</f>
        <v>Saint Lucia</v>
      </c>
      <c r="B67" s="4" t="s">
        <v>313</v>
      </c>
      <c r="C67" t="s">
        <v>370</v>
      </c>
      <c r="D67" t="s">
        <v>388</v>
      </c>
      <c r="E67" t="s">
        <v>314</v>
      </c>
      <c r="F67" t="s">
        <v>417</v>
      </c>
      <c r="G67" s="10" t="e">
        <f>VLOOKUP($A67,NameCensus!$C$2:$E$140,1,FALSE)</f>
        <v>#N/A</v>
      </c>
      <c r="H67" s="10" t="e">
        <f>VLOOKUP($A67,NameCensus!$C$2:$E$140,2,FALSE)</f>
        <v>#N/A</v>
      </c>
      <c r="I67" s="10" t="e">
        <f>VLOOKUP($A67,NameCensus!$C$2:$E$140,3,FALSE)</f>
        <v>#N/A</v>
      </c>
    </row>
    <row r="68" spans="1:9" hidden="1" x14ac:dyDescent="0.25">
      <c r="A68" t="str">
        <f t="shared" si="1"/>
        <v>Grenada</v>
      </c>
      <c r="B68" s="4" t="s">
        <v>315</v>
      </c>
      <c r="C68" t="s">
        <v>370</v>
      </c>
      <c r="D68" t="s">
        <v>388</v>
      </c>
      <c r="E68" t="s">
        <v>316</v>
      </c>
      <c r="F68" t="s">
        <v>417</v>
      </c>
      <c r="G68" s="10" t="e">
        <f>VLOOKUP($A68,NameCensus!$C$2:$E$140,1,FALSE)</f>
        <v>#N/A</v>
      </c>
      <c r="H68" s="10" t="e">
        <f>VLOOKUP($A68,NameCensus!$C$2:$E$140,2,FALSE)</f>
        <v>#N/A</v>
      </c>
      <c r="I68" s="10" t="e">
        <f>VLOOKUP($A68,NameCensus!$C$2:$E$140,3,FALSE)</f>
        <v>#N/A</v>
      </c>
    </row>
    <row r="69" spans="1:9" x14ac:dyDescent="0.25">
      <c r="A69" t="str">
        <f t="shared" si="1"/>
        <v>Haiti</v>
      </c>
      <c r="B69" s="4" t="s">
        <v>317</v>
      </c>
      <c r="C69" t="s">
        <v>370</v>
      </c>
      <c r="D69" t="s">
        <v>2341</v>
      </c>
      <c r="E69" t="s">
        <v>318</v>
      </c>
      <c r="F69" t="s">
        <v>395</v>
      </c>
      <c r="G69" t="str">
        <f>VLOOKUP($A69,NameCensus!$C$2:$E$140,1,FALSE)</f>
        <v>Haiti</v>
      </c>
      <c r="H69">
        <f>VLOOKUP($A69,NameCensus!$C$2:$E$140,2,FALSE)</f>
        <v>583</v>
      </c>
      <c r="I69">
        <f>VLOOKUP($A69,NameCensus!$C$2:$E$140,3,FALSE)</f>
        <v>3.4169999999999998</v>
      </c>
    </row>
    <row r="70" spans="1:9" hidden="1" x14ac:dyDescent="0.25">
      <c r="A70" t="str">
        <f t="shared" si="1"/>
        <v>Guadeloupe</v>
      </c>
      <c r="B70" s="4" t="s">
        <v>319</v>
      </c>
      <c r="C70" t="s">
        <v>370</v>
      </c>
      <c r="D70" t="s">
        <v>388</v>
      </c>
      <c r="E70" t="s">
        <v>320</v>
      </c>
      <c r="F70" t="s">
        <v>421</v>
      </c>
      <c r="G70" s="10" t="e">
        <f>VLOOKUP($A70,NameCensus!$C$2:$E$140,1,FALSE)</f>
        <v>#N/A</v>
      </c>
      <c r="H70" s="10" t="e">
        <f>VLOOKUP($A70,NameCensus!$C$2:$E$140,2,FALSE)</f>
        <v>#N/A</v>
      </c>
      <c r="I70" s="10" t="e">
        <f>VLOOKUP($A70,NameCensus!$C$2:$E$140,3,FALSE)</f>
        <v>#N/A</v>
      </c>
    </row>
    <row r="71" spans="1:9" hidden="1" x14ac:dyDescent="0.25">
      <c r="A71" t="str">
        <f t="shared" si="1"/>
        <v>Martinique</v>
      </c>
      <c r="B71" s="4" t="s">
        <v>321</v>
      </c>
      <c r="C71" t="s">
        <v>370</v>
      </c>
      <c r="D71" t="s">
        <v>388</v>
      </c>
      <c r="E71" t="s">
        <v>322</v>
      </c>
      <c r="F71" t="s">
        <v>421</v>
      </c>
      <c r="G71" s="10" t="e">
        <f>VLOOKUP($A71,NameCensus!$C$2:$E$140,1,FALSE)</f>
        <v>#N/A</v>
      </c>
      <c r="H71" s="10" t="e">
        <f>VLOOKUP($A71,NameCensus!$C$2:$E$140,2,FALSE)</f>
        <v>#N/A</v>
      </c>
      <c r="I71" s="10" t="e">
        <f>VLOOKUP($A71,NameCensus!$C$2:$E$140,3,FALSE)</f>
        <v>#N/A</v>
      </c>
    </row>
    <row r="72" spans="1:9" hidden="1" x14ac:dyDescent="0.25">
      <c r="A72" t="str">
        <f t="shared" si="1"/>
        <v>French Guiana</v>
      </c>
      <c r="B72" s="4" t="s">
        <v>323</v>
      </c>
      <c r="C72" t="s">
        <v>370</v>
      </c>
      <c r="D72" t="s">
        <v>388</v>
      </c>
      <c r="E72" t="s">
        <v>324</v>
      </c>
      <c r="F72" t="s">
        <v>421</v>
      </c>
      <c r="G72" s="10" t="e">
        <f>VLOOKUP($A72,NameCensus!$C$2:$E$140,1,FALSE)</f>
        <v>#N/A</v>
      </c>
      <c r="H72" s="10" t="e">
        <f>VLOOKUP($A72,NameCensus!$C$2:$E$140,2,FALSE)</f>
        <v>#N/A</v>
      </c>
      <c r="I72" s="10" t="e">
        <f>VLOOKUP($A72,NameCensus!$C$2:$E$140,3,FALSE)</f>
        <v>#N/A</v>
      </c>
    </row>
    <row r="73" spans="1:9" x14ac:dyDescent="0.25">
      <c r="A73" s="19" t="str">
        <f t="shared" si="1"/>
        <v>Colombia</v>
      </c>
      <c r="B73" s="4" t="s">
        <v>325</v>
      </c>
      <c r="C73" t="s">
        <v>376</v>
      </c>
      <c r="D73" t="s">
        <v>373</v>
      </c>
      <c r="E73" t="s">
        <v>326</v>
      </c>
      <c r="F73" t="s">
        <v>422</v>
      </c>
      <c r="G73" t="str">
        <f>VLOOKUP($A73,NameCensus!$C$2:$E$140,1,FALSE)</f>
        <v>Colombia</v>
      </c>
      <c r="H73">
        <f>VLOOKUP($A73,NameCensus!$C$2:$E$140,2,FALSE)</f>
        <v>7.7569999999999997</v>
      </c>
      <c r="I73">
        <f>VLOOKUP($A73,NameCensus!$C$2:$E$140,3,FALSE)</f>
        <v>21.113</v>
      </c>
    </row>
    <row r="74" spans="1:9" x14ac:dyDescent="0.25">
      <c r="A74" t="str">
        <f t="shared" si="1"/>
        <v>Venezuela</v>
      </c>
      <c r="B74" s="4" t="s">
        <v>327</v>
      </c>
      <c r="C74" t="s">
        <v>376</v>
      </c>
      <c r="D74" t="s">
        <v>2341</v>
      </c>
      <c r="E74" t="s">
        <v>328</v>
      </c>
      <c r="F74" t="s">
        <v>395</v>
      </c>
      <c r="G74" t="str">
        <f>VLOOKUP($A74,NameCensus!$C$2:$E$140,1,FALSE)</f>
        <v>Venezuela</v>
      </c>
      <c r="H74">
        <f>VLOOKUP($A74,NameCensus!$C$2:$E$140,2,FALSE)</f>
        <v>7.24</v>
      </c>
      <c r="I74">
        <f>VLOOKUP($A74,NameCensus!$C$2:$E$140,3,FALSE)</f>
        <v>23.681999999999999</v>
      </c>
    </row>
    <row r="75" spans="1:9" x14ac:dyDescent="0.25">
      <c r="A75" t="str">
        <f t="shared" si="1"/>
        <v>Ecuador</v>
      </c>
      <c r="B75" s="4" t="s">
        <v>329</v>
      </c>
      <c r="C75" t="s">
        <v>376</v>
      </c>
      <c r="D75" t="s">
        <v>2341</v>
      </c>
      <c r="E75" t="s">
        <v>330</v>
      </c>
      <c r="F75" t="s">
        <v>395</v>
      </c>
      <c r="G75" t="str">
        <f>VLOOKUP($A75,NameCensus!$C$2:$E$140,1,FALSE)</f>
        <v>Ecuador</v>
      </c>
      <c r="H75">
        <f>VLOOKUP($A75,NameCensus!$C$2:$E$140,2,FALSE)</f>
        <v>3.4580000000000002</v>
      </c>
      <c r="I75">
        <f>VLOOKUP($A75,NameCensus!$C$2:$E$140,3,FALSE)</f>
        <v>10.414</v>
      </c>
    </row>
    <row r="76" spans="1:9" x14ac:dyDescent="0.25">
      <c r="A76" t="str">
        <f t="shared" si="1"/>
        <v>Peru</v>
      </c>
      <c r="B76" s="4" t="s">
        <v>331</v>
      </c>
      <c r="C76" t="s">
        <v>376</v>
      </c>
      <c r="D76" t="s">
        <v>2341</v>
      </c>
      <c r="E76" t="s">
        <v>332</v>
      </c>
      <c r="F76" t="s">
        <v>395</v>
      </c>
      <c r="G76" t="str">
        <f>VLOOKUP($A76,NameCensus!$C$2:$E$140,1,FALSE)</f>
        <v>Peru</v>
      </c>
      <c r="H76">
        <f>VLOOKUP($A76,NameCensus!$C$2:$E$140,2,FALSE)</f>
        <v>5.0289999999999999</v>
      </c>
      <c r="I76">
        <f>VLOOKUP($A76,NameCensus!$C$2:$E$140,3,FALSE)</f>
        <v>12.281000000000001</v>
      </c>
    </row>
    <row r="77" spans="1:9" x14ac:dyDescent="0.25">
      <c r="A77" t="str">
        <f t="shared" si="1"/>
        <v>Bolivia</v>
      </c>
      <c r="B77" s="4" t="s">
        <v>333</v>
      </c>
      <c r="C77" t="s">
        <v>376</v>
      </c>
      <c r="D77" t="s">
        <v>2341</v>
      </c>
      <c r="E77" t="s">
        <v>334</v>
      </c>
      <c r="F77" t="s">
        <v>417</v>
      </c>
      <c r="G77" t="str">
        <f>VLOOKUP($A77,NameCensus!$C$2:$E$140,1,FALSE)</f>
        <v>Bolivia</v>
      </c>
      <c r="H77">
        <f>VLOOKUP($A77,NameCensus!$C$2:$E$140,2,FALSE)</f>
        <v>1.238</v>
      </c>
      <c r="I77">
        <f>VLOOKUP($A77,NameCensus!$C$2:$E$140,3,FALSE)</f>
        <v>5.452</v>
      </c>
    </row>
    <row r="78" spans="1:9" x14ac:dyDescent="0.25">
      <c r="A78" s="19" t="str">
        <f t="shared" si="1"/>
        <v>Chile</v>
      </c>
      <c r="B78" s="4" t="s">
        <v>335</v>
      </c>
      <c r="C78" t="s">
        <v>370</v>
      </c>
      <c r="D78" t="s">
        <v>373</v>
      </c>
      <c r="E78" t="s">
        <v>336</v>
      </c>
      <c r="F78" t="s">
        <v>404</v>
      </c>
      <c r="G78" t="str">
        <f>VLOOKUP($A78,NameCensus!$C$2:$E$140,1,FALSE)</f>
        <v>Chile</v>
      </c>
      <c r="H78">
        <f>VLOOKUP($A78,NameCensus!$C$2:$E$140,2,FALSE)</f>
        <v>4.2750000000000004</v>
      </c>
      <c r="I78">
        <f>VLOOKUP($A78,NameCensus!$C$2:$E$140,3,FALSE)</f>
        <v>11.292999999999999</v>
      </c>
    </row>
    <row r="79" spans="1:9" x14ac:dyDescent="0.25">
      <c r="A79" s="19" t="str">
        <f t="shared" si="1"/>
        <v>Argentina</v>
      </c>
      <c r="B79" s="4" t="s">
        <v>337</v>
      </c>
      <c r="C79" t="s">
        <v>370</v>
      </c>
      <c r="D79" t="s">
        <v>378</v>
      </c>
      <c r="E79" t="s">
        <v>338</v>
      </c>
      <c r="F79" t="s">
        <v>379</v>
      </c>
      <c r="G79" t="str">
        <f>VLOOKUP($A79,NameCensus!$C$2:$E$140,1,FALSE)</f>
        <v>Argentina</v>
      </c>
      <c r="H79">
        <f>VLOOKUP($A79,NameCensus!$C$2:$E$140,2,FALSE)</f>
        <v>16.343</v>
      </c>
      <c r="I79">
        <f>VLOOKUP($A79,NameCensus!$C$2:$E$140,3,FALSE)</f>
        <v>18.962</v>
      </c>
    </row>
    <row r="80" spans="1:9" x14ac:dyDescent="0.25">
      <c r="A80" s="19" t="str">
        <f t="shared" si="1"/>
        <v>Uruguay</v>
      </c>
      <c r="B80" s="4" t="s">
        <v>339</v>
      </c>
      <c r="C80" t="s">
        <v>370</v>
      </c>
      <c r="D80" t="s">
        <v>373</v>
      </c>
      <c r="E80" t="s">
        <v>340</v>
      </c>
      <c r="F80" t="s">
        <v>423</v>
      </c>
      <c r="G80" t="str">
        <f>VLOOKUP($A80,NameCensus!$C$2:$E$140,1,FALSE)</f>
        <v>Uruguay</v>
      </c>
      <c r="H80">
        <f>VLOOKUP($A80,NameCensus!$C$2:$E$140,2,FALSE)</f>
        <v>2.5760000000000001</v>
      </c>
      <c r="I80">
        <f>VLOOKUP($A80,NameCensus!$C$2:$E$140,3,FALSE)</f>
        <v>4.9459999999999997</v>
      </c>
    </row>
    <row r="81" spans="1:9" x14ac:dyDescent="0.25">
      <c r="A81" t="str">
        <f t="shared" si="1"/>
        <v>Paraguay</v>
      </c>
      <c r="B81" s="4" t="s">
        <v>341</v>
      </c>
      <c r="C81" t="s">
        <v>376</v>
      </c>
      <c r="D81" t="s">
        <v>2341</v>
      </c>
      <c r="E81" t="s">
        <v>342</v>
      </c>
      <c r="F81" t="s">
        <v>395</v>
      </c>
      <c r="G81" t="str">
        <f>VLOOKUP($A81,NameCensus!$C$2:$E$140,1,FALSE)</f>
        <v>Paraguay</v>
      </c>
      <c r="H81">
        <f>VLOOKUP($A81,NameCensus!$C$2:$E$140,2,FALSE)</f>
        <v>1.8080000000000001</v>
      </c>
      <c r="I81">
        <f>VLOOKUP($A81,NameCensus!$C$2:$E$140,3,FALSE)</f>
        <v>6.7380000000000004</v>
      </c>
    </row>
    <row r="82" spans="1:9" x14ac:dyDescent="0.25">
      <c r="A82" s="19" t="str">
        <f t="shared" si="1"/>
        <v>Brazil</v>
      </c>
      <c r="B82" s="4" t="s">
        <v>343</v>
      </c>
      <c r="C82" t="s">
        <v>408</v>
      </c>
      <c r="D82" t="s">
        <v>378</v>
      </c>
      <c r="E82" t="s">
        <v>344</v>
      </c>
      <c r="F82" t="s">
        <v>424</v>
      </c>
      <c r="G82" t="str">
        <f>VLOOKUP($A82,NameCensus!$C$2:$E$140,1,FALSE)</f>
        <v>Brazil</v>
      </c>
      <c r="H82">
        <f>VLOOKUP($A82,NameCensus!$C$2:$E$140,2,FALSE)</f>
        <v>23.007000000000001</v>
      </c>
      <c r="I82">
        <f>VLOOKUP($A82,NameCensus!$C$2:$E$140,3,FALSE)</f>
        <v>44.957000000000001</v>
      </c>
    </row>
    <row r="83" spans="1:9" hidden="1" x14ac:dyDescent="0.25">
      <c r="A83" t="str">
        <f t="shared" si="1"/>
        <v>Suriname</v>
      </c>
      <c r="B83" s="4" t="s">
        <v>345</v>
      </c>
      <c r="C83" t="s">
        <v>408</v>
      </c>
      <c r="D83" t="s">
        <v>371</v>
      </c>
      <c r="E83" t="s">
        <v>346</v>
      </c>
      <c r="F83" t="s">
        <v>425</v>
      </c>
      <c r="G83" s="10" t="e">
        <f>VLOOKUP($A83,NameCensus!$C$2:$E$140,1,FALSE)</f>
        <v>#N/A</v>
      </c>
      <c r="H83" s="10" t="e">
        <f>VLOOKUP($A83,NameCensus!$C$2:$E$140,2,FALSE)</f>
        <v>#N/A</v>
      </c>
      <c r="I83" s="10" t="e">
        <f>VLOOKUP($A83,NameCensus!$C$2:$E$140,3,FALSE)</f>
        <v>#N/A</v>
      </c>
    </row>
    <row r="84" spans="1:9" hidden="1" x14ac:dyDescent="0.25">
      <c r="A84" t="str">
        <f t="shared" si="1"/>
        <v>Guyana</v>
      </c>
      <c r="B84" s="4" t="s">
        <v>351</v>
      </c>
      <c r="C84" t="s">
        <v>408</v>
      </c>
      <c r="D84" t="s">
        <v>371</v>
      </c>
      <c r="E84" t="s">
        <v>352</v>
      </c>
      <c r="F84" t="s">
        <v>425</v>
      </c>
      <c r="G84" s="10" t="e">
        <f>VLOOKUP($A84,NameCensus!$C$2:$E$140,1,FALSE)</f>
        <v>#N/A</v>
      </c>
      <c r="H84" s="10" t="e">
        <f>VLOOKUP($A84,NameCensus!$C$2:$E$140,2,FALSE)</f>
        <v>#N/A</v>
      </c>
      <c r="I84" s="10" t="e">
        <f>VLOOKUP($A84,NameCensus!$C$2:$E$140,3,FALSE)</f>
        <v>#N/A</v>
      </c>
    </row>
    <row r="85" spans="1:9" hidden="1" x14ac:dyDescent="0.25">
      <c r="A85" t="str">
        <f t="shared" si="1"/>
        <v>Curaçao</v>
      </c>
      <c r="B85" s="4" t="s">
        <v>347</v>
      </c>
      <c r="C85" t="s">
        <v>370</v>
      </c>
      <c r="D85" t="s">
        <v>371</v>
      </c>
      <c r="E85" t="s">
        <v>348</v>
      </c>
      <c r="F85" t="s">
        <v>426</v>
      </c>
      <c r="G85" s="10" t="e">
        <f>VLOOKUP($A85,NameCensus!$C$2:$E$140,1,FALSE)</f>
        <v>#N/A</v>
      </c>
      <c r="H85" s="10" t="e">
        <f>VLOOKUP($A85,NameCensus!$C$2:$E$140,2,FALSE)</f>
        <v>#N/A</v>
      </c>
      <c r="I85" s="10" t="e">
        <f>VLOOKUP($A85,NameCensus!$C$2:$E$140,3,FALSE)</f>
        <v>#N/A</v>
      </c>
    </row>
    <row r="86" spans="1:9" hidden="1" x14ac:dyDescent="0.25">
      <c r="A86" t="str">
        <f t="shared" si="1"/>
        <v>Aruba</v>
      </c>
      <c r="B86" s="4" t="s">
        <v>349</v>
      </c>
      <c r="C86" t="s">
        <v>370</v>
      </c>
      <c r="D86" t="s">
        <v>388</v>
      </c>
      <c r="E86" t="s">
        <v>350</v>
      </c>
      <c r="F86" t="s">
        <v>417</v>
      </c>
      <c r="G86" s="10" t="e">
        <f>VLOOKUP($A86,NameCensus!$C$2:$E$140,1,FALSE)</f>
        <v>#N/A</v>
      </c>
      <c r="H86" s="10" t="e">
        <f>VLOOKUP($A86,NameCensus!$C$2:$E$140,2,FALSE)</f>
        <v>#N/A</v>
      </c>
      <c r="I86" s="10" t="e">
        <f>VLOOKUP($A86,NameCensus!$C$2:$E$140,3,FALSE)</f>
        <v>#N/A</v>
      </c>
    </row>
    <row r="87" spans="1:9" x14ac:dyDescent="0.25">
      <c r="A87" s="19" t="str">
        <f t="shared" si="1"/>
        <v>Morocco</v>
      </c>
      <c r="B87" s="5" t="s">
        <v>108</v>
      </c>
      <c r="C87" t="s">
        <v>370</v>
      </c>
      <c r="D87" t="s">
        <v>373</v>
      </c>
      <c r="E87" t="s">
        <v>109</v>
      </c>
      <c r="F87" t="s">
        <v>2</v>
      </c>
      <c r="G87" t="str">
        <f>VLOOKUP($A87,NameCensus!$C$2:$E$140,1,FALSE)</f>
        <v>Morocco</v>
      </c>
      <c r="H87">
        <f>VLOOKUP($A87,NameCensus!$C$2:$E$140,2,FALSE)</f>
        <v>2.516</v>
      </c>
      <c r="I87">
        <f>VLOOKUP($A87,NameCensus!$C$2:$E$140,3,FALSE)</f>
        <v>5.9240000000000004</v>
      </c>
    </row>
    <row r="88" spans="1:9" x14ac:dyDescent="0.25">
      <c r="A88" s="19" t="str">
        <f t="shared" si="1"/>
        <v>Algeria</v>
      </c>
      <c r="B88" s="5" t="s">
        <v>110</v>
      </c>
      <c r="C88" t="s">
        <v>370</v>
      </c>
      <c r="D88" t="s">
        <v>373</v>
      </c>
      <c r="E88" t="s">
        <v>111</v>
      </c>
      <c r="F88" t="s">
        <v>2</v>
      </c>
      <c r="G88" t="str">
        <f>VLOOKUP($A88,NameCensus!$C$2:$E$140,1,FALSE)</f>
        <v>Algeria</v>
      </c>
      <c r="H88">
        <f>VLOOKUP($A88,NameCensus!$C$2:$E$140,2,FALSE)</f>
        <v>3.4260000000000002</v>
      </c>
      <c r="I88">
        <f>VLOOKUP($A88,NameCensus!$C$2:$E$140,3,FALSE)</f>
        <v>7.1849999999999996</v>
      </c>
    </row>
    <row r="89" spans="1:9" x14ac:dyDescent="0.25">
      <c r="A89" s="19" t="str">
        <f t="shared" si="1"/>
        <v>Tunisia</v>
      </c>
      <c r="B89" s="5" t="s">
        <v>112</v>
      </c>
      <c r="C89" t="s">
        <v>370</v>
      </c>
      <c r="D89" t="s">
        <v>373</v>
      </c>
      <c r="E89" t="s">
        <v>113</v>
      </c>
      <c r="F89" t="s">
        <v>2</v>
      </c>
      <c r="G89" t="str">
        <f>VLOOKUP($A89,NameCensus!$C$2:$E$140,1,FALSE)</f>
        <v>Tunisia</v>
      </c>
      <c r="H89">
        <f>VLOOKUP($A89,NameCensus!$C$2:$E$140,2,FALSE)</f>
        <v>1.534</v>
      </c>
      <c r="I89">
        <f>VLOOKUP($A89,NameCensus!$C$2:$E$140,3,FALSE)</f>
        <v>3.2549999999999999</v>
      </c>
    </row>
    <row r="90" spans="1:9" hidden="1" x14ac:dyDescent="0.25">
      <c r="A90" t="str">
        <f t="shared" si="1"/>
        <v>Libya</v>
      </c>
      <c r="B90" s="5" t="s">
        <v>114</v>
      </c>
      <c r="C90" t="s">
        <v>370</v>
      </c>
      <c r="D90" t="s">
        <v>2340</v>
      </c>
      <c r="E90" t="s">
        <v>115</v>
      </c>
      <c r="F90" t="s">
        <v>417</v>
      </c>
      <c r="G90" t="str">
        <f>VLOOKUP($A90,NameCensus!$C$2:$E$140,1,FALSE)</f>
        <v>Libya</v>
      </c>
      <c r="H90">
        <f>VLOOKUP($A90,NameCensus!$C$2:$E$140,2,FALSE)</f>
        <v>499</v>
      </c>
      <c r="I90">
        <f>VLOOKUP($A90,NameCensus!$C$2:$E$140,3,FALSE)</f>
        <v>2.3860000000000001</v>
      </c>
    </row>
    <row r="91" spans="1:9" x14ac:dyDescent="0.25">
      <c r="A91" s="19" t="str">
        <f t="shared" si="1"/>
        <v>Egypt</v>
      </c>
      <c r="B91" s="5" t="s">
        <v>116</v>
      </c>
      <c r="C91" t="s">
        <v>370</v>
      </c>
      <c r="D91" t="s">
        <v>378</v>
      </c>
      <c r="E91" t="s">
        <v>56</v>
      </c>
      <c r="F91" t="s">
        <v>427</v>
      </c>
      <c r="G91" t="str">
        <f>VLOOKUP($A91,NameCensus!$C$2:$E$140,1,FALSE)</f>
        <v>Egypt</v>
      </c>
      <c r="H91">
        <f>VLOOKUP($A91,NameCensus!$C$2:$E$140,2,FALSE)</f>
        <v>6.13</v>
      </c>
      <c r="I91">
        <f>VLOOKUP($A91,NameCensus!$C$2:$E$140,3,FALSE)</f>
        <v>10.119999999999999</v>
      </c>
    </row>
    <row r="92" spans="1:9" hidden="1" x14ac:dyDescent="0.25">
      <c r="A92" t="str">
        <f t="shared" si="1"/>
        <v>Syria</v>
      </c>
      <c r="B92" s="5" t="s">
        <v>117</v>
      </c>
      <c r="C92" t="s">
        <v>370</v>
      </c>
      <c r="D92" t="s">
        <v>2340</v>
      </c>
      <c r="E92" t="s">
        <v>118</v>
      </c>
      <c r="F92" t="s">
        <v>428</v>
      </c>
      <c r="G92" t="str">
        <f>VLOOKUP($A92,NameCensus!$C$2:$E$140,1,FALSE)</f>
        <v>Syria</v>
      </c>
      <c r="H92">
        <f>VLOOKUP($A92,NameCensus!$C$2:$E$140,2,FALSE)</f>
        <v>1.2330000000000001</v>
      </c>
      <c r="I92">
        <f>VLOOKUP($A92,NameCensus!$C$2:$E$140,3,FALSE)</f>
        <v>4.0209999999999999</v>
      </c>
    </row>
    <row r="93" spans="1:9" hidden="1" x14ac:dyDescent="0.25">
      <c r="A93" t="str">
        <f t="shared" si="1"/>
        <v>Lebanon</v>
      </c>
      <c r="B93" s="5" t="s">
        <v>119</v>
      </c>
      <c r="C93" t="s">
        <v>376</v>
      </c>
      <c r="D93" t="s">
        <v>371</v>
      </c>
      <c r="E93" t="s">
        <v>120</v>
      </c>
      <c r="F93" t="s">
        <v>395</v>
      </c>
      <c r="G93" t="str">
        <f>VLOOKUP($A93,NameCensus!$C$2:$E$140,1,FALSE)</f>
        <v>Lebanon</v>
      </c>
      <c r="H93">
        <f>VLOOKUP($A93,NameCensus!$C$2:$E$140,2,FALSE)</f>
        <v>1.9670000000000001</v>
      </c>
      <c r="I93">
        <f>VLOOKUP($A93,NameCensus!$C$2:$E$140,3,FALSE)</f>
        <v>4.883</v>
      </c>
    </row>
    <row r="94" spans="1:9" hidden="1" x14ac:dyDescent="0.25">
      <c r="A94" t="str">
        <f t="shared" si="1"/>
        <v>Palestine</v>
      </c>
      <c r="B94" s="5" t="s">
        <v>121</v>
      </c>
      <c r="C94" t="s">
        <v>376</v>
      </c>
      <c r="D94" t="s">
        <v>371</v>
      </c>
      <c r="E94" t="s">
        <v>122</v>
      </c>
      <c r="F94" t="s">
        <v>429</v>
      </c>
      <c r="G94" t="str">
        <f>VLOOKUP($A94,NameCensus!$C$2:$E$140,1,FALSE)</f>
        <v>Palestine</v>
      </c>
      <c r="H94">
        <f>VLOOKUP($A94,NameCensus!$C$2:$E$140,2,FALSE)</f>
        <v>845</v>
      </c>
      <c r="I94">
        <f>VLOOKUP($A94,NameCensus!$C$2:$E$140,3,FALSE)</f>
        <v>2.609</v>
      </c>
    </row>
    <row r="95" spans="1:9" x14ac:dyDescent="0.25">
      <c r="A95" t="str">
        <f t="shared" si="1"/>
        <v>Jordan</v>
      </c>
      <c r="B95" s="5" t="s">
        <v>123</v>
      </c>
      <c r="C95" t="s">
        <v>370</v>
      </c>
      <c r="D95" t="s">
        <v>2341</v>
      </c>
      <c r="E95" t="s">
        <v>124</v>
      </c>
      <c r="F95" t="s">
        <v>395</v>
      </c>
      <c r="G95" t="str">
        <f>VLOOKUP($A95,NameCensus!$C$2:$E$140,1,FALSE)</f>
        <v>Jordan</v>
      </c>
      <c r="H95">
        <f>VLOOKUP($A95,NameCensus!$C$2:$E$140,2,FALSE)</f>
        <v>1.319</v>
      </c>
      <c r="I95">
        <f>VLOOKUP($A95,NameCensus!$C$2:$E$140,3,FALSE)</f>
        <v>3.5680000000000001</v>
      </c>
    </row>
    <row r="96" spans="1:9" x14ac:dyDescent="0.25">
      <c r="A96" t="str">
        <f t="shared" si="1"/>
        <v>Iraq</v>
      </c>
      <c r="B96" s="5" t="s">
        <v>125</v>
      </c>
      <c r="C96" t="s">
        <v>376</v>
      </c>
      <c r="D96" t="s">
        <v>2341</v>
      </c>
      <c r="E96" t="s">
        <v>126</v>
      </c>
      <c r="F96" t="s">
        <v>395</v>
      </c>
      <c r="G96" t="str">
        <f>VLOOKUP($A96,NameCensus!$C$2:$E$140,1,FALSE)</f>
        <v>Iraq</v>
      </c>
      <c r="H96">
        <f>VLOOKUP($A96,NameCensus!$C$2:$E$140,2,FALSE)</f>
        <v>2.274</v>
      </c>
      <c r="I96">
        <f>VLOOKUP($A96,NameCensus!$C$2:$E$140,3,FALSE)</f>
        <v>7.0179999999999998</v>
      </c>
    </row>
    <row r="97" spans="1:9" x14ac:dyDescent="0.25">
      <c r="A97" t="str">
        <f t="shared" si="1"/>
        <v>Iran</v>
      </c>
      <c r="B97" s="5" t="s">
        <v>127</v>
      </c>
      <c r="C97" t="s">
        <v>370</v>
      </c>
      <c r="D97" t="s">
        <v>2341</v>
      </c>
      <c r="E97" t="s">
        <v>128</v>
      </c>
      <c r="F97" t="s">
        <v>430</v>
      </c>
      <c r="G97" t="str">
        <f>VLOOKUP($A97,NameCensus!$C$2:$E$140,1,FALSE)</f>
        <v>Iran</v>
      </c>
      <c r="H97">
        <f>VLOOKUP($A97,NameCensus!$C$2:$E$140,2,FALSE)</f>
        <v>2.5099999999999998</v>
      </c>
      <c r="I97">
        <f>VLOOKUP($A97,NameCensus!$C$2:$E$140,3,FALSE)</f>
        <v>6.548</v>
      </c>
    </row>
    <row r="98" spans="1:9" x14ac:dyDescent="0.25">
      <c r="A98" s="19" t="str">
        <f t="shared" si="1"/>
        <v>Saudi Arabia</v>
      </c>
      <c r="B98" s="5" t="s">
        <v>129</v>
      </c>
      <c r="C98" t="s">
        <v>370</v>
      </c>
      <c r="D98" t="s">
        <v>378</v>
      </c>
      <c r="E98" t="s">
        <v>130</v>
      </c>
      <c r="F98" t="s">
        <v>431</v>
      </c>
      <c r="G98" t="str">
        <f>VLOOKUP($A98,NameCensus!$C$2:$E$140,1,FALSE)</f>
        <v>Saudi Arabia</v>
      </c>
      <c r="H98">
        <f>VLOOKUP($A98,NameCensus!$C$2:$E$140,2,FALSE)</f>
        <v>3.1230000000000002</v>
      </c>
      <c r="I98">
        <f>VLOOKUP($A98,NameCensus!$C$2:$E$140,3,FALSE)</f>
        <v>8.6150000000000002</v>
      </c>
    </row>
    <row r="99" spans="1:9" hidden="1" x14ac:dyDescent="0.25">
      <c r="A99" t="str">
        <f t="shared" si="1"/>
        <v>Yemen</v>
      </c>
      <c r="B99" s="5" t="s">
        <v>131</v>
      </c>
      <c r="C99" t="s">
        <v>376</v>
      </c>
      <c r="D99" t="s">
        <v>388</v>
      </c>
      <c r="E99" t="s">
        <v>132</v>
      </c>
      <c r="F99" t="s">
        <v>417</v>
      </c>
      <c r="G99" s="10" t="e">
        <f>VLOOKUP($A99,NameCensus!$C$2:$E$140,1,FALSE)</f>
        <v>#N/A</v>
      </c>
      <c r="H99" s="10" t="e">
        <f>VLOOKUP($A99,NameCensus!$C$2:$E$140,2,FALSE)</f>
        <v>#N/A</v>
      </c>
      <c r="I99" s="10" t="e">
        <f>VLOOKUP($A99,NameCensus!$C$2:$E$140,3,FALSE)</f>
        <v>#N/A</v>
      </c>
    </row>
    <row r="100" spans="1:9" x14ac:dyDescent="0.25">
      <c r="A100" t="str">
        <f t="shared" si="1"/>
        <v>Oman</v>
      </c>
      <c r="B100" s="5" t="s">
        <v>133</v>
      </c>
      <c r="C100" t="s">
        <v>370</v>
      </c>
      <c r="D100" t="s">
        <v>2341</v>
      </c>
      <c r="E100" t="s">
        <v>134</v>
      </c>
      <c r="F100" t="s">
        <v>395</v>
      </c>
      <c r="G100" t="str">
        <f>VLOOKUP($A100,NameCensus!$C$2:$E$140,1,FALSE)</f>
        <v>Oman</v>
      </c>
      <c r="H100">
        <f>VLOOKUP($A100,NameCensus!$C$2:$E$140,2,FALSE)</f>
        <v>639</v>
      </c>
      <c r="I100">
        <f>VLOOKUP($A100,NameCensus!$C$2:$E$140,3,FALSE)</f>
        <v>3.827</v>
      </c>
    </row>
    <row r="101" spans="1:9" x14ac:dyDescent="0.25">
      <c r="A101" s="19" t="str">
        <f t="shared" si="1"/>
        <v>United Arab Emirates</v>
      </c>
      <c r="B101" s="5" t="s">
        <v>135</v>
      </c>
      <c r="C101" t="s">
        <v>376</v>
      </c>
      <c r="D101" t="s">
        <v>378</v>
      </c>
      <c r="E101" t="s">
        <v>136</v>
      </c>
      <c r="F101" t="s">
        <v>432</v>
      </c>
      <c r="G101" t="str">
        <f>VLOOKUP($A101,NameCensus!$C$2:$E$140,1,FALSE)</f>
        <v>United Arab Emirates</v>
      </c>
      <c r="H101">
        <f>VLOOKUP($A101,NameCensus!$C$2:$E$140,2,FALSE)</f>
        <v>4.3040000000000003</v>
      </c>
      <c r="I101">
        <f>VLOOKUP($A101,NameCensus!$C$2:$E$140,3,FALSE)</f>
        <v>14.007</v>
      </c>
    </row>
    <row r="102" spans="1:9" x14ac:dyDescent="0.25">
      <c r="A102" s="19" t="str">
        <f t="shared" si="1"/>
        <v>Qatar</v>
      </c>
      <c r="B102" s="5" t="s">
        <v>137</v>
      </c>
      <c r="C102" t="s">
        <v>370</v>
      </c>
      <c r="D102" t="s">
        <v>378</v>
      </c>
      <c r="E102" t="s">
        <v>138</v>
      </c>
      <c r="F102" t="s">
        <v>433</v>
      </c>
      <c r="G102" t="str">
        <f>VLOOKUP($A102,NameCensus!$C$2:$E$140,1,FALSE)</f>
        <v>Qatar</v>
      </c>
      <c r="H102">
        <f>VLOOKUP($A102,NameCensus!$C$2:$E$140,2,FALSE)</f>
        <v>894</v>
      </c>
      <c r="I102">
        <f>VLOOKUP($A102,NameCensus!$C$2:$E$140,3,FALSE)</f>
        <v>5.2450000000000001</v>
      </c>
    </row>
    <row r="103" spans="1:9" x14ac:dyDescent="0.25">
      <c r="A103" t="str">
        <f t="shared" si="1"/>
        <v>Kuwait</v>
      </c>
      <c r="B103" s="5" t="s">
        <v>139</v>
      </c>
      <c r="C103" t="s">
        <v>370</v>
      </c>
      <c r="D103" t="s">
        <v>2341</v>
      </c>
      <c r="E103" t="s">
        <v>140</v>
      </c>
      <c r="F103" t="s">
        <v>395</v>
      </c>
      <c r="G103" t="str">
        <f>VLOOKUP($A103,NameCensus!$C$2:$E$140,1,FALSE)</f>
        <v>Kuwait</v>
      </c>
      <c r="H103">
        <f>VLOOKUP($A103,NameCensus!$C$2:$E$140,2,FALSE)</f>
        <v>1.2370000000000001</v>
      </c>
      <c r="I103">
        <f>VLOOKUP($A103,NameCensus!$C$2:$E$140,3,FALSE)</f>
        <v>4.4560000000000004</v>
      </c>
    </row>
    <row r="104" spans="1:9" x14ac:dyDescent="0.25">
      <c r="A104" t="str">
        <f t="shared" si="1"/>
        <v>Bahrain</v>
      </c>
      <c r="B104" s="5" t="s">
        <v>141</v>
      </c>
      <c r="C104" t="s">
        <v>370</v>
      </c>
      <c r="D104" t="s">
        <v>2341</v>
      </c>
      <c r="E104" t="s">
        <v>142</v>
      </c>
      <c r="F104" t="s">
        <v>395</v>
      </c>
      <c r="G104" t="str">
        <f>VLOOKUP($A104,NameCensus!$C$2:$E$140,1,FALSE)</f>
        <v>Bahrain</v>
      </c>
      <c r="H104">
        <f>VLOOKUP($A104,NameCensus!$C$2:$E$140,2,FALSE)</f>
        <v>394</v>
      </c>
      <c r="I104">
        <f>VLOOKUP($A104,NameCensus!$C$2:$E$140,3,FALSE)</f>
        <v>2.0659999999999998</v>
      </c>
    </row>
    <row r="105" spans="1:9" x14ac:dyDescent="0.25">
      <c r="A105" t="str">
        <f t="shared" si="1"/>
        <v>Israel</v>
      </c>
      <c r="B105" s="5" t="s">
        <v>143</v>
      </c>
      <c r="C105" t="s">
        <v>408</v>
      </c>
      <c r="D105" t="s">
        <v>2341</v>
      </c>
      <c r="E105" t="s">
        <v>144</v>
      </c>
      <c r="F105" t="s">
        <v>434</v>
      </c>
      <c r="G105" t="str">
        <f>VLOOKUP($A105,NameCensus!$C$2:$E$140,1,FALSE)</f>
        <v>Israel</v>
      </c>
      <c r="H105">
        <f>VLOOKUP($A105,NameCensus!$C$2:$E$140,2,FALSE)</f>
        <v>1.6859999999999999</v>
      </c>
      <c r="I105">
        <f>VLOOKUP($A105,NameCensus!$C$2:$E$140,3,FALSE)</f>
        <v>5.2080000000000002</v>
      </c>
    </row>
    <row r="106" spans="1:9" x14ac:dyDescent="0.25">
      <c r="A106" s="19" t="str">
        <f t="shared" si="1"/>
        <v>India</v>
      </c>
      <c r="B106" s="6" t="s">
        <v>145</v>
      </c>
      <c r="C106" t="s">
        <v>435</v>
      </c>
      <c r="D106" t="s">
        <v>378</v>
      </c>
      <c r="E106" t="s">
        <v>146</v>
      </c>
      <c r="F106" t="s">
        <v>436</v>
      </c>
      <c r="G106" t="str">
        <f>VLOOKUP($A106,NameCensus!$C$2:$E$140,1,FALSE)</f>
        <v>India</v>
      </c>
      <c r="H106">
        <f>VLOOKUP($A106,NameCensus!$C$2:$E$140,2,FALSE)</f>
        <v>12.859</v>
      </c>
      <c r="I106">
        <f>VLOOKUP($A106,NameCensus!$C$2:$E$140,3,FALSE)</f>
        <v>32.442999999999998</v>
      </c>
    </row>
    <row r="107" spans="1:9" hidden="1" x14ac:dyDescent="0.25">
      <c r="A107" t="str">
        <f t="shared" si="1"/>
        <v>Pakistan</v>
      </c>
      <c r="B107" s="6" t="s">
        <v>147</v>
      </c>
      <c r="C107" t="s">
        <v>408</v>
      </c>
      <c r="D107" t="s">
        <v>2340</v>
      </c>
      <c r="E107" t="s">
        <v>148</v>
      </c>
      <c r="F107" t="s">
        <v>437</v>
      </c>
      <c r="G107" t="str">
        <f>VLOOKUP($A107,NameCensus!$C$2:$E$140,1,FALSE)</f>
        <v>Pakistan</v>
      </c>
      <c r="H107">
        <f>VLOOKUP($A107,NameCensus!$C$2:$E$140,2,FALSE)</f>
        <v>3.5529999999999999</v>
      </c>
      <c r="I107">
        <f>VLOOKUP($A107,NameCensus!$C$2:$E$140,3,FALSE)</f>
        <v>12.909000000000001</v>
      </c>
    </row>
    <row r="108" spans="1:9" hidden="1" x14ac:dyDescent="0.25">
      <c r="A108" t="str">
        <f t="shared" si="1"/>
        <v>Bangladesh</v>
      </c>
      <c r="B108" s="6" t="s">
        <v>149</v>
      </c>
      <c r="C108" t="s">
        <v>370</v>
      </c>
      <c r="D108" t="s">
        <v>2336</v>
      </c>
      <c r="E108" t="s">
        <v>150</v>
      </c>
      <c r="F108" t="s">
        <v>438</v>
      </c>
      <c r="G108" t="str">
        <f>VLOOKUP($A108,NameCensus!$C$2:$E$140,1,FALSE)</f>
        <v>Bangladesh</v>
      </c>
      <c r="H108">
        <f>VLOOKUP($A108,NameCensus!$C$2:$E$140,2,FALSE)</f>
        <v>2.4319999999999999</v>
      </c>
      <c r="I108">
        <f>VLOOKUP($A108,NameCensus!$C$2:$E$140,3,FALSE)</f>
        <v>11.282999999999999</v>
      </c>
    </row>
    <row r="109" spans="1:9" hidden="1" x14ac:dyDescent="0.25">
      <c r="A109" t="str">
        <f t="shared" si="1"/>
        <v>Sri Lanka</v>
      </c>
      <c r="B109" s="6" t="s">
        <v>151</v>
      </c>
      <c r="C109" t="s">
        <v>376</v>
      </c>
      <c r="D109" t="s">
        <v>371</v>
      </c>
      <c r="E109" t="s">
        <v>152</v>
      </c>
      <c r="F109" t="s">
        <v>439</v>
      </c>
      <c r="G109" t="str">
        <f>VLOOKUP($A109,NameCensus!$C$2:$E$140,1,FALSE)</f>
        <v>Sri Lanka</v>
      </c>
      <c r="H109">
        <f>VLOOKUP($A109,NameCensus!$C$2:$E$140,2,FALSE)</f>
        <v>698</v>
      </c>
      <c r="I109">
        <f>VLOOKUP($A109,NameCensus!$C$2:$E$140,3,FALSE)</f>
        <v>4.0129999999999999</v>
      </c>
    </row>
    <row r="110" spans="1:9" hidden="1" x14ac:dyDescent="0.25">
      <c r="A110" t="str">
        <f t="shared" si="1"/>
        <v>Nepal</v>
      </c>
      <c r="B110" s="6" t="s">
        <v>153</v>
      </c>
      <c r="C110" t="s">
        <v>376</v>
      </c>
      <c r="D110" t="s">
        <v>371</v>
      </c>
      <c r="E110" t="s">
        <v>154</v>
      </c>
      <c r="F110" t="s">
        <v>395</v>
      </c>
      <c r="G110" t="str">
        <f>VLOOKUP($A110,NameCensus!$C$2:$E$140,1,FALSE)</f>
        <v>Nepal</v>
      </c>
      <c r="H110">
        <f>VLOOKUP($A110,NameCensus!$C$2:$E$140,2,FALSE)</f>
        <v>913</v>
      </c>
      <c r="I110">
        <f>VLOOKUP($A110,NameCensus!$C$2:$E$140,3,FALSE)</f>
        <v>6.5339999999999998</v>
      </c>
    </row>
    <row r="111" spans="1:9" hidden="1" x14ac:dyDescent="0.25">
      <c r="A111" t="str">
        <f t="shared" si="1"/>
        <v>Bhutan</v>
      </c>
      <c r="B111" s="6" t="s">
        <v>155</v>
      </c>
      <c r="C111" t="s">
        <v>370</v>
      </c>
      <c r="D111" t="s">
        <v>388</v>
      </c>
      <c r="E111" t="s">
        <v>156</v>
      </c>
      <c r="F111" t="s">
        <v>417</v>
      </c>
      <c r="G111" s="10" t="e">
        <f>VLOOKUP($A111,NameCensus!$C$2:$E$140,1,FALSE)</f>
        <v>#N/A</v>
      </c>
      <c r="H111" s="10" t="e">
        <f>VLOOKUP($A111,NameCensus!$C$2:$E$140,2,FALSE)</f>
        <v>#N/A</v>
      </c>
      <c r="I111" s="10" t="e">
        <f>VLOOKUP($A111,NameCensus!$C$2:$E$140,3,FALSE)</f>
        <v>#N/A</v>
      </c>
    </row>
    <row r="112" spans="1:9" hidden="1" x14ac:dyDescent="0.25">
      <c r="A112" t="str">
        <f t="shared" si="1"/>
        <v>Maldives</v>
      </c>
      <c r="B112" s="6" t="s">
        <v>157</v>
      </c>
      <c r="C112" t="s">
        <v>370</v>
      </c>
      <c r="D112" t="s">
        <v>388</v>
      </c>
      <c r="E112" t="s">
        <v>158</v>
      </c>
      <c r="F112" t="s">
        <v>417</v>
      </c>
      <c r="G112" s="10" t="e">
        <f>VLOOKUP($A112,NameCensus!$C$2:$E$140,1,FALSE)</f>
        <v>#N/A</v>
      </c>
      <c r="H112" s="10" t="e">
        <f>VLOOKUP($A112,NameCensus!$C$2:$E$140,2,FALSE)</f>
        <v>#N/A</v>
      </c>
      <c r="I112" s="10" t="e">
        <f>VLOOKUP($A112,NameCensus!$C$2:$E$140,3,FALSE)</f>
        <v>#N/A</v>
      </c>
    </row>
    <row r="113" spans="1:10" hidden="1" x14ac:dyDescent="0.25">
      <c r="A113" t="str">
        <f t="shared" si="1"/>
        <v>Afghanistan</v>
      </c>
      <c r="B113" s="6" t="s">
        <v>159</v>
      </c>
      <c r="C113" t="s">
        <v>408</v>
      </c>
      <c r="D113" t="s">
        <v>2340</v>
      </c>
      <c r="E113" t="s">
        <v>160</v>
      </c>
      <c r="F113" t="s">
        <v>440</v>
      </c>
      <c r="G113" t="str">
        <f>VLOOKUP($A113,NameCensus!$C$2:$E$140,1,FALSE)</f>
        <v>Afghanistan</v>
      </c>
      <c r="H113">
        <f>VLOOKUP($A113,NameCensus!$C$2:$E$140,2,FALSE)</f>
        <v>2.1070000000000002</v>
      </c>
      <c r="I113">
        <f>VLOOKUP($A113,NameCensus!$C$2:$E$140,3,FALSE)</f>
        <v>8.4139999999999997</v>
      </c>
    </row>
    <row r="114" spans="1:10" x14ac:dyDescent="0.25">
      <c r="A114" s="19" t="str">
        <f t="shared" si="1"/>
        <v>China</v>
      </c>
      <c r="B114" s="7" t="s">
        <v>161</v>
      </c>
      <c r="C114" t="s">
        <v>435</v>
      </c>
      <c r="D114" t="s">
        <v>378</v>
      </c>
      <c r="E114" t="s">
        <v>162</v>
      </c>
      <c r="F114" t="s">
        <v>441</v>
      </c>
      <c r="G114" t="str">
        <f>VLOOKUP($A114,NameCensus!$C$2:$E$140,1,FALSE)</f>
        <v>China</v>
      </c>
      <c r="H114">
        <f>VLOOKUP($A114,NameCensus!$C$2:$E$140,2,FALSE)</f>
        <v>1.89</v>
      </c>
      <c r="I114">
        <f>VLOOKUP($A114,NameCensus!$C$2:$E$140,3,FALSE)</f>
        <v>13.108000000000001</v>
      </c>
    </row>
    <row r="115" spans="1:10" x14ac:dyDescent="0.25">
      <c r="A115" s="19" t="str">
        <f t="shared" si="1"/>
        <v>Japan</v>
      </c>
      <c r="B115" s="7" t="s">
        <v>163</v>
      </c>
      <c r="C115" t="s">
        <v>370</v>
      </c>
      <c r="D115" t="s">
        <v>378</v>
      </c>
      <c r="E115" t="s">
        <v>164</v>
      </c>
      <c r="F115" t="s">
        <v>442</v>
      </c>
      <c r="G115" t="str">
        <f>VLOOKUP($A115,NameCensus!$C$2:$E$140,1,FALSE)</f>
        <v>Japan</v>
      </c>
      <c r="H115">
        <f>VLOOKUP($A115,NameCensus!$C$2:$E$140,2,FALSE)</f>
        <v>3.4449999999999998</v>
      </c>
      <c r="I115">
        <f>VLOOKUP($A115,NameCensus!$C$2:$E$140,3,FALSE)</f>
        <v>11.49</v>
      </c>
    </row>
    <row r="116" spans="1:10" x14ac:dyDescent="0.25">
      <c r="A116" s="19" t="str">
        <f t="shared" si="1"/>
        <v>Korea</v>
      </c>
      <c r="B116" s="7" t="s">
        <v>165</v>
      </c>
      <c r="C116" t="s">
        <v>370</v>
      </c>
      <c r="D116" t="s">
        <v>378</v>
      </c>
      <c r="E116" t="s">
        <v>166</v>
      </c>
      <c r="F116" t="s">
        <v>442</v>
      </c>
      <c r="G116" s="11" t="e">
        <f>VLOOKUP($A116,NameCensus!$C$2:$E$140,1,FALSE)</f>
        <v>#N/A</v>
      </c>
      <c r="H116" s="11" t="e">
        <f>VLOOKUP($A116,NameCensus!$C$2:$E$140,2,FALSE)</f>
        <v>#N/A</v>
      </c>
      <c r="I116" s="11" t="e">
        <f>VLOOKUP($A116,NameCensus!$C$2:$E$140,3,FALSE)</f>
        <v>#N/A</v>
      </c>
      <c r="J116" t="s">
        <v>746</v>
      </c>
    </row>
    <row r="117" spans="1:10" hidden="1" x14ac:dyDescent="0.25">
      <c r="A117" t="str">
        <f t="shared" si="1"/>
        <v>Mongolia</v>
      </c>
      <c r="B117" s="7" t="s">
        <v>167</v>
      </c>
      <c r="C117" t="s">
        <v>370</v>
      </c>
      <c r="D117" t="s">
        <v>388</v>
      </c>
      <c r="E117" t="s">
        <v>168</v>
      </c>
      <c r="F117" t="s">
        <v>417</v>
      </c>
      <c r="G117" s="10" t="e">
        <f>VLOOKUP($A117,NameCensus!$C$2:$E$140,1,FALSE)</f>
        <v>#N/A</v>
      </c>
      <c r="H117" s="10" t="e">
        <f>VLOOKUP($A117,NameCensus!$C$2:$E$140,2,FALSE)</f>
        <v>#N/A</v>
      </c>
      <c r="I117" s="10" t="e">
        <f>VLOOKUP($A117,NameCensus!$C$2:$E$140,3,FALSE)</f>
        <v>#N/A</v>
      </c>
    </row>
    <row r="118" spans="1:10" x14ac:dyDescent="0.25">
      <c r="A118" t="str">
        <f t="shared" si="1"/>
        <v>Kazakhstan</v>
      </c>
      <c r="B118" s="7" t="s">
        <v>169</v>
      </c>
      <c r="C118" t="s">
        <v>376</v>
      </c>
      <c r="D118" t="s">
        <v>2341</v>
      </c>
      <c r="E118" t="s">
        <v>170</v>
      </c>
      <c r="F118" t="s">
        <v>395</v>
      </c>
      <c r="G118" t="str">
        <f>VLOOKUP($A118,NameCensus!$C$2:$E$140,1,FALSE)</f>
        <v>Kazakhstan</v>
      </c>
      <c r="H118">
        <f>VLOOKUP($A118,NameCensus!$C$2:$E$140,2,FALSE)</f>
        <v>1.073</v>
      </c>
      <c r="I118">
        <f>VLOOKUP($A118,NameCensus!$C$2:$E$140,3,FALSE)</f>
        <v>3.89</v>
      </c>
    </row>
    <row r="119" spans="1:10" x14ac:dyDescent="0.25">
      <c r="A119" t="str">
        <f t="shared" si="1"/>
        <v>Uzbekistan</v>
      </c>
      <c r="B119" s="7" t="s">
        <v>171</v>
      </c>
      <c r="C119" t="s">
        <v>370</v>
      </c>
      <c r="D119" t="s">
        <v>2341</v>
      </c>
      <c r="E119" t="s">
        <v>172</v>
      </c>
      <c r="F119" t="s">
        <v>395</v>
      </c>
      <c r="G119" t="str">
        <f>VLOOKUP($A119,NameCensus!$C$2:$E$140,1,FALSE)</f>
        <v>Uzbekistan</v>
      </c>
      <c r="H119">
        <f>VLOOKUP($A119,NameCensus!$C$2:$E$140,2,FALSE)</f>
        <v>488</v>
      </c>
      <c r="I119">
        <f>VLOOKUP($A119,NameCensus!$C$2:$E$140,3,FALSE)</f>
        <v>2.0880000000000001</v>
      </c>
    </row>
    <row r="120" spans="1:10" hidden="1" x14ac:dyDescent="0.25">
      <c r="A120" t="str">
        <f t="shared" si="1"/>
        <v>Tajikistan</v>
      </c>
      <c r="B120" s="7" t="s">
        <v>173</v>
      </c>
      <c r="C120" t="s">
        <v>370</v>
      </c>
      <c r="D120" t="s">
        <v>388</v>
      </c>
      <c r="E120" t="s">
        <v>174</v>
      </c>
      <c r="F120" t="s">
        <v>417</v>
      </c>
      <c r="G120" s="10" t="e">
        <f>VLOOKUP($A120,NameCensus!$C$2:$E$140,1,FALSE)</f>
        <v>#N/A</v>
      </c>
      <c r="H120" s="10" t="e">
        <f>VLOOKUP($A120,NameCensus!$C$2:$E$140,2,FALSE)</f>
        <v>#N/A</v>
      </c>
      <c r="I120" s="10" t="e">
        <f>VLOOKUP($A120,NameCensus!$C$2:$E$140,3,FALSE)</f>
        <v>#N/A</v>
      </c>
    </row>
    <row r="121" spans="1:10" hidden="1" x14ac:dyDescent="0.25">
      <c r="A121" t="str">
        <f t="shared" si="1"/>
        <v>Kyrgyzstan</v>
      </c>
      <c r="B121" s="7" t="s">
        <v>175</v>
      </c>
      <c r="C121" t="s">
        <v>370</v>
      </c>
      <c r="D121" t="s">
        <v>388</v>
      </c>
      <c r="E121" t="s">
        <v>176</v>
      </c>
      <c r="F121" t="s">
        <v>417</v>
      </c>
      <c r="G121" s="10" t="e">
        <f>VLOOKUP($A121,NameCensus!$C$2:$E$140,1,FALSE)</f>
        <v>#N/A</v>
      </c>
      <c r="H121" s="10" t="e">
        <f>VLOOKUP($A121,NameCensus!$C$2:$E$140,2,FALSE)</f>
        <v>#N/A</v>
      </c>
      <c r="I121" s="10" t="e">
        <f>VLOOKUP($A121,NameCensus!$C$2:$E$140,3,FALSE)</f>
        <v>#N/A</v>
      </c>
    </row>
    <row r="122" spans="1:10" hidden="1" x14ac:dyDescent="0.25">
      <c r="A122" t="str">
        <f t="shared" si="1"/>
        <v>Turkmenistan</v>
      </c>
      <c r="B122" s="7" t="s">
        <v>177</v>
      </c>
      <c r="C122" t="s">
        <v>370</v>
      </c>
      <c r="D122" t="s">
        <v>388</v>
      </c>
      <c r="E122" t="s">
        <v>178</v>
      </c>
      <c r="F122" t="s">
        <v>417</v>
      </c>
      <c r="G122" s="10" t="e">
        <f>VLOOKUP($A122,NameCensus!$C$2:$E$140,1,FALSE)</f>
        <v>#N/A</v>
      </c>
      <c r="H122" s="10" t="e">
        <f>VLOOKUP($A122,NameCensus!$C$2:$E$140,2,FALSE)</f>
        <v>#N/A</v>
      </c>
      <c r="I122" s="10" t="e">
        <f>VLOOKUP($A122,NameCensus!$C$2:$E$140,3,FALSE)</f>
        <v>#N/A</v>
      </c>
    </row>
    <row r="123" spans="1:10" x14ac:dyDescent="0.25">
      <c r="A123" s="19" t="str">
        <f t="shared" si="1"/>
        <v>Vietnam</v>
      </c>
      <c r="B123" s="7" t="s">
        <v>179</v>
      </c>
      <c r="C123" t="s">
        <v>370</v>
      </c>
      <c r="D123" t="s">
        <v>373</v>
      </c>
      <c r="E123" t="s">
        <v>180</v>
      </c>
      <c r="F123" t="s">
        <v>443</v>
      </c>
      <c r="G123" t="str">
        <f>VLOOKUP($A123,NameCensus!$C$2:$E$140,1,FALSE)</f>
        <v>Vietnam</v>
      </c>
      <c r="H123">
        <f>VLOOKUP($A123,NameCensus!$C$2:$E$140,2,FALSE)</f>
        <v>1.1930000000000001</v>
      </c>
      <c r="I123">
        <f>VLOOKUP($A123,NameCensus!$C$2:$E$140,3,FALSE)</f>
        <v>5.101</v>
      </c>
    </row>
    <row r="124" spans="1:10" x14ac:dyDescent="0.25">
      <c r="A124" s="19" t="str">
        <f t="shared" si="1"/>
        <v>Thailand</v>
      </c>
      <c r="B124" s="7" t="s">
        <v>181</v>
      </c>
      <c r="C124" t="s">
        <v>370</v>
      </c>
      <c r="D124" t="s">
        <v>373</v>
      </c>
      <c r="E124" t="s">
        <v>182</v>
      </c>
      <c r="F124" t="s">
        <v>444</v>
      </c>
      <c r="G124" t="str">
        <f>VLOOKUP($A124,NameCensus!$C$2:$E$140,1,FALSE)</f>
        <v>Thailand</v>
      </c>
      <c r="H124">
        <f>VLOOKUP($A124,NameCensus!$C$2:$E$140,2,FALSE)</f>
        <v>1.823</v>
      </c>
      <c r="I124">
        <f>VLOOKUP($A124,NameCensus!$C$2:$E$140,3,FALSE)</f>
        <v>8.6259999999999994</v>
      </c>
    </row>
    <row r="125" spans="1:10" hidden="1" x14ac:dyDescent="0.25">
      <c r="A125" t="str">
        <f t="shared" si="1"/>
        <v>Myanmar</v>
      </c>
      <c r="B125" s="7" t="s">
        <v>183</v>
      </c>
      <c r="C125" t="s">
        <v>376</v>
      </c>
      <c r="D125" t="s">
        <v>388</v>
      </c>
      <c r="E125" t="s">
        <v>184</v>
      </c>
      <c r="F125" t="s">
        <v>417</v>
      </c>
      <c r="G125" s="11" t="e">
        <f>VLOOKUP($A125,NameCensus!$C$2:$E$140,1,FALSE)</f>
        <v>#N/A</v>
      </c>
      <c r="H125" s="11" t="e">
        <f>VLOOKUP($A125,NameCensus!$C$2:$E$140,2,FALSE)</f>
        <v>#N/A</v>
      </c>
      <c r="I125" s="11" t="e">
        <f>VLOOKUP($A125,NameCensus!$C$2:$E$140,3,FALSE)</f>
        <v>#N/A</v>
      </c>
      <c r="J125" t="s">
        <v>747</v>
      </c>
    </row>
    <row r="126" spans="1:10" hidden="1" x14ac:dyDescent="0.25">
      <c r="A126" t="str">
        <f t="shared" si="1"/>
        <v>Cambodia</v>
      </c>
      <c r="B126" s="7" t="s">
        <v>185</v>
      </c>
      <c r="C126" t="s">
        <v>370</v>
      </c>
      <c r="D126" t="s">
        <v>388</v>
      </c>
      <c r="E126" t="s">
        <v>186</v>
      </c>
      <c r="F126" t="s">
        <v>417</v>
      </c>
      <c r="G126" s="10" t="e">
        <f>VLOOKUP($A126,NameCensus!$C$2:$E$140,1,FALSE)</f>
        <v>#N/A</v>
      </c>
      <c r="H126" s="10" t="e">
        <f>VLOOKUP($A126,NameCensus!$C$2:$E$140,2,FALSE)</f>
        <v>#N/A</v>
      </c>
      <c r="I126" s="10" t="e">
        <f>VLOOKUP($A126,NameCensus!$C$2:$E$140,3,FALSE)</f>
        <v>#N/A</v>
      </c>
    </row>
    <row r="127" spans="1:10" hidden="1" x14ac:dyDescent="0.25">
      <c r="A127" t="str">
        <f t="shared" si="1"/>
        <v>Laos</v>
      </c>
      <c r="B127" s="7" t="s">
        <v>187</v>
      </c>
      <c r="C127" t="s">
        <v>370</v>
      </c>
      <c r="D127" t="s">
        <v>388</v>
      </c>
      <c r="E127" t="s">
        <v>188</v>
      </c>
      <c r="F127" t="s">
        <v>417</v>
      </c>
      <c r="G127" s="10" t="e">
        <f>VLOOKUP($A127,NameCensus!$C$2:$E$140,1,FALSE)</f>
        <v>#N/A</v>
      </c>
      <c r="H127" s="10" t="e">
        <f>VLOOKUP($A127,NameCensus!$C$2:$E$140,2,FALSE)</f>
        <v>#N/A</v>
      </c>
      <c r="I127" s="10" t="e">
        <f>VLOOKUP($A127,NameCensus!$C$2:$E$140,3,FALSE)</f>
        <v>#N/A</v>
      </c>
    </row>
    <row r="128" spans="1:10" x14ac:dyDescent="0.25">
      <c r="A128" t="str">
        <f t="shared" si="1"/>
        <v>Malaysia</v>
      </c>
      <c r="B128" s="7" t="s">
        <v>189</v>
      </c>
      <c r="C128" t="s">
        <v>435</v>
      </c>
      <c r="D128" t="s">
        <v>2341</v>
      </c>
      <c r="E128" t="s">
        <v>190</v>
      </c>
      <c r="F128" t="s">
        <v>445</v>
      </c>
      <c r="G128" t="str">
        <f>VLOOKUP($A128,NameCensus!$C$2:$E$140,1,FALSE)</f>
        <v>Malaysia</v>
      </c>
      <c r="H128">
        <f>VLOOKUP($A128,NameCensus!$C$2:$E$140,2,FALSE)</f>
        <v>3.1869999999999998</v>
      </c>
      <c r="I128">
        <f>VLOOKUP($A128,NameCensus!$C$2:$E$140,3,FALSE)</f>
        <v>13.135999999999999</v>
      </c>
    </row>
    <row r="129" spans="1:10" x14ac:dyDescent="0.25">
      <c r="A129" s="19" t="str">
        <f t="shared" si="1"/>
        <v>Indonesia</v>
      </c>
      <c r="B129" s="7" t="s">
        <v>191</v>
      </c>
      <c r="C129" t="s">
        <v>435</v>
      </c>
      <c r="D129" t="s">
        <v>373</v>
      </c>
      <c r="E129" t="s">
        <v>192</v>
      </c>
      <c r="F129" t="s">
        <v>441</v>
      </c>
      <c r="G129" t="str">
        <f>VLOOKUP($A129,NameCensus!$C$2:$E$140,1,FALSE)</f>
        <v>Indonesia</v>
      </c>
      <c r="H129">
        <f>VLOOKUP($A129,NameCensus!$C$2:$E$140,2,FALSE)</f>
        <v>11.978999999999999</v>
      </c>
      <c r="I129">
        <f>VLOOKUP($A129,NameCensus!$C$2:$E$140,3,FALSE)</f>
        <v>29.015000000000001</v>
      </c>
    </row>
    <row r="130" spans="1:10" x14ac:dyDescent="0.25">
      <c r="A130" t="str">
        <f t="shared" si="1"/>
        <v>Philippines</v>
      </c>
      <c r="B130" s="7" t="s">
        <v>193</v>
      </c>
      <c r="C130" t="s">
        <v>408</v>
      </c>
      <c r="D130" t="s">
        <v>2341</v>
      </c>
      <c r="E130" t="s">
        <v>194</v>
      </c>
      <c r="F130" t="s">
        <v>446</v>
      </c>
      <c r="G130" t="str">
        <f>VLOOKUP($A130,NameCensus!$C$2:$E$140,1,FALSE)</f>
        <v>Philippines</v>
      </c>
      <c r="H130">
        <f>VLOOKUP($A130,NameCensus!$C$2:$E$140,2,FALSE)</f>
        <v>9.4209999999999994</v>
      </c>
      <c r="I130">
        <f>VLOOKUP($A130,NameCensus!$C$2:$E$140,3,FALSE)</f>
        <v>21.399000000000001</v>
      </c>
    </row>
    <row r="131" spans="1:10" x14ac:dyDescent="0.25">
      <c r="A131" t="str">
        <f t="shared" ref="A131:A185" si="2">TRIM(B131)</f>
        <v>Singapore</v>
      </c>
      <c r="B131" s="7" t="s">
        <v>195</v>
      </c>
      <c r="C131" t="s">
        <v>408</v>
      </c>
      <c r="D131" t="s">
        <v>378</v>
      </c>
      <c r="E131" t="s">
        <v>196</v>
      </c>
      <c r="F131" t="s">
        <v>432</v>
      </c>
      <c r="G131" t="str">
        <f>VLOOKUP($A131,NameCensus!$C$2:$E$140,1,FALSE)</f>
        <v>Singapore</v>
      </c>
      <c r="H131">
        <f>VLOOKUP($A131,NameCensus!$C$2:$E$140,2,FALSE)</f>
        <v>6.15</v>
      </c>
      <c r="I131">
        <f>VLOOKUP($A131,NameCensus!$C$2:$E$140,3,FALSE)</f>
        <v>13.263999999999999</v>
      </c>
    </row>
    <row r="132" spans="1:10" x14ac:dyDescent="0.25">
      <c r="A132" t="str">
        <f t="shared" si="2"/>
        <v>Taiwan</v>
      </c>
      <c r="B132" s="7" t="s">
        <v>197</v>
      </c>
      <c r="C132" t="s">
        <v>370</v>
      </c>
      <c r="D132" t="s">
        <v>373</v>
      </c>
      <c r="E132" t="s">
        <v>198</v>
      </c>
      <c r="F132" t="s">
        <v>447</v>
      </c>
      <c r="G132" t="str">
        <f>VLOOKUP($A132,NameCensus!$C$2:$E$140,1,FALSE)</f>
        <v>Taiwan</v>
      </c>
      <c r="H132">
        <f>VLOOKUP($A132,NameCensus!$C$2:$E$140,2,FALSE)</f>
        <v>544</v>
      </c>
      <c r="I132">
        <f>VLOOKUP($A132,NameCensus!$C$2:$E$140,3,FALSE)</f>
        <v>5.2089999999999996</v>
      </c>
    </row>
    <row r="133" spans="1:10" x14ac:dyDescent="0.25">
      <c r="A133" t="str">
        <f t="shared" si="2"/>
        <v>Hong Kong</v>
      </c>
      <c r="B133" s="7" t="s">
        <v>199</v>
      </c>
      <c r="C133" t="s">
        <v>370</v>
      </c>
      <c r="D133" t="s">
        <v>373</v>
      </c>
      <c r="E133" t="s">
        <v>200</v>
      </c>
      <c r="F133" t="s">
        <v>448</v>
      </c>
      <c r="G133" t="str">
        <f>VLOOKUP($A133,NameCensus!$C$2:$E$140,1,FALSE)</f>
        <v>Hong Kong</v>
      </c>
      <c r="H133">
        <f>VLOOKUP($A133,NameCensus!$C$2:$E$140,2,FALSE)</f>
        <v>1.1080000000000001</v>
      </c>
      <c r="I133">
        <f>VLOOKUP($A133,NameCensus!$C$2:$E$140,3,FALSE)</f>
        <v>6.5549999999999997</v>
      </c>
    </row>
    <row r="134" spans="1:10" x14ac:dyDescent="0.25">
      <c r="A134" t="str">
        <f t="shared" si="2"/>
        <v>Nigeria</v>
      </c>
      <c r="B134" s="8" t="s">
        <v>201</v>
      </c>
      <c r="C134" t="s">
        <v>435</v>
      </c>
      <c r="D134" t="s">
        <v>373</v>
      </c>
      <c r="E134" t="s">
        <v>202</v>
      </c>
      <c r="F134" t="s">
        <v>449</v>
      </c>
      <c r="G134" t="str">
        <f>VLOOKUP($A134,NameCensus!$C$2:$E$140,1,FALSE)</f>
        <v>Nigeria</v>
      </c>
      <c r="H134">
        <f>VLOOKUP($A134,NameCensus!$C$2:$E$140,2,FALSE)</f>
        <v>6.8319999999999999</v>
      </c>
      <c r="I134">
        <f>VLOOKUP($A134,NameCensus!$C$2:$E$140,3,FALSE)</f>
        <v>16.309999999999999</v>
      </c>
    </row>
    <row r="135" spans="1:10" x14ac:dyDescent="0.25">
      <c r="A135" t="str">
        <f t="shared" si="2"/>
        <v>Ghana</v>
      </c>
      <c r="B135" s="8" t="s">
        <v>203</v>
      </c>
      <c r="C135" t="s">
        <v>370</v>
      </c>
      <c r="D135" t="s">
        <v>373</v>
      </c>
      <c r="E135" t="s">
        <v>204</v>
      </c>
      <c r="F135" t="s">
        <v>2</v>
      </c>
      <c r="G135" t="str">
        <f>VLOOKUP($A135,NameCensus!$C$2:$E$140,1,FALSE)</f>
        <v>Ghana</v>
      </c>
      <c r="H135">
        <f>VLOOKUP($A135,NameCensus!$C$2:$E$140,2,FALSE)</f>
        <v>3.052</v>
      </c>
      <c r="I135">
        <f>VLOOKUP($A135,NameCensus!$C$2:$E$140,3,FALSE)</f>
        <v>8.3740000000000006</v>
      </c>
    </row>
    <row r="136" spans="1:10" x14ac:dyDescent="0.25">
      <c r="A136" t="str">
        <f t="shared" si="2"/>
        <v>Senegal</v>
      </c>
      <c r="B136" s="8" t="s">
        <v>205</v>
      </c>
      <c r="C136" t="s">
        <v>370</v>
      </c>
      <c r="D136" t="s">
        <v>373</v>
      </c>
      <c r="E136" t="s">
        <v>206</v>
      </c>
      <c r="F136" t="s">
        <v>2</v>
      </c>
      <c r="G136" t="str">
        <f>VLOOKUP($A136,NameCensus!$C$2:$E$140,1,FALSE)</f>
        <v>Senegal</v>
      </c>
      <c r="H136">
        <f>VLOOKUP($A136,NameCensus!$C$2:$E$140,2,FALSE)</f>
        <v>690</v>
      </c>
      <c r="I136">
        <f>VLOOKUP($A136,NameCensus!$C$2:$E$140,3,FALSE)</f>
        <v>3.8980000000000001</v>
      </c>
    </row>
    <row r="137" spans="1:10" x14ac:dyDescent="0.25">
      <c r="A137" t="str">
        <f t="shared" si="2"/>
        <v>Mali</v>
      </c>
      <c r="B137" s="8" t="s">
        <v>207</v>
      </c>
      <c r="C137" t="s">
        <v>370</v>
      </c>
      <c r="D137" t="s">
        <v>2341</v>
      </c>
      <c r="E137" t="s">
        <v>208</v>
      </c>
      <c r="F137" t="s">
        <v>395</v>
      </c>
      <c r="G137" t="str">
        <f>VLOOKUP($A137,NameCensus!$C$2:$E$140,1,FALSE)</f>
        <v>Mali</v>
      </c>
      <c r="H137">
        <f>VLOOKUP($A137,NameCensus!$C$2:$E$140,2,FALSE)</f>
        <v>357</v>
      </c>
      <c r="I137">
        <f>VLOOKUP($A137,NameCensus!$C$2:$E$140,3,FALSE)</f>
        <v>2.3029999999999999</v>
      </c>
    </row>
    <row r="138" spans="1:10" hidden="1" x14ac:dyDescent="0.25">
      <c r="A138" t="str">
        <f t="shared" si="2"/>
        <v>Guinea</v>
      </c>
      <c r="B138" s="8" t="s">
        <v>209</v>
      </c>
      <c r="C138" t="s">
        <v>370</v>
      </c>
      <c r="D138" t="s">
        <v>388</v>
      </c>
      <c r="E138" t="s">
        <v>210</v>
      </c>
      <c r="F138" t="s">
        <v>417</v>
      </c>
      <c r="G138" t="str">
        <f>VLOOKUP($A138,NameCensus!$C$2:$E$140,1,FALSE)</f>
        <v>Guinea</v>
      </c>
      <c r="H138">
        <f>VLOOKUP($A138,NameCensus!$C$2:$E$140,2,FALSE)</f>
        <v>348</v>
      </c>
      <c r="I138">
        <f>VLOOKUP($A138,NameCensus!$C$2:$E$140,3,FALSE)</f>
        <v>2.5619999999999998</v>
      </c>
    </row>
    <row r="139" spans="1:10" hidden="1" x14ac:dyDescent="0.25">
      <c r="A139" t="str">
        <f t="shared" si="2"/>
        <v>Guinea-Bissau</v>
      </c>
      <c r="B139" s="8" t="s">
        <v>211</v>
      </c>
      <c r="C139" t="s">
        <v>370</v>
      </c>
      <c r="D139" t="s">
        <v>388</v>
      </c>
      <c r="E139" t="s">
        <v>212</v>
      </c>
      <c r="F139" t="s">
        <v>417</v>
      </c>
      <c r="G139" s="10" t="e">
        <f>VLOOKUP($A139,NameCensus!$C$2:$E$140,1,FALSE)</f>
        <v>#N/A</v>
      </c>
      <c r="H139" s="10" t="e">
        <f>VLOOKUP($A139,NameCensus!$C$2:$E$140,2,FALSE)</f>
        <v>#N/A</v>
      </c>
      <c r="I139" s="10" t="e">
        <f>VLOOKUP($A139,NameCensus!$C$2:$E$140,3,FALSE)</f>
        <v>#N/A</v>
      </c>
    </row>
    <row r="140" spans="1:10" x14ac:dyDescent="0.25">
      <c r="A140" t="str">
        <f t="shared" si="2"/>
        <v>Ivory Coast</v>
      </c>
      <c r="B140" s="8" t="s">
        <v>213</v>
      </c>
      <c r="C140" t="s">
        <v>370</v>
      </c>
      <c r="D140" t="s">
        <v>373</v>
      </c>
      <c r="E140" t="s">
        <v>214</v>
      </c>
      <c r="F140" t="s">
        <v>2</v>
      </c>
      <c r="G140" t="str">
        <f>VLOOKUP($A140,NameCensus!$C$2:$E$140,1,FALSE)</f>
        <v>Ivory Coast</v>
      </c>
      <c r="H140">
        <f>VLOOKUP($A140,NameCensus!$C$2:$E$140,2,FALSE)</f>
        <v>1.1970000000000001</v>
      </c>
      <c r="I140">
        <f>VLOOKUP($A140,NameCensus!$C$2:$E$140,3,FALSE)</f>
        <v>4.883</v>
      </c>
    </row>
    <row r="141" spans="1:10" hidden="1" x14ac:dyDescent="0.25">
      <c r="A141" t="str">
        <f t="shared" si="2"/>
        <v>Burkina Faso</v>
      </c>
      <c r="B141" s="8" t="s">
        <v>215</v>
      </c>
      <c r="C141" t="s">
        <v>370</v>
      </c>
      <c r="D141" t="s">
        <v>388</v>
      </c>
      <c r="E141" t="s">
        <v>216</v>
      </c>
      <c r="F141" t="s">
        <v>417</v>
      </c>
      <c r="G141" t="str">
        <f>VLOOKUP($A141,NameCensus!$C$2:$E$140,1,FALSE)</f>
        <v>Burkina Faso</v>
      </c>
      <c r="H141">
        <f>VLOOKUP($A141,NameCensus!$C$2:$E$140,2,FALSE)</f>
        <v>703</v>
      </c>
      <c r="I141">
        <f>VLOOKUP($A141,NameCensus!$C$2:$E$140,3,FALSE)</f>
        <v>5.3</v>
      </c>
    </row>
    <row r="142" spans="1:10" hidden="1" x14ac:dyDescent="0.25">
      <c r="A142" t="str">
        <f t="shared" si="2"/>
        <v>Mauritania</v>
      </c>
      <c r="B142" s="8" t="s">
        <v>217</v>
      </c>
      <c r="C142" t="s">
        <v>376</v>
      </c>
      <c r="D142" t="s">
        <v>388</v>
      </c>
      <c r="E142" t="s">
        <v>218</v>
      </c>
      <c r="F142" t="s">
        <v>417</v>
      </c>
      <c r="G142" s="10" t="e">
        <f>VLOOKUP($A142,NameCensus!$C$2:$E$140,1,FALSE)</f>
        <v>#N/A</v>
      </c>
      <c r="H142" s="10" t="e">
        <f>VLOOKUP($A142,NameCensus!$C$2:$E$140,2,FALSE)</f>
        <v>#N/A</v>
      </c>
      <c r="I142" s="10" t="e">
        <f>VLOOKUP($A142,NameCensus!$C$2:$E$140,3,FALSE)</f>
        <v>#N/A</v>
      </c>
    </row>
    <row r="143" spans="1:10" hidden="1" x14ac:dyDescent="0.25">
      <c r="A143" t="str">
        <f t="shared" si="2"/>
        <v>Gambia</v>
      </c>
      <c r="B143" s="8" t="s">
        <v>219</v>
      </c>
      <c r="C143" t="s">
        <v>370</v>
      </c>
      <c r="D143" t="s">
        <v>388</v>
      </c>
      <c r="E143" t="s">
        <v>220</v>
      </c>
      <c r="F143" t="s">
        <v>417</v>
      </c>
      <c r="G143" s="7" t="e">
        <f>VLOOKUP($A143,NameCensus!$C$2:$E$140,1,FALSE)</f>
        <v>#N/A</v>
      </c>
      <c r="H143" s="7" t="e">
        <f>VLOOKUP($A143,NameCensus!$C$2:$E$140,2,FALSE)</f>
        <v>#N/A</v>
      </c>
      <c r="I143" s="7" t="e">
        <f>VLOOKUP($A143,NameCensus!$C$2:$E$140,3,FALSE)</f>
        <v>#N/A</v>
      </c>
      <c r="J143" t="s">
        <v>724</v>
      </c>
    </row>
    <row r="144" spans="1:10" hidden="1" x14ac:dyDescent="0.25">
      <c r="A144" t="str">
        <f t="shared" si="2"/>
        <v>Sierra Leone</v>
      </c>
      <c r="B144" s="8" t="s">
        <v>221</v>
      </c>
      <c r="C144" t="s">
        <v>370</v>
      </c>
      <c r="D144" t="s">
        <v>388</v>
      </c>
      <c r="E144" t="s">
        <v>222</v>
      </c>
      <c r="F144" t="s">
        <v>417</v>
      </c>
      <c r="G144" s="10" t="e">
        <f>VLOOKUP($A144,NameCensus!$C$2:$E$140,1,FALSE)</f>
        <v>#N/A</v>
      </c>
      <c r="H144" s="10" t="e">
        <f>VLOOKUP($A144,NameCensus!$C$2:$E$140,2,FALSE)</f>
        <v>#N/A</v>
      </c>
      <c r="I144" s="10" t="e">
        <f>VLOOKUP($A144,NameCensus!$C$2:$E$140,3,FALSE)</f>
        <v>#N/A</v>
      </c>
    </row>
    <row r="145" spans="1:10" hidden="1" x14ac:dyDescent="0.25">
      <c r="A145" t="str">
        <f t="shared" si="2"/>
        <v>Liberia</v>
      </c>
      <c r="B145" s="8" t="s">
        <v>223</v>
      </c>
      <c r="C145" t="s">
        <v>370</v>
      </c>
      <c r="D145" t="s">
        <v>388</v>
      </c>
      <c r="E145" t="s">
        <v>224</v>
      </c>
      <c r="F145" t="s">
        <v>417</v>
      </c>
      <c r="G145" t="str">
        <f>VLOOKUP($A145,NameCensus!$C$2:$E$140,1,FALSE)</f>
        <v>Liberia</v>
      </c>
      <c r="H145">
        <f>VLOOKUP($A145,NameCensus!$C$2:$E$140,2,FALSE)</f>
        <v>3.198</v>
      </c>
      <c r="I145">
        <f>VLOOKUP($A145,NameCensus!$C$2:$E$140,3,FALSE)</f>
        <v>9.1859999999999999</v>
      </c>
    </row>
    <row r="146" spans="1:10" hidden="1" x14ac:dyDescent="0.25">
      <c r="A146" t="str">
        <f t="shared" si="2"/>
        <v>Togo</v>
      </c>
      <c r="B146" s="8" t="s">
        <v>225</v>
      </c>
      <c r="C146" t="s">
        <v>370</v>
      </c>
      <c r="D146" t="s">
        <v>388</v>
      </c>
      <c r="E146" t="s">
        <v>226</v>
      </c>
      <c r="F146" t="s">
        <v>417</v>
      </c>
      <c r="G146" s="10" t="e">
        <f>VLOOKUP($A146,NameCensus!$C$2:$E$140,1,FALSE)</f>
        <v>#N/A</v>
      </c>
      <c r="H146" s="10" t="e">
        <f>VLOOKUP($A146,NameCensus!$C$2:$E$140,2,FALSE)</f>
        <v>#N/A</v>
      </c>
      <c r="I146" s="10" t="e">
        <f>VLOOKUP($A146,NameCensus!$C$2:$E$140,3,FALSE)</f>
        <v>#N/A</v>
      </c>
    </row>
    <row r="147" spans="1:10" hidden="1" x14ac:dyDescent="0.25">
      <c r="A147" t="str">
        <f t="shared" si="2"/>
        <v>Benin</v>
      </c>
      <c r="B147" s="8" t="s">
        <v>227</v>
      </c>
      <c r="C147" t="s">
        <v>370</v>
      </c>
      <c r="D147" t="s">
        <v>388</v>
      </c>
      <c r="E147" t="s">
        <v>228</v>
      </c>
      <c r="F147" t="s">
        <v>417</v>
      </c>
      <c r="G147" t="str">
        <f>VLOOKUP($A147,NameCensus!$C$2:$E$140,1,FALSE)</f>
        <v>Benin</v>
      </c>
      <c r="H147">
        <f>VLOOKUP($A147,NameCensus!$C$2:$E$140,2,FALSE)</f>
        <v>372</v>
      </c>
      <c r="I147">
        <f>VLOOKUP($A147,NameCensus!$C$2:$E$140,3,FALSE)</f>
        <v>3.3839999999999999</v>
      </c>
    </row>
    <row r="148" spans="1:10" x14ac:dyDescent="0.25">
      <c r="A148" t="str">
        <f t="shared" si="2"/>
        <v>Cameroon</v>
      </c>
      <c r="B148" s="8" t="s">
        <v>229</v>
      </c>
      <c r="C148" t="s">
        <v>408</v>
      </c>
      <c r="D148" t="s">
        <v>373</v>
      </c>
      <c r="E148" t="s">
        <v>230</v>
      </c>
      <c r="F148" t="s">
        <v>450</v>
      </c>
      <c r="G148" t="str">
        <f>VLOOKUP($A148,NameCensus!$C$2:$E$140,1,FALSE)</f>
        <v>Cameroon</v>
      </c>
      <c r="H148">
        <f>VLOOKUP($A148,NameCensus!$C$2:$E$140,2,FALSE)</f>
        <v>2.4780000000000002</v>
      </c>
      <c r="I148">
        <f>VLOOKUP($A148,NameCensus!$C$2:$E$140,3,FALSE)</f>
        <v>8.6080000000000005</v>
      </c>
    </row>
    <row r="149" spans="1:10" x14ac:dyDescent="0.25">
      <c r="A149" t="str">
        <f t="shared" si="2"/>
        <v>DR Congo</v>
      </c>
      <c r="B149" s="8" t="s">
        <v>231</v>
      </c>
      <c r="C149" t="s">
        <v>376</v>
      </c>
      <c r="D149" t="s">
        <v>2341</v>
      </c>
      <c r="E149" t="s">
        <v>232</v>
      </c>
      <c r="F149" t="s">
        <v>395</v>
      </c>
      <c r="G149" s="11" t="e">
        <f>VLOOKUP($A149,NameCensus!$C$2:$E$140,1,FALSE)</f>
        <v>#N/A</v>
      </c>
      <c r="H149" s="11" t="e">
        <f>VLOOKUP($A149,NameCensus!$C$2:$E$140,2,FALSE)</f>
        <v>#N/A</v>
      </c>
      <c r="I149" s="11" t="e">
        <f>VLOOKUP($A149,NameCensus!$C$2:$E$140,3,FALSE)</f>
        <v>#N/A</v>
      </c>
      <c r="J149" t="s">
        <v>748</v>
      </c>
    </row>
    <row r="150" spans="1:10" hidden="1" x14ac:dyDescent="0.25">
      <c r="A150" t="str">
        <f t="shared" si="2"/>
        <v>Congo</v>
      </c>
      <c r="B150" s="8" t="s">
        <v>233</v>
      </c>
      <c r="C150" t="s">
        <v>370</v>
      </c>
      <c r="D150" t="s">
        <v>388</v>
      </c>
      <c r="E150" t="s">
        <v>234</v>
      </c>
      <c r="F150" t="s">
        <v>417</v>
      </c>
      <c r="G150" t="str">
        <f>VLOOKUP($A150,NameCensus!$C$2:$E$140,1,FALSE)</f>
        <v>Congo</v>
      </c>
      <c r="H150">
        <f>VLOOKUP($A150,NameCensus!$C$2:$E$140,2,FALSE)</f>
        <v>746</v>
      </c>
      <c r="I150">
        <f>VLOOKUP($A150,NameCensus!$C$2:$E$140,3,FALSE)</f>
        <v>4.9619999999999997</v>
      </c>
    </row>
    <row r="151" spans="1:10" hidden="1" x14ac:dyDescent="0.25">
      <c r="A151" t="str">
        <f t="shared" si="2"/>
        <v>Central African Republic</v>
      </c>
      <c r="B151" s="8" t="s">
        <v>235</v>
      </c>
      <c r="C151" t="s">
        <v>370</v>
      </c>
      <c r="D151" t="s">
        <v>388</v>
      </c>
      <c r="E151" t="s">
        <v>236</v>
      </c>
      <c r="F151" t="s">
        <v>417</v>
      </c>
      <c r="G151" s="10" t="e">
        <f>VLOOKUP($A151,NameCensus!$C$2:$E$140,1,FALSE)</f>
        <v>#N/A</v>
      </c>
      <c r="H151" s="10" t="e">
        <f>VLOOKUP($A151,NameCensus!$C$2:$E$140,2,FALSE)</f>
        <v>#N/A</v>
      </c>
      <c r="I151" s="10" t="e">
        <f>VLOOKUP($A151,NameCensus!$C$2:$E$140,3,FALSE)</f>
        <v>#N/A</v>
      </c>
    </row>
    <row r="152" spans="1:10" hidden="1" x14ac:dyDescent="0.25">
      <c r="A152" t="str">
        <f t="shared" si="2"/>
        <v>Gabon</v>
      </c>
      <c r="B152" s="8" t="s">
        <v>237</v>
      </c>
      <c r="C152" t="s">
        <v>370</v>
      </c>
      <c r="D152" t="s">
        <v>388</v>
      </c>
      <c r="E152" t="s">
        <v>238</v>
      </c>
      <c r="F152" t="s">
        <v>417</v>
      </c>
      <c r="G152" s="10" t="e">
        <f>VLOOKUP($A152,NameCensus!$C$2:$E$140,1,FALSE)</f>
        <v>#N/A</v>
      </c>
      <c r="H152" s="10" t="e">
        <f>VLOOKUP($A152,NameCensus!$C$2:$E$140,2,FALSE)</f>
        <v>#N/A</v>
      </c>
      <c r="I152" s="10" t="e">
        <f>VLOOKUP($A152,NameCensus!$C$2:$E$140,3,FALSE)</f>
        <v>#N/A</v>
      </c>
    </row>
    <row r="153" spans="1:10" hidden="1" x14ac:dyDescent="0.25">
      <c r="A153" t="str">
        <f t="shared" si="2"/>
        <v>Equatorial Guinea</v>
      </c>
      <c r="B153" s="8" t="s">
        <v>239</v>
      </c>
      <c r="C153" t="s">
        <v>370</v>
      </c>
      <c r="D153" t="s">
        <v>388</v>
      </c>
      <c r="E153" t="s">
        <v>240</v>
      </c>
      <c r="F153" t="s">
        <v>417</v>
      </c>
      <c r="G153" s="10" t="e">
        <f>VLOOKUP($A153,NameCensus!$C$2:$E$140,1,FALSE)</f>
        <v>#N/A</v>
      </c>
      <c r="H153" s="10" t="e">
        <f>VLOOKUP($A153,NameCensus!$C$2:$E$140,2,FALSE)</f>
        <v>#N/A</v>
      </c>
      <c r="I153" s="10" t="e">
        <f>VLOOKUP($A153,NameCensus!$C$2:$E$140,3,FALSE)</f>
        <v>#N/A</v>
      </c>
    </row>
    <row r="154" spans="1:10" x14ac:dyDescent="0.25">
      <c r="A154" t="str">
        <f t="shared" si="2"/>
        <v>Angola</v>
      </c>
      <c r="B154" s="8" t="s">
        <v>241</v>
      </c>
      <c r="C154" t="s">
        <v>370</v>
      </c>
      <c r="D154" t="s">
        <v>2341</v>
      </c>
      <c r="E154" t="s">
        <v>242</v>
      </c>
      <c r="F154" t="s">
        <v>395</v>
      </c>
      <c r="G154" t="str">
        <f>VLOOKUP($A154,NameCensus!$C$2:$E$140,1,FALSE)</f>
        <v>Angola</v>
      </c>
      <c r="H154">
        <f>VLOOKUP($A154,NameCensus!$C$2:$E$140,2,FALSE)</f>
        <v>793</v>
      </c>
      <c r="I154">
        <f>VLOOKUP($A154,NameCensus!$C$2:$E$140,3,FALSE)</f>
        <v>4.9960000000000004</v>
      </c>
    </row>
    <row r="155" spans="1:10" hidden="1" x14ac:dyDescent="0.25">
      <c r="A155" t="str">
        <f t="shared" si="2"/>
        <v>Mozambique</v>
      </c>
      <c r="B155" s="8" t="s">
        <v>243</v>
      </c>
      <c r="C155" t="s">
        <v>370</v>
      </c>
      <c r="D155" t="s">
        <v>388</v>
      </c>
      <c r="E155" t="s">
        <v>244</v>
      </c>
      <c r="F155" t="s">
        <v>417</v>
      </c>
      <c r="G155" t="str">
        <f>VLOOKUP($A155,NameCensus!$C$2:$E$140,1,FALSE)</f>
        <v>Mozambique</v>
      </c>
      <c r="H155">
        <f>VLOOKUP($A155,NameCensus!$C$2:$E$140,2,FALSE)</f>
        <v>504</v>
      </c>
      <c r="I155">
        <f>VLOOKUP($A155,NameCensus!$C$2:$E$140,3,FALSE)</f>
        <v>3.1579999999999999</v>
      </c>
    </row>
    <row r="156" spans="1:10" hidden="1" x14ac:dyDescent="0.25">
      <c r="A156" t="str">
        <f t="shared" si="2"/>
        <v>Cape Verde</v>
      </c>
      <c r="B156" s="8" t="s">
        <v>245</v>
      </c>
      <c r="C156" t="s">
        <v>370</v>
      </c>
      <c r="D156" t="s">
        <v>371</v>
      </c>
      <c r="E156" t="s">
        <v>246</v>
      </c>
      <c r="F156" t="s">
        <v>426</v>
      </c>
      <c r="G156" t="str">
        <f>VLOOKUP($A156,NameCensus!$C$2:$E$140,1,FALSE)</f>
        <v>Cape Verde</v>
      </c>
      <c r="H156">
        <f>VLOOKUP($A156,NameCensus!$C$2:$E$140,2,FALSE)</f>
        <v>458</v>
      </c>
      <c r="I156">
        <f>VLOOKUP($A156,NameCensus!$C$2:$E$140,3,FALSE)</f>
        <v>3.2829999999999999</v>
      </c>
    </row>
    <row r="157" spans="1:10" hidden="1" x14ac:dyDescent="0.25">
      <c r="A157" t="str">
        <f t="shared" si="2"/>
        <v>São Tomé and Príncipe</v>
      </c>
      <c r="B157" s="8" t="s">
        <v>247</v>
      </c>
      <c r="C157" t="s">
        <v>370</v>
      </c>
      <c r="D157" t="s">
        <v>388</v>
      </c>
      <c r="E157" t="s">
        <v>248</v>
      </c>
      <c r="F157" t="s">
        <v>417</v>
      </c>
      <c r="G157" s="10" t="e">
        <f>VLOOKUP($A157,NameCensus!$C$2:$E$140,1,FALSE)</f>
        <v>#N/A</v>
      </c>
      <c r="H157" s="10" t="e">
        <f>VLOOKUP($A157,NameCensus!$C$2:$E$140,2,FALSE)</f>
        <v>#N/A</v>
      </c>
      <c r="I157" s="10" t="e">
        <f>VLOOKUP($A157,NameCensus!$C$2:$E$140,3,FALSE)</f>
        <v>#N/A</v>
      </c>
    </row>
    <row r="158" spans="1:10" x14ac:dyDescent="0.25">
      <c r="A158" t="str">
        <f t="shared" si="2"/>
        <v>South Africa</v>
      </c>
      <c r="B158" s="8" t="s">
        <v>249</v>
      </c>
      <c r="C158" t="s">
        <v>435</v>
      </c>
      <c r="D158" t="s">
        <v>373</v>
      </c>
      <c r="E158" t="s">
        <v>250</v>
      </c>
      <c r="F158" t="s">
        <v>451</v>
      </c>
      <c r="G158" s="9" t="e">
        <f>VLOOKUP($A158,NameCensus!$C$2:$E$140,1,FALSE)</f>
        <v>#N/A</v>
      </c>
      <c r="H158" s="9" t="e">
        <f>VLOOKUP($A158,NameCensus!$C$2:$E$140,2,FALSE)</f>
        <v>#N/A</v>
      </c>
      <c r="I158" s="9" t="e">
        <f>VLOOKUP($A158,NameCensus!$C$2:$E$140,3,FALSE)</f>
        <v>#N/A</v>
      </c>
    </row>
    <row r="159" spans="1:10" hidden="1" x14ac:dyDescent="0.25">
      <c r="A159" t="str">
        <f t="shared" si="2"/>
        <v>Namibia</v>
      </c>
      <c r="B159" s="8" t="s">
        <v>251</v>
      </c>
      <c r="C159" t="s">
        <v>370</v>
      </c>
      <c r="D159" t="s">
        <v>388</v>
      </c>
      <c r="E159" t="s">
        <v>252</v>
      </c>
      <c r="F159" t="s">
        <v>417</v>
      </c>
      <c r="G159" s="10" t="e">
        <f>VLOOKUP($A159,NameCensus!$C$2:$E$140,1,FALSE)</f>
        <v>#N/A</v>
      </c>
      <c r="H159" s="10" t="e">
        <f>VLOOKUP($A159,NameCensus!$C$2:$E$140,2,FALSE)</f>
        <v>#N/A</v>
      </c>
      <c r="I159" s="10" t="e">
        <f>VLOOKUP($A159,NameCensus!$C$2:$E$140,3,FALSE)</f>
        <v>#N/A</v>
      </c>
    </row>
    <row r="160" spans="1:10" hidden="1" x14ac:dyDescent="0.25">
      <c r="A160" t="str">
        <f t="shared" si="2"/>
        <v>Botswana</v>
      </c>
      <c r="B160" s="8" t="s">
        <v>253</v>
      </c>
      <c r="C160" t="s">
        <v>370</v>
      </c>
      <c r="D160" t="s">
        <v>388</v>
      </c>
      <c r="E160" t="s">
        <v>254</v>
      </c>
      <c r="F160" t="s">
        <v>417</v>
      </c>
      <c r="G160" s="10" t="e">
        <f>VLOOKUP($A160,NameCensus!$C$2:$E$140,1,FALSE)</f>
        <v>#N/A</v>
      </c>
      <c r="H160" s="10" t="e">
        <f>VLOOKUP($A160,NameCensus!$C$2:$E$140,2,FALSE)</f>
        <v>#N/A</v>
      </c>
      <c r="I160" s="10" t="e">
        <f>VLOOKUP($A160,NameCensus!$C$2:$E$140,3,FALSE)</f>
        <v>#N/A</v>
      </c>
    </row>
    <row r="161" spans="1:9" hidden="1" x14ac:dyDescent="0.25">
      <c r="A161" t="str">
        <f t="shared" si="2"/>
        <v>Zimbabwe</v>
      </c>
      <c r="B161" s="8" t="s">
        <v>255</v>
      </c>
      <c r="C161" t="s">
        <v>376</v>
      </c>
      <c r="D161" t="s">
        <v>388</v>
      </c>
      <c r="E161" t="s">
        <v>256</v>
      </c>
      <c r="F161" t="s">
        <v>452</v>
      </c>
      <c r="G161" t="str">
        <f>VLOOKUP($A161,NameCensus!$C$2:$E$140,1,FALSE)</f>
        <v>Zimbabwe</v>
      </c>
      <c r="H161">
        <f>VLOOKUP($A161,NameCensus!$C$2:$E$140,2,FALSE)</f>
        <v>914</v>
      </c>
      <c r="I161">
        <f>VLOOKUP($A161,NameCensus!$C$2:$E$140,3,FALSE)</f>
        <v>3.8279999999999998</v>
      </c>
    </row>
    <row r="162" spans="1:9" hidden="1" x14ac:dyDescent="0.25">
      <c r="A162" t="str">
        <f t="shared" si="2"/>
        <v>Zambia</v>
      </c>
      <c r="B162" s="8" t="s">
        <v>257</v>
      </c>
      <c r="C162" t="s">
        <v>370</v>
      </c>
      <c r="D162" t="s">
        <v>388</v>
      </c>
      <c r="E162" t="s">
        <v>258</v>
      </c>
      <c r="F162" t="s">
        <v>417</v>
      </c>
      <c r="G162" t="str">
        <f>VLOOKUP($A162,NameCensus!$C$2:$E$140,1,FALSE)</f>
        <v>Zambia</v>
      </c>
      <c r="H162">
        <f>VLOOKUP($A162,NameCensus!$C$2:$E$140,2,FALSE)</f>
        <v>765</v>
      </c>
      <c r="I162">
        <f>VLOOKUP($A162,NameCensus!$C$2:$E$140,3,FALSE)</f>
        <v>4.1230000000000002</v>
      </c>
    </row>
    <row r="163" spans="1:9" hidden="1" x14ac:dyDescent="0.25">
      <c r="A163" t="str">
        <f t="shared" si="2"/>
        <v>Malawi</v>
      </c>
      <c r="B163" s="8" t="s">
        <v>259</v>
      </c>
      <c r="C163" t="s">
        <v>370</v>
      </c>
      <c r="D163" t="s">
        <v>388</v>
      </c>
      <c r="E163" t="s">
        <v>260</v>
      </c>
      <c r="F163" t="s">
        <v>417</v>
      </c>
      <c r="G163" s="10" t="e">
        <f>VLOOKUP($A163,NameCensus!$C$2:$E$140,1,FALSE)</f>
        <v>#N/A</v>
      </c>
      <c r="H163" s="10" t="e">
        <f>VLOOKUP($A163,NameCensus!$C$2:$E$140,2,FALSE)</f>
        <v>#N/A</v>
      </c>
      <c r="I163" s="10" t="e">
        <f>VLOOKUP($A163,NameCensus!$C$2:$E$140,3,FALSE)</f>
        <v>#N/A</v>
      </c>
    </row>
    <row r="164" spans="1:9" x14ac:dyDescent="0.25">
      <c r="A164" t="str">
        <f t="shared" si="2"/>
        <v>Kenya</v>
      </c>
      <c r="B164" s="8" t="s">
        <v>261</v>
      </c>
      <c r="C164" t="s">
        <v>376</v>
      </c>
      <c r="D164" t="s">
        <v>373</v>
      </c>
      <c r="E164" t="s">
        <v>262</v>
      </c>
      <c r="F164" t="s">
        <v>453</v>
      </c>
      <c r="G164" t="str">
        <f>VLOOKUP($A164,NameCensus!$C$2:$E$140,1,FALSE)</f>
        <v>Kenya</v>
      </c>
      <c r="H164">
        <f>VLOOKUP($A164,NameCensus!$C$2:$E$140,2,FALSE)</f>
        <v>3.2309999999999999</v>
      </c>
      <c r="I164">
        <f>VLOOKUP($A164,NameCensus!$C$2:$E$140,3,FALSE)</f>
        <v>9.9550000000000001</v>
      </c>
    </row>
    <row r="165" spans="1:9" x14ac:dyDescent="0.25">
      <c r="A165" t="str">
        <f t="shared" si="2"/>
        <v>Tanzania</v>
      </c>
      <c r="B165" s="8" t="s">
        <v>263</v>
      </c>
      <c r="C165" t="s">
        <v>376</v>
      </c>
      <c r="D165" t="s">
        <v>2341</v>
      </c>
      <c r="E165" t="s">
        <v>264</v>
      </c>
      <c r="F165" t="s">
        <v>395</v>
      </c>
      <c r="G165" t="str">
        <f>VLOOKUP($A165,NameCensus!$C$2:$E$140,1,FALSE)</f>
        <v>Tanzania</v>
      </c>
      <c r="H165">
        <f>VLOOKUP($A165,NameCensus!$C$2:$E$140,2,FALSE)</f>
        <v>1.1870000000000001</v>
      </c>
      <c r="I165">
        <f>VLOOKUP($A165,NameCensus!$C$2:$E$140,3,FALSE)</f>
        <v>4.8719999999999999</v>
      </c>
    </row>
    <row r="166" spans="1:9" x14ac:dyDescent="0.25">
      <c r="A166" t="str">
        <f t="shared" si="2"/>
        <v>Uganda</v>
      </c>
      <c r="B166" s="8" t="s">
        <v>265</v>
      </c>
      <c r="C166" t="s">
        <v>376</v>
      </c>
      <c r="D166" t="s">
        <v>2341</v>
      </c>
      <c r="E166" t="s">
        <v>266</v>
      </c>
      <c r="F166" t="s">
        <v>395</v>
      </c>
      <c r="G166" t="str">
        <f>VLOOKUP($A166,NameCensus!$C$2:$E$140,1,FALSE)</f>
        <v>Uganda</v>
      </c>
      <c r="H166">
        <f>VLOOKUP($A166,NameCensus!$C$2:$E$140,2,FALSE)</f>
        <v>1.476</v>
      </c>
      <c r="I166">
        <f>VLOOKUP($A166,NameCensus!$C$2:$E$140,3,FALSE)</f>
        <v>5.85</v>
      </c>
    </row>
    <row r="167" spans="1:9" hidden="1" x14ac:dyDescent="0.25">
      <c r="A167" t="str">
        <f t="shared" si="2"/>
        <v>Rwanda</v>
      </c>
      <c r="B167" s="8" t="s">
        <v>267</v>
      </c>
      <c r="C167" t="s">
        <v>370</v>
      </c>
      <c r="D167" t="s">
        <v>388</v>
      </c>
      <c r="E167" t="s">
        <v>268</v>
      </c>
      <c r="F167" t="s">
        <v>417</v>
      </c>
      <c r="G167" t="str">
        <f>VLOOKUP($A167,NameCensus!$C$2:$E$140,1,FALSE)</f>
        <v>Rwanda</v>
      </c>
      <c r="H167">
        <f>VLOOKUP($A167,NameCensus!$C$2:$E$140,2,FALSE)</f>
        <v>410</v>
      </c>
      <c r="I167">
        <f>VLOOKUP($A167,NameCensus!$C$2:$E$140,3,FALSE)</f>
        <v>1.972</v>
      </c>
    </row>
    <row r="168" spans="1:9" hidden="1" x14ac:dyDescent="0.25">
      <c r="A168" t="str">
        <f t="shared" si="2"/>
        <v>Burundi</v>
      </c>
      <c r="B168" s="8" t="s">
        <v>269</v>
      </c>
      <c r="C168" t="s">
        <v>370</v>
      </c>
      <c r="D168" t="s">
        <v>388</v>
      </c>
      <c r="E168" t="s">
        <v>270</v>
      </c>
      <c r="F168" t="s">
        <v>417</v>
      </c>
      <c r="G168" s="10" t="e">
        <f>VLOOKUP($A168,NameCensus!$C$2:$E$140,1,FALSE)</f>
        <v>#N/A</v>
      </c>
      <c r="H168" s="10" t="e">
        <f>VLOOKUP($A168,NameCensus!$C$2:$E$140,2,FALSE)</f>
        <v>#N/A</v>
      </c>
      <c r="I168" s="10" t="e">
        <f>VLOOKUP($A168,NameCensus!$C$2:$E$140,3,FALSE)</f>
        <v>#N/A</v>
      </c>
    </row>
    <row r="169" spans="1:9" hidden="1" x14ac:dyDescent="0.25">
      <c r="A169" t="str">
        <f t="shared" si="2"/>
        <v>Ethiopia</v>
      </c>
      <c r="B169" s="8" t="s">
        <v>271</v>
      </c>
      <c r="C169" t="s">
        <v>408</v>
      </c>
      <c r="D169" t="s">
        <v>2340</v>
      </c>
      <c r="E169" t="s">
        <v>272</v>
      </c>
      <c r="F169" t="s">
        <v>437</v>
      </c>
      <c r="G169" t="str">
        <f>VLOOKUP($A169,NameCensus!$C$2:$E$140,1,FALSE)</f>
        <v>Ethiopia</v>
      </c>
      <c r="H169">
        <f>VLOOKUP($A169,NameCensus!$C$2:$E$140,2,FALSE)</f>
        <v>749</v>
      </c>
      <c r="I169">
        <f>VLOOKUP($A169,NameCensus!$C$2:$E$140,3,FALSE)</f>
        <v>3.9169999999999998</v>
      </c>
    </row>
    <row r="170" spans="1:9" hidden="1" x14ac:dyDescent="0.25">
      <c r="A170" t="str">
        <f t="shared" si="2"/>
        <v>Eritrea</v>
      </c>
      <c r="B170" s="8" t="s">
        <v>273</v>
      </c>
      <c r="C170" t="s">
        <v>376</v>
      </c>
      <c r="D170" t="s">
        <v>388</v>
      </c>
      <c r="E170" t="s">
        <v>274</v>
      </c>
      <c r="F170" t="s">
        <v>417</v>
      </c>
      <c r="G170" s="10" t="e">
        <f>VLOOKUP($A170,NameCensus!$C$2:$E$140,1,FALSE)</f>
        <v>#N/A</v>
      </c>
      <c r="H170" s="10" t="e">
        <f>VLOOKUP($A170,NameCensus!$C$2:$E$140,2,FALSE)</f>
        <v>#N/A</v>
      </c>
      <c r="I170" s="10" t="e">
        <f>VLOOKUP($A170,NameCensus!$C$2:$E$140,3,FALSE)</f>
        <v>#N/A</v>
      </c>
    </row>
    <row r="171" spans="1:9" hidden="1" x14ac:dyDescent="0.25">
      <c r="A171" t="str">
        <f t="shared" si="2"/>
        <v>Somalia</v>
      </c>
      <c r="B171" s="8" t="s">
        <v>275</v>
      </c>
      <c r="C171" t="s">
        <v>370</v>
      </c>
      <c r="D171" t="s">
        <v>388</v>
      </c>
      <c r="E171" t="s">
        <v>276</v>
      </c>
      <c r="F171" t="s">
        <v>417</v>
      </c>
      <c r="G171" t="str">
        <f>VLOOKUP($A171,NameCensus!$C$2:$E$140,1,FALSE)</f>
        <v>Somalia</v>
      </c>
      <c r="H171">
        <f>VLOOKUP($A171,NameCensus!$C$2:$E$140,2,FALSE)</f>
        <v>947</v>
      </c>
      <c r="I171">
        <f>VLOOKUP($A171,NameCensus!$C$2:$E$140,3,FALSE)</f>
        <v>3.16</v>
      </c>
    </row>
    <row r="172" spans="1:9" hidden="1" x14ac:dyDescent="0.25">
      <c r="A172" t="str">
        <f t="shared" si="2"/>
        <v>Djibouti</v>
      </c>
      <c r="B172" s="8" t="s">
        <v>277</v>
      </c>
      <c r="C172" t="s">
        <v>370</v>
      </c>
      <c r="D172" t="s">
        <v>388</v>
      </c>
      <c r="E172" t="s">
        <v>278</v>
      </c>
      <c r="F172" t="s">
        <v>417</v>
      </c>
      <c r="G172" s="10" t="e">
        <f>VLOOKUP($A172,NameCensus!$C$2:$E$140,1,FALSE)</f>
        <v>#N/A</v>
      </c>
      <c r="H172" s="10" t="e">
        <f>VLOOKUP($A172,NameCensus!$C$2:$E$140,2,FALSE)</f>
        <v>#N/A</v>
      </c>
      <c r="I172" s="10" t="e">
        <f>VLOOKUP($A172,NameCensus!$C$2:$E$140,3,FALSE)</f>
        <v>#N/A</v>
      </c>
    </row>
    <row r="173" spans="1:9" hidden="1" x14ac:dyDescent="0.25">
      <c r="A173" t="str">
        <f t="shared" si="2"/>
        <v>Sudan</v>
      </c>
      <c r="B173" s="8" t="s">
        <v>279</v>
      </c>
      <c r="C173" t="s">
        <v>376</v>
      </c>
      <c r="D173" t="s">
        <v>388</v>
      </c>
      <c r="E173" t="s">
        <v>280</v>
      </c>
      <c r="F173" t="s">
        <v>417</v>
      </c>
      <c r="G173" t="str">
        <f>VLOOKUP($A173,NameCensus!$C$2:$E$140,1,FALSE)</f>
        <v>Sudan</v>
      </c>
      <c r="H173">
        <f>VLOOKUP($A173,NameCensus!$C$2:$E$140,2,FALSE)</f>
        <v>720</v>
      </c>
      <c r="I173">
        <f>VLOOKUP($A173,NameCensus!$C$2:$E$140,3,FALSE)</f>
        <v>3.4420000000000002</v>
      </c>
    </row>
    <row r="174" spans="1:9" hidden="1" x14ac:dyDescent="0.25">
      <c r="A174" t="str">
        <f t="shared" si="2"/>
        <v>South Sudan</v>
      </c>
      <c r="B174" s="8" t="s">
        <v>281</v>
      </c>
      <c r="C174" t="s">
        <v>376</v>
      </c>
      <c r="D174" t="s">
        <v>388</v>
      </c>
      <c r="E174" t="s">
        <v>282</v>
      </c>
      <c r="F174" t="s">
        <v>417</v>
      </c>
      <c r="G174" s="10" t="e">
        <f>VLOOKUP($A174,NameCensus!$C$2:$E$140,1,FALSE)</f>
        <v>#N/A</v>
      </c>
      <c r="H174" s="10" t="e">
        <f>VLOOKUP($A174,NameCensus!$C$2:$E$140,2,FALSE)</f>
        <v>#N/A</v>
      </c>
      <c r="I174" s="10" t="e">
        <f>VLOOKUP($A174,NameCensus!$C$2:$E$140,3,FALSE)</f>
        <v>#N/A</v>
      </c>
    </row>
    <row r="175" spans="1:9" hidden="1" x14ac:dyDescent="0.25">
      <c r="A175" t="str">
        <f t="shared" si="2"/>
        <v>Niger</v>
      </c>
      <c r="B175" s="8" t="s">
        <v>283</v>
      </c>
      <c r="C175" t="s">
        <v>370</v>
      </c>
      <c r="D175" t="s">
        <v>388</v>
      </c>
      <c r="E175" t="s">
        <v>284</v>
      </c>
      <c r="F175" t="s">
        <v>417</v>
      </c>
      <c r="G175" s="10" t="e">
        <f>VLOOKUP($A175,NameCensus!$C$2:$E$140,1,FALSE)</f>
        <v>#N/A</v>
      </c>
      <c r="H175" s="10" t="e">
        <f>VLOOKUP($A175,NameCensus!$C$2:$E$140,2,FALSE)</f>
        <v>#N/A</v>
      </c>
      <c r="I175" s="10" t="e">
        <f>VLOOKUP($A175,NameCensus!$C$2:$E$140,3,FALSE)</f>
        <v>#N/A</v>
      </c>
    </row>
    <row r="176" spans="1:9" hidden="1" x14ac:dyDescent="0.25">
      <c r="A176" t="str">
        <f t="shared" si="2"/>
        <v>Chad</v>
      </c>
      <c r="B176" s="8" t="s">
        <v>285</v>
      </c>
      <c r="C176" t="s">
        <v>376</v>
      </c>
      <c r="D176" t="s">
        <v>388</v>
      </c>
      <c r="E176" t="s">
        <v>286</v>
      </c>
      <c r="F176" t="s">
        <v>417</v>
      </c>
      <c r="G176" s="10" t="e">
        <f>VLOOKUP($A176,NameCensus!$C$2:$E$140,1,FALSE)</f>
        <v>#N/A</v>
      </c>
      <c r="H176" s="10" t="e">
        <f>VLOOKUP($A176,NameCensus!$C$2:$E$140,2,FALSE)</f>
        <v>#N/A</v>
      </c>
      <c r="I176" s="10" t="e">
        <f>VLOOKUP($A176,NameCensus!$C$2:$E$140,3,FALSE)</f>
        <v>#N/A</v>
      </c>
    </row>
    <row r="177" spans="1:9" x14ac:dyDescent="0.25">
      <c r="A177" t="str">
        <f t="shared" si="2"/>
        <v>Australia</v>
      </c>
      <c r="B177" s="9" t="s">
        <v>353</v>
      </c>
      <c r="C177" t="s">
        <v>370</v>
      </c>
      <c r="D177" t="s">
        <v>378</v>
      </c>
      <c r="E177" t="s">
        <v>354</v>
      </c>
      <c r="F177" t="s">
        <v>454</v>
      </c>
      <c r="G177" t="str">
        <f>VLOOKUP($A177,NameCensus!$C$2:$E$140,1,FALSE)</f>
        <v>Australia</v>
      </c>
      <c r="H177">
        <f>VLOOKUP($A177,NameCensus!$C$2:$E$140,2,FALSE)</f>
        <v>16.841000000000001</v>
      </c>
      <c r="I177">
        <f>VLOOKUP($A177,NameCensus!$C$2:$E$140,3,FALSE)</f>
        <v>25.908999999999999</v>
      </c>
    </row>
    <row r="178" spans="1:9" x14ac:dyDescent="0.25">
      <c r="A178" t="str">
        <f t="shared" si="2"/>
        <v>New Zealand</v>
      </c>
      <c r="B178" s="9" t="s">
        <v>355</v>
      </c>
      <c r="C178" t="s">
        <v>376</v>
      </c>
      <c r="D178" t="s">
        <v>373</v>
      </c>
      <c r="E178" t="s">
        <v>455</v>
      </c>
      <c r="F178" t="s">
        <v>456</v>
      </c>
      <c r="G178" t="str">
        <f>VLOOKUP($A178,NameCensus!$C$2:$E$140,1,FALSE)</f>
        <v>New Zealand</v>
      </c>
      <c r="H178">
        <f>VLOOKUP($A178,NameCensus!$C$2:$E$140,2,FALSE)</f>
        <v>3.4950000000000001</v>
      </c>
      <c r="I178">
        <f>VLOOKUP($A178,NameCensus!$C$2:$E$140,3,FALSE)</f>
        <v>9.0779999999999994</v>
      </c>
    </row>
    <row r="179" spans="1:9" hidden="1" x14ac:dyDescent="0.25">
      <c r="A179" t="str">
        <f t="shared" si="2"/>
        <v>Samoa</v>
      </c>
      <c r="B179" s="9" t="s">
        <v>356</v>
      </c>
      <c r="C179" t="s">
        <v>370</v>
      </c>
      <c r="D179" t="s">
        <v>388</v>
      </c>
      <c r="E179" t="s">
        <v>357</v>
      </c>
      <c r="F179" t="s">
        <v>417</v>
      </c>
      <c r="G179" s="10" t="e">
        <f>VLOOKUP($A179,NameCensus!$C$2:$E$140,1,FALSE)</f>
        <v>#N/A</v>
      </c>
      <c r="H179" s="10" t="e">
        <f>VLOOKUP($A179,NameCensus!$C$2:$E$140,2,FALSE)</f>
        <v>#N/A</v>
      </c>
      <c r="I179" s="10" t="e">
        <f>VLOOKUP($A179,NameCensus!$C$2:$E$140,3,FALSE)</f>
        <v>#N/A</v>
      </c>
    </row>
    <row r="180" spans="1:9" hidden="1" x14ac:dyDescent="0.25">
      <c r="A180" t="str">
        <f t="shared" si="2"/>
        <v>Tonga</v>
      </c>
      <c r="B180" s="9" t="s">
        <v>358</v>
      </c>
      <c r="C180" t="s">
        <v>370</v>
      </c>
      <c r="D180" t="s">
        <v>388</v>
      </c>
      <c r="E180" t="s">
        <v>359</v>
      </c>
      <c r="F180" t="s">
        <v>417</v>
      </c>
      <c r="G180" s="10" t="e">
        <f>VLOOKUP($A180,NameCensus!$C$2:$E$140,1,FALSE)</f>
        <v>#N/A</v>
      </c>
      <c r="H180" s="10" t="e">
        <f>VLOOKUP($A180,NameCensus!$C$2:$E$140,2,FALSE)</f>
        <v>#N/A</v>
      </c>
      <c r="I180" s="10" t="e">
        <f>VLOOKUP($A180,NameCensus!$C$2:$E$140,3,FALSE)</f>
        <v>#N/A</v>
      </c>
    </row>
    <row r="181" spans="1:9" x14ac:dyDescent="0.25">
      <c r="A181" t="str">
        <f t="shared" si="2"/>
        <v>Fiji</v>
      </c>
      <c r="B181" s="9" t="s">
        <v>360</v>
      </c>
      <c r="C181" t="s">
        <v>408</v>
      </c>
      <c r="D181" t="s">
        <v>2341</v>
      </c>
      <c r="E181" t="s">
        <v>361</v>
      </c>
      <c r="F181" t="s">
        <v>425</v>
      </c>
      <c r="G181" s="10" t="e">
        <f>VLOOKUP($A181,NameCensus!$C$2:$E$140,1,FALSE)</f>
        <v>#N/A</v>
      </c>
      <c r="H181" s="10" t="e">
        <f>VLOOKUP($A181,NameCensus!$C$2:$E$140,2,FALSE)</f>
        <v>#N/A</v>
      </c>
      <c r="I181" s="10" t="e">
        <f>VLOOKUP($A181,NameCensus!$C$2:$E$140,3,FALSE)</f>
        <v>#N/A</v>
      </c>
    </row>
    <row r="182" spans="1:9" hidden="1" x14ac:dyDescent="0.25">
      <c r="A182" t="str">
        <f t="shared" si="2"/>
        <v>Papua New Guinea</v>
      </c>
      <c r="B182" s="9" t="s">
        <v>362</v>
      </c>
      <c r="C182" t="s">
        <v>370</v>
      </c>
      <c r="D182" t="s">
        <v>388</v>
      </c>
      <c r="E182" t="s">
        <v>363</v>
      </c>
      <c r="F182" t="s">
        <v>417</v>
      </c>
      <c r="G182" t="str">
        <f>VLOOKUP($A182,NameCensus!$C$2:$E$140,1,FALSE)</f>
        <v>Papua New Guinea</v>
      </c>
      <c r="H182">
        <f>VLOOKUP($A182,NameCensus!$C$2:$E$140,2,FALSE)</f>
        <v>305</v>
      </c>
      <c r="I182">
        <f>VLOOKUP($A182,NameCensus!$C$2:$E$140,3,FALSE)</f>
        <v>2.887</v>
      </c>
    </row>
    <row r="183" spans="1:9" hidden="1" x14ac:dyDescent="0.25">
      <c r="A183" t="str">
        <f t="shared" si="2"/>
        <v>Solomon Islands</v>
      </c>
      <c r="B183" s="9" t="s">
        <v>364</v>
      </c>
      <c r="C183" t="s">
        <v>370</v>
      </c>
      <c r="D183" t="s">
        <v>388</v>
      </c>
      <c r="E183" t="s">
        <v>365</v>
      </c>
      <c r="F183" t="s">
        <v>417</v>
      </c>
      <c r="G183" s="10" t="e">
        <f>VLOOKUP($A183,NameCensus!$C$2:$E$140,1,FALSE)</f>
        <v>#N/A</v>
      </c>
      <c r="H183" s="10" t="e">
        <f>VLOOKUP($A183,NameCensus!$C$2:$E$140,2,FALSE)</f>
        <v>#N/A</v>
      </c>
      <c r="I183" s="10" t="e">
        <f>VLOOKUP($A183,NameCensus!$C$2:$E$140,3,FALSE)</f>
        <v>#N/A</v>
      </c>
    </row>
    <row r="184" spans="1:9" hidden="1" x14ac:dyDescent="0.25">
      <c r="A184" t="str">
        <f t="shared" si="2"/>
        <v>Vanuatu</v>
      </c>
      <c r="B184" s="9" t="s">
        <v>366</v>
      </c>
      <c r="C184" t="s">
        <v>370</v>
      </c>
      <c r="D184" t="s">
        <v>388</v>
      </c>
      <c r="E184" t="s">
        <v>367</v>
      </c>
      <c r="F184" t="s">
        <v>417</v>
      </c>
      <c r="G184" s="10" t="e">
        <f>VLOOKUP($A184,NameCensus!$C$2:$E$140,1,FALSE)</f>
        <v>#N/A</v>
      </c>
      <c r="H184" s="10" t="e">
        <f>VLOOKUP($A184,NameCensus!$C$2:$E$140,2,FALSE)</f>
        <v>#N/A</v>
      </c>
      <c r="I184" s="10" t="e">
        <f>VLOOKUP($A184,NameCensus!$C$2:$E$140,3,FALSE)</f>
        <v>#N/A</v>
      </c>
    </row>
    <row r="185" spans="1:9" hidden="1" x14ac:dyDescent="0.25">
      <c r="A185" t="str">
        <f t="shared" si="2"/>
        <v>New Caledonia</v>
      </c>
      <c r="B185" s="9" t="s">
        <v>368</v>
      </c>
      <c r="C185" t="s">
        <v>370</v>
      </c>
      <c r="D185" t="s">
        <v>388</v>
      </c>
      <c r="E185" t="s">
        <v>369</v>
      </c>
      <c r="F185" t="s">
        <v>457</v>
      </c>
      <c r="G185" s="10" t="e">
        <f>VLOOKUP($A185,NameCensus!$C$2:$E$140,1,FALSE)</f>
        <v>#N/A</v>
      </c>
      <c r="H185" s="10" t="e">
        <f>VLOOKUP($A185,NameCensus!$C$2:$E$140,2,FALSE)</f>
        <v>#N/A</v>
      </c>
      <c r="I185" s="10" t="e">
        <f>VLOOKUP($A185,NameCensus!$C$2:$E$140,3,FALSE)</f>
        <v>#N/A</v>
      </c>
    </row>
  </sheetData>
  <autoFilter ref="A1:J185" xr:uid="{304AFBBE-6FDF-4D4B-A8E2-1D843B6DD7D0}">
    <filterColumn colId="3">
      <filters>
        <filter val="G1"/>
        <filter val="G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2F80-3E99-4036-9BFD-BE91BA01E386}">
  <dimension ref="A3:D52"/>
  <sheetViews>
    <sheetView workbookViewId="0">
      <selection activeCell="A22" sqref="A22"/>
    </sheetView>
  </sheetViews>
  <sheetFormatPr defaultRowHeight="15" x14ac:dyDescent="0.25"/>
  <cols>
    <col min="1" max="1" width="23.28515625" bestFit="1" customWidth="1"/>
    <col min="2" max="2" width="16.85546875" bestFit="1" customWidth="1"/>
    <col min="3" max="3" width="5.28515625" bestFit="1" customWidth="1"/>
    <col min="4" max="4" width="13.5703125" bestFit="1" customWidth="1"/>
  </cols>
  <sheetData>
    <row r="3" spans="1:4" x14ac:dyDescent="0.25">
      <c r="A3" s="25" t="s">
        <v>2370</v>
      </c>
      <c r="B3" s="25" t="s">
        <v>2373</v>
      </c>
    </row>
    <row r="4" spans="1:4" x14ac:dyDescent="0.25">
      <c r="A4" s="25" t="s">
        <v>2367</v>
      </c>
      <c r="B4" t="s">
        <v>2371</v>
      </c>
      <c r="C4" t="s">
        <v>2372</v>
      </c>
      <c r="D4" t="s">
        <v>2369</v>
      </c>
    </row>
    <row r="5" spans="1:4" x14ac:dyDescent="0.25">
      <c r="A5" s="26" t="s">
        <v>1591</v>
      </c>
      <c r="B5">
        <v>22</v>
      </c>
      <c r="C5">
        <v>4</v>
      </c>
      <c r="D5">
        <v>26</v>
      </c>
    </row>
    <row r="6" spans="1:4" x14ac:dyDescent="0.25">
      <c r="A6" s="26" t="s">
        <v>905</v>
      </c>
      <c r="B6">
        <v>62</v>
      </c>
      <c r="D6">
        <v>62</v>
      </c>
    </row>
    <row r="7" spans="1:4" x14ac:dyDescent="0.25">
      <c r="A7" s="26" t="s">
        <v>2126</v>
      </c>
      <c r="B7">
        <v>12</v>
      </c>
      <c r="C7">
        <v>70</v>
      </c>
      <c r="D7">
        <v>82</v>
      </c>
    </row>
    <row r="8" spans="1:4" x14ac:dyDescent="0.25">
      <c r="A8" s="26" t="s">
        <v>966</v>
      </c>
      <c r="B8">
        <v>26</v>
      </c>
      <c r="C8">
        <v>66</v>
      </c>
      <c r="D8">
        <v>92</v>
      </c>
    </row>
    <row r="9" spans="1:4" x14ac:dyDescent="0.25">
      <c r="A9" s="26" t="s">
        <v>1202</v>
      </c>
      <c r="B9">
        <v>98</v>
      </c>
      <c r="D9">
        <v>98</v>
      </c>
    </row>
    <row r="10" spans="1:4" x14ac:dyDescent="0.25">
      <c r="A10" s="26" t="s">
        <v>635</v>
      </c>
      <c r="B10">
        <v>102</v>
      </c>
      <c r="C10">
        <v>2</v>
      </c>
      <c r="D10">
        <v>104</v>
      </c>
    </row>
    <row r="11" spans="1:4" x14ac:dyDescent="0.25">
      <c r="A11" s="26" t="s">
        <v>2129</v>
      </c>
      <c r="B11">
        <v>2</v>
      </c>
      <c r="C11">
        <v>106</v>
      </c>
      <c r="D11">
        <v>108</v>
      </c>
    </row>
    <row r="12" spans="1:4" x14ac:dyDescent="0.25">
      <c r="A12" s="26" t="s">
        <v>2087</v>
      </c>
      <c r="B12">
        <v>100</v>
      </c>
      <c r="C12">
        <v>10</v>
      </c>
      <c r="D12">
        <v>110</v>
      </c>
    </row>
    <row r="13" spans="1:4" x14ac:dyDescent="0.25">
      <c r="A13" s="26" t="s">
        <v>1142</v>
      </c>
      <c r="B13">
        <v>90</v>
      </c>
      <c r="C13">
        <v>30</v>
      </c>
      <c r="D13">
        <v>120</v>
      </c>
    </row>
    <row r="14" spans="1:4" x14ac:dyDescent="0.25">
      <c r="A14" s="26" t="s">
        <v>2009</v>
      </c>
      <c r="B14">
        <v>113</v>
      </c>
      <c r="C14">
        <v>10</v>
      </c>
      <c r="D14">
        <v>123</v>
      </c>
    </row>
    <row r="15" spans="1:4" x14ac:dyDescent="0.25">
      <c r="A15" s="26" t="s">
        <v>1828</v>
      </c>
      <c r="B15">
        <v>61</v>
      </c>
      <c r="C15">
        <v>73</v>
      </c>
      <c r="D15">
        <v>134</v>
      </c>
    </row>
    <row r="16" spans="1:4" x14ac:dyDescent="0.25">
      <c r="A16" s="26" t="s">
        <v>908</v>
      </c>
      <c r="B16">
        <v>133</v>
      </c>
      <c r="C16">
        <v>6</v>
      </c>
      <c r="D16">
        <v>139</v>
      </c>
    </row>
    <row r="17" spans="1:4" x14ac:dyDescent="0.25">
      <c r="A17" s="26" t="s">
        <v>1455</v>
      </c>
      <c r="B17">
        <v>28</v>
      </c>
      <c r="C17">
        <v>122</v>
      </c>
      <c r="D17">
        <v>150</v>
      </c>
    </row>
    <row r="18" spans="1:4" x14ac:dyDescent="0.25">
      <c r="A18" s="26" t="s">
        <v>698</v>
      </c>
      <c r="B18">
        <v>115</v>
      </c>
      <c r="C18">
        <v>41</v>
      </c>
      <c r="D18">
        <v>156</v>
      </c>
    </row>
    <row r="19" spans="1:4" x14ac:dyDescent="0.25">
      <c r="A19" s="26" t="s">
        <v>970</v>
      </c>
      <c r="B19">
        <v>38</v>
      </c>
      <c r="C19">
        <v>170</v>
      </c>
      <c r="D19">
        <v>208</v>
      </c>
    </row>
    <row r="20" spans="1:4" x14ac:dyDescent="0.25">
      <c r="A20" s="26" t="s">
        <v>1565</v>
      </c>
      <c r="B20">
        <v>146</v>
      </c>
      <c r="C20">
        <v>71</v>
      </c>
      <c r="D20">
        <v>217</v>
      </c>
    </row>
    <row r="21" spans="1:4" x14ac:dyDescent="0.25">
      <c r="A21" s="26" t="s">
        <v>899</v>
      </c>
      <c r="B21">
        <v>243</v>
      </c>
      <c r="D21">
        <v>243</v>
      </c>
    </row>
    <row r="22" spans="1:4" x14ac:dyDescent="0.25">
      <c r="A22" s="26" t="s">
        <v>2002</v>
      </c>
      <c r="B22">
        <v>51</v>
      </c>
      <c r="C22">
        <v>206</v>
      </c>
      <c r="D22">
        <v>257</v>
      </c>
    </row>
    <row r="23" spans="1:4" x14ac:dyDescent="0.25">
      <c r="A23" s="26" t="s">
        <v>1225</v>
      </c>
      <c r="B23">
        <v>107</v>
      </c>
      <c r="C23">
        <v>153</v>
      </c>
      <c r="D23">
        <v>260</v>
      </c>
    </row>
    <row r="24" spans="1:4" x14ac:dyDescent="0.25">
      <c r="A24" s="26" t="s">
        <v>21</v>
      </c>
      <c r="B24">
        <v>157</v>
      </c>
      <c r="C24">
        <v>117</v>
      </c>
      <c r="D24">
        <v>274</v>
      </c>
    </row>
    <row r="25" spans="1:4" x14ac:dyDescent="0.25">
      <c r="A25" s="26" t="s">
        <v>1126</v>
      </c>
      <c r="B25">
        <v>263</v>
      </c>
      <c r="C25">
        <v>15</v>
      </c>
      <c r="D25">
        <v>278</v>
      </c>
    </row>
    <row r="26" spans="1:4" x14ac:dyDescent="0.25">
      <c r="A26" s="26" t="s">
        <v>2059</v>
      </c>
      <c r="B26">
        <v>263</v>
      </c>
      <c r="C26">
        <v>24</v>
      </c>
      <c r="D26">
        <v>287</v>
      </c>
    </row>
    <row r="27" spans="1:4" x14ac:dyDescent="0.25">
      <c r="A27" s="26" t="s">
        <v>23</v>
      </c>
      <c r="B27">
        <v>195</v>
      </c>
      <c r="C27">
        <v>96</v>
      </c>
      <c r="D27">
        <v>291</v>
      </c>
    </row>
    <row r="28" spans="1:4" x14ac:dyDescent="0.25">
      <c r="A28" s="26" t="s">
        <v>1936</v>
      </c>
      <c r="B28">
        <v>327</v>
      </c>
      <c r="D28">
        <v>327</v>
      </c>
    </row>
    <row r="29" spans="1:4" x14ac:dyDescent="0.25">
      <c r="A29" s="26" t="s">
        <v>1042</v>
      </c>
      <c r="B29">
        <v>194</v>
      </c>
      <c r="C29">
        <v>142</v>
      </c>
      <c r="D29">
        <v>336</v>
      </c>
    </row>
    <row r="30" spans="1:4" x14ac:dyDescent="0.25">
      <c r="A30" s="26" t="s">
        <v>903</v>
      </c>
      <c r="B30">
        <v>326</v>
      </c>
      <c r="C30">
        <v>15</v>
      </c>
      <c r="D30">
        <v>341</v>
      </c>
    </row>
    <row r="31" spans="1:4" x14ac:dyDescent="0.25">
      <c r="A31" s="26" t="s">
        <v>1452</v>
      </c>
      <c r="B31">
        <v>140</v>
      </c>
      <c r="C31">
        <v>201</v>
      </c>
      <c r="D31">
        <v>341</v>
      </c>
    </row>
    <row r="32" spans="1:4" x14ac:dyDescent="0.25">
      <c r="A32" s="26" t="s">
        <v>2012</v>
      </c>
      <c r="B32">
        <v>111</v>
      </c>
      <c r="C32">
        <v>254</v>
      </c>
      <c r="D32">
        <v>365</v>
      </c>
    </row>
    <row r="33" spans="1:4" x14ac:dyDescent="0.25">
      <c r="A33" s="26" t="s">
        <v>1028</v>
      </c>
      <c r="B33">
        <v>168</v>
      </c>
      <c r="C33">
        <v>206</v>
      </c>
      <c r="D33">
        <v>374</v>
      </c>
    </row>
    <row r="34" spans="1:4" x14ac:dyDescent="0.25">
      <c r="A34" s="26" t="s">
        <v>2003</v>
      </c>
      <c r="B34">
        <v>56</v>
      </c>
      <c r="C34">
        <v>340</v>
      </c>
      <c r="D34">
        <v>396</v>
      </c>
    </row>
    <row r="35" spans="1:4" x14ac:dyDescent="0.25">
      <c r="A35" s="26" t="s">
        <v>1123</v>
      </c>
      <c r="B35">
        <v>237</v>
      </c>
      <c r="C35">
        <v>165</v>
      </c>
      <c r="D35">
        <v>402</v>
      </c>
    </row>
    <row r="36" spans="1:4" x14ac:dyDescent="0.25">
      <c r="A36" s="26" t="s">
        <v>916</v>
      </c>
      <c r="B36">
        <v>53</v>
      </c>
      <c r="C36">
        <v>391</v>
      </c>
      <c r="D36">
        <v>444</v>
      </c>
    </row>
    <row r="37" spans="1:4" x14ac:dyDescent="0.25">
      <c r="A37" s="26" t="s">
        <v>1483</v>
      </c>
      <c r="B37">
        <v>92</v>
      </c>
      <c r="C37">
        <v>371</v>
      </c>
      <c r="D37">
        <v>463</v>
      </c>
    </row>
    <row r="38" spans="1:4" x14ac:dyDescent="0.25">
      <c r="A38" s="26" t="s">
        <v>617</v>
      </c>
      <c r="B38">
        <v>302</v>
      </c>
      <c r="C38">
        <v>180</v>
      </c>
      <c r="D38">
        <v>482</v>
      </c>
    </row>
    <row r="39" spans="1:4" x14ac:dyDescent="0.25">
      <c r="A39" s="26" t="s">
        <v>2374</v>
      </c>
      <c r="B39">
        <v>364</v>
      </c>
      <c r="C39">
        <v>158</v>
      </c>
      <c r="D39">
        <v>522</v>
      </c>
    </row>
    <row r="40" spans="1:4" x14ac:dyDescent="0.25">
      <c r="A40" s="26" t="s">
        <v>1129</v>
      </c>
      <c r="B40">
        <v>200</v>
      </c>
      <c r="C40">
        <v>347</v>
      </c>
      <c r="D40">
        <v>547</v>
      </c>
    </row>
    <row r="41" spans="1:4" x14ac:dyDescent="0.25">
      <c r="A41" s="26" t="s">
        <v>954</v>
      </c>
      <c r="B41">
        <v>531</v>
      </c>
      <c r="C41">
        <v>20</v>
      </c>
      <c r="D41">
        <v>551</v>
      </c>
    </row>
    <row r="42" spans="1:4" x14ac:dyDescent="0.25">
      <c r="A42" s="26" t="s">
        <v>1557</v>
      </c>
      <c r="B42">
        <v>269</v>
      </c>
      <c r="C42">
        <v>313</v>
      </c>
      <c r="D42">
        <v>582</v>
      </c>
    </row>
    <row r="43" spans="1:4" x14ac:dyDescent="0.25">
      <c r="A43" s="26" t="s">
        <v>1138</v>
      </c>
      <c r="B43">
        <v>132</v>
      </c>
      <c r="C43">
        <v>454</v>
      </c>
      <c r="D43">
        <v>586</v>
      </c>
    </row>
    <row r="44" spans="1:4" x14ac:dyDescent="0.25">
      <c r="A44" s="26" t="s">
        <v>18</v>
      </c>
      <c r="B44">
        <v>288</v>
      </c>
      <c r="C44">
        <v>340</v>
      </c>
      <c r="D44">
        <v>628</v>
      </c>
    </row>
    <row r="45" spans="1:4" x14ac:dyDescent="0.25">
      <c r="A45" s="26" t="s">
        <v>22</v>
      </c>
      <c r="B45">
        <v>512</v>
      </c>
      <c r="C45">
        <v>161</v>
      </c>
      <c r="D45">
        <v>673</v>
      </c>
    </row>
    <row r="46" spans="1:4" x14ac:dyDescent="0.25">
      <c r="A46" s="26" t="s">
        <v>1025</v>
      </c>
      <c r="B46">
        <v>601</v>
      </c>
      <c r="C46">
        <v>107</v>
      </c>
      <c r="D46">
        <v>708</v>
      </c>
    </row>
    <row r="47" spans="1:4" x14ac:dyDescent="0.25">
      <c r="A47" s="26" t="s">
        <v>923</v>
      </c>
      <c r="B47">
        <v>469</v>
      </c>
      <c r="C47">
        <v>355</v>
      </c>
      <c r="D47">
        <v>824</v>
      </c>
    </row>
    <row r="48" spans="1:4" x14ac:dyDescent="0.25">
      <c r="A48" s="26" t="s">
        <v>1033</v>
      </c>
      <c r="B48">
        <v>260</v>
      </c>
      <c r="C48">
        <v>601</v>
      </c>
      <c r="D48">
        <v>861</v>
      </c>
    </row>
    <row r="49" spans="1:4" x14ac:dyDescent="0.25">
      <c r="A49" s="26" t="s">
        <v>950</v>
      </c>
      <c r="B49">
        <v>597</v>
      </c>
      <c r="C49">
        <v>268</v>
      </c>
      <c r="D49">
        <v>865</v>
      </c>
    </row>
    <row r="50" spans="1:4" x14ac:dyDescent="0.25">
      <c r="A50" s="26" t="s">
        <v>960</v>
      </c>
      <c r="B50">
        <v>583</v>
      </c>
      <c r="C50">
        <v>837</v>
      </c>
      <c r="D50">
        <v>1420</v>
      </c>
    </row>
    <row r="51" spans="1:4" x14ac:dyDescent="0.25">
      <c r="A51" s="26" t="s">
        <v>941</v>
      </c>
      <c r="B51">
        <v>655</v>
      </c>
      <c r="C51">
        <v>880</v>
      </c>
      <c r="D51">
        <v>1535</v>
      </c>
    </row>
    <row r="52" spans="1:4" x14ac:dyDescent="0.25">
      <c r="A52" s="26" t="s">
        <v>2369</v>
      </c>
      <c r="B52">
        <v>9894</v>
      </c>
      <c r="C52">
        <v>8498</v>
      </c>
      <c r="D52">
        <v>18392</v>
      </c>
    </row>
  </sheetData>
  <autoFilter ref="A4:D53" xr:uid="{2D7E2F80-3E99-4036-9BFD-BE91BA01E3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E3AE-1D3C-4CF3-8932-6D66E168440E}">
  <sheetPr filterMode="1"/>
  <dimension ref="A3:B1406"/>
  <sheetViews>
    <sheetView workbookViewId="0">
      <selection activeCell="B13" sqref="B13"/>
    </sheetView>
  </sheetViews>
  <sheetFormatPr defaultRowHeight="15" x14ac:dyDescent="0.25"/>
  <cols>
    <col min="1" max="1" width="33.42578125" bestFit="1" customWidth="1"/>
    <col min="2" max="2" width="21.140625" bestFit="1" customWidth="1"/>
  </cols>
  <sheetData>
    <row r="3" spans="1:2" x14ac:dyDescent="0.25">
      <c r="A3" s="25" t="s">
        <v>2367</v>
      </c>
      <c r="B3" t="s">
        <v>2782</v>
      </c>
    </row>
    <row r="4" spans="1:2" x14ac:dyDescent="0.25">
      <c r="A4" s="26" t="s">
        <v>607</v>
      </c>
      <c r="B4" s="30">
        <v>10</v>
      </c>
    </row>
    <row r="5" spans="1:2" hidden="1" x14ac:dyDescent="0.25">
      <c r="A5" s="29" t="s">
        <v>23</v>
      </c>
      <c r="B5" s="30">
        <v>1</v>
      </c>
    </row>
    <row r="6" spans="1:2" hidden="1" x14ac:dyDescent="0.25">
      <c r="A6" s="29" t="s">
        <v>22</v>
      </c>
      <c r="B6" s="30">
        <v>1</v>
      </c>
    </row>
    <row r="7" spans="1:2" hidden="1" x14ac:dyDescent="0.25">
      <c r="A7" s="29" t="s">
        <v>1455</v>
      </c>
      <c r="B7" s="30">
        <v>1</v>
      </c>
    </row>
    <row r="8" spans="1:2" hidden="1" x14ac:dyDescent="0.25">
      <c r="A8" s="29" t="s">
        <v>1452</v>
      </c>
      <c r="B8" s="30">
        <v>1</v>
      </c>
    </row>
    <row r="9" spans="1:2" hidden="1" x14ac:dyDescent="0.25">
      <c r="A9" s="29" t="s">
        <v>617</v>
      </c>
      <c r="B9" s="30">
        <v>1</v>
      </c>
    </row>
    <row r="10" spans="1:2" hidden="1" x14ac:dyDescent="0.25">
      <c r="A10" s="29" t="s">
        <v>970</v>
      </c>
      <c r="B10" s="30">
        <v>1</v>
      </c>
    </row>
    <row r="11" spans="1:2" hidden="1" x14ac:dyDescent="0.25">
      <c r="A11" s="29" t="s">
        <v>966</v>
      </c>
      <c r="B11" s="30">
        <v>1</v>
      </c>
    </row>
    <row r="12" spans="1:2" hidden="1" x14ac:dyDescent="0.25">
      <c r="A12" s="29" t="s">
        <v>18</v>
      </c>
      <c r="B12" s="30">
        <v>1</v>
      </c>
    </row>
    <row r="13" spans="1:2" x14ac:dyDescent="0.25">
      <c r="A13" s="29" t="s">
        <v>21</v>
      </c>
      <c r="B13" s="30">
        <v>2</v>
      </c>
    </row>
    <row r="14" spans="1:2" x14ac:dyDescent="0.25">
      <c r="A14" s="26" t="s">
        <v>464</v>
      </c>
      <c r="B14" s="30">
        <v>7</v>
      </c>
    </row>
    <row r="15" spans="1:2" hidden="1" x14ac:dyDescent="0.25">
      <c r="A15" s="29" t="s">
        <v>941</v>
      </c>
      <c r="B15" s="30">
        <v>1</v>
      </c>
    </row>
    <row r="16" spans="1:2" hidden="1" x14ac:dyDescent="0.25">
      <c r="A16" s="29" t="s">
        <v>23</v>
      </c>
      <c r="B16" s="30">
        <v>1</v>
      </c>
    </row>
    <row r="17" spans="1:2" x14ac:dyDescent="0.25">
      <c r="A17" s="29" t="s">
        <v>923</v>
      </c>
      <c r="B17" s="30">
        <v>2</v>
      </c>
    </row>
    <row r="18" spans="1:2" hidden="1" x14ac:dyDescent="0.25">
      <c r="A18" s="29" t="s">
        <v>950</v>
      </c>
      <c r="B18" s="30">
        <v>1</v>
      </c>
    </row>
    <row r="19" spans="1:2" hidden="1" x14ac:dyDescent="0.25">
      <c r="A19" s="29" t="s">
        <v>1028</v>
      </c>
      <c r="B19" s="30">
        <v>1</v>
      </c>
    </row>
    <row r="20" spans="1:2" hidden="1" x14ac:dyDescent="0.25">
      <c r="A20" s="29" t="s">
        <v>18</v>
      </c>
      <c r="B20" s="30">
        <v>1</v>
      </c>
    </row>
    <row r="21" spans="1:2" x14ac:dyDescent="0.25">
      <c r="A21" s="26" t="s">
        <v>696</v>
      </c>
      <c r="B21" s="30">
        <v>5</v>
      </c>
    </row>
    <row r="22" spans="1:2" hidden="1" x14ac:dyDescent="0.25">
      <c r="A22" s="29" t="s">
        <v>2374</v>
      </c>
      <c r="B22" s="30">
        <v>1</v>
      </c>
    </row>
    <row r="23" spans="1:2" hidden="1" x14ac:dyDescent="0.25">
      <c r="A23" s="29" t="s">
        <v>941</v>
      </c>
      <c r="B23" s="30">
        <v>1</v>
      </c>
    </row>
    <row r="24" spans="1:2" hidden="1" x14ac:dyDescent="0.25">
      <c r="A24" s="29" t="s">
        <v>698</v>
      </c>
      <c r="B24" s="30">
        <v>1</v>
      </c>
    </row>
    <row r="25" spans="1:2" hidden="1" x14ac:dyDescent="0.25">
      <c r="A25" s="29" t="s">
        <v>1042</v>
      </c>
      <c r="B25" s="30">
        <v>1</v>
      </c>
    </row>
    <row r="26" spans="1:2" hidden="1" x14ac:dyDescent="0.25">
      <c r="A26" s="29" t="s">
        <v>18</v>
      </c>
      <c r="B26" s="30">
        <v>1</v>
      </c>
    </row>
    <row r="27" spans="1:2" x14ac:dyDescent="0.25">
      <c r="A27" s="26" t="s">
        <v>2585</v>
      </c>
      <c r="B27" s="30">
        <v>2</v>
      </c>
    </row>
    <row r="28" spans="1:2" hidden="1" x14ac:dyDescent="0.25">
      <c r="A28" s="29" t="s">
        <v>2003</v>
      </c>
      <c r="B28" s="30">
        <v>1</v>
      </c>
    </row>
    <row r="29" spans="1:2" hidden="1" x14ac:dyDescent="0.25">
      <c r="A29" s="29" t="s">
        <v>2002</v>
      </c>
      <c r="B29" s="30">
        <v>1</v>
      </c>
    </row>
    <row r="30" spans="1:2" x14ac:dyDescent="0.25">
      <c r="A30" s="26" t="s">
        <v>756</v>
      </c>
      <c r="B30" s="30">
        <v>4</v>
      </c>
    </row>
    <row r="31" spans="1:2" hidden="1" x14ac:dyDescent="0.25">
      <c r="A31" s="29" t="s">
        <v>2374</v>
      </c>
      <c r="B31" s="30">
        <v>1</v>
      </c>
    </row>
    <row r="32" spans="1:2" hidden="1" x14ac:dyDescent="0.25">
      <c r="A32" s="29" t="s">
        <v>1025</v>
      </c>
      <c r="B32" s="30">
        <v>1</v>
      </c>
    </row>
    <row r="33" spans="1:2" hidden="1" x14ac:dyDescent="0.25">
      <c r="A33" s="29" t="s">
        <v>1042</v>
      </c>
      <c r="B33" s="30">
        <v>1</v>
      </c>
    </row>
    <row r="34" spans="1:2" hidden="1" x14ac:dyDescent="0.25">
      <c r="A34" s="29" t="s">
        <v>1123</v>
      </c>
      <c r="B34" s="30">
        <v>1</v>
      </c>
    </row>
    <row r="35" spans="1:2" x14ac:dyDescent="0.25">
      <c r="A35" s="26" t="s">
        <v>680</v>
      </c>
      <c r="B35" s="30">
        <v>5</v>
      </c>
    </row>
    <row r="36" spans="1:2" x14ac:dyDescent="0.25">
      <c r="A36" s="29" t="s">
        <v>1033</v>
      </c>
      <c r="B36" s="30">
        <v>2</v>
      </c>
    </row>
    <row r="37" spans="1:2" hidden="1" x14ac:dyDescent="0.25">
      <c r="A37" s="29" t="s">
        <v>1557</v>
      </c>
      <c r="B37" s="30">
        <v>1</v>
      </c>
    </row>
    <row r="38" spans="1:2" hidden="1" x14ac:dyDescent="0.25">
      <c r="A38" s="29" t="s">
        <v>1138</v>
      </c>
      <c r="B38" s="30">
        <v>1</v>
      </c>
    </row>
    <row r="39" spans="1:2" hidden="1" x14ac:dyDescent="0.25">
      <c r="A39" s="29" t="s">
        <v>941</v>
      </c>
      <c r="B39" s="30">
        <v>1</v>
      </c>
    </row>
    <row r="40" spans="1:2" x14ac:dyDescent="0.25">
      <c r="A40" s="26" t="s">
        <v>2620</v>
      </c>
      <c r="B40" s="30">
        <v>3</v>
      </c>
    </row>
    <row r="41" spans="1:2" hidden="1" x14ac:dyDescent="0.25">
      <c r="A41" s="29" t="s">
        <v>960</v>
      </c>
      <c r="B41" s="30">
        <v>1</v>
      </c>
    </row>
    <row r="42" spans="1:2" hidden="1" x14ac:dyDescent="0.25">
      <c r="A42" s="29" t="s">
        <v>954</v>
      </c>
      <c r="B42" s="30">
        <v>1</v>
      </c>
    </row>
    <row r="43" spans="1:2" hidden="1" x14ac:dyDescent="0.25">
      <c r="A43" s="29" t="s">
        <v>1129</v>
      </c>
      <c r="B43" s="30">
        <v>1</v>
      </c>
    </row>
    <row r="44" spans="1:2" x14ac:dyDescent="0.25">
      <c r="A44" s="26" t="s">
        <v>585</v>
      </c>
      <c r="B44" s="30">
        <v>6</v>
      </c>
    </row>
    <row r="45" spans="1:2" hidden="1" x14ac:dyDescent="0.25">
      <c r="A45" s="29" t="s">
        <v>941</v>
      </c>
      <c r="B45" s="30">
        <v>1</v>
      </c>
    </row>
    <row r="46" spans="1:2" hidden="1" x14ac:dyDescent="0.25">
      <c r="A46" s="29" t="s">
        <v>1126</v>
      </c>
      <c r="B46" s="30">
        <v>1</v>
      </c>
    </row>
    <row r="47" spans="1:2" hidden="1" x14ac:dyDescent="0.25">
      <c r="A47" s="29" t="s">
        <v>1142</v>
      </c>
      <c r="B47" s="30">
        <v>1</v>
      </c>
    </row>
    <row r="48" spans="1:2" hidden="1" x14ac:dyDescent="0.25">
      <c r="A48" s="29" t="s">
        <v>1042</v>
      </c>
      <c r="B48" s="30">
        <v>1</v>
      </c>
    </row>
    <row r="49" spans="1:2" hidden="1" x14ac:dyDescent="0.25">
      <c r="A49" s="29" t="s">
        <v>1123</v>
      </c>
      <c r="B49" s="30">
        <v>1</v>
      </c>
    </row>
    <row r="50" spans="1:2" hidden="1" x14ac:dyDescent="0.25">
      <c r="A50" s="29" t="s">
        <v>1936</v>
      </c>
      <c r="B50" s="30">
        <v>1</v>
      </c>
    </row>
    <row r="51" spans="1:2" x14ac:dyDescent="0.25">
      <c r="A51" s="26" t="s">
        <v>609</v>
      </c>
      <c r="B51" s="30">
        <v>6</v>
      </c>
    </row>
    <row r="52" spans="1:2" hidden="1" x14ac:dyDescent="0.25">
      <c r="A52" s="29" t="s">
        <v>941</v>
      </c>
      <c r="B52" s="30">
        <v>1</v>
      </c>
    </row>
    <row r="53" spans="1:2" hidden="1" x14ac:dyDescent="0.25">
      <c r="A53" s="29" t="s">
        <v>23</v>
      </c>
      <c r="B53" s="30">
        <v>1</v>
      </c>
    </row>
    <row r="54" spans="1:2" hidden="1" x14ac:dyDescent="0.25">
      <c r="A54" s="29" t="s">
        <v>1225</v>
      </c>
      <c r="B54" s="30">
        <v>1</v>
      </c>
    </row>
    <row r="55" spans="1:2" hidden="1" x14ac:dyDescent="0.25">
      <c r="A55" s="29" t="s">
        <v>950</v>
      </c>
      <c r="B55" s="30">
        <v>1</v>
      </c>
    </row>
    <row r="56" spans="1:2" hidden="1" x14ac:dyDescent="0.25">
      <c r="A56" s="29" t="s">
        <v>18</v>
      </c>
      <c r="B56" s="30">
        <v>1</v>
      </c>
    </row>
    <row r="57" spans="1:2" hidden="1" x14ac:dyDescent="0.25">
      <c r="A57" s="29" t="s">
        <v>21</v>
      </c>
      <c r="B57" s="30">
        <v>1</v>
      </c>
    </row>
    <row r="58" spans="1:2" x14ac:dyDescent="0.25">
      <c r="A58" s="26" t="s">
        <v>794</v>
      </c>
      <c r="B58" s="30">
        <v>7</v>
      </c>
    </row>
    <row r="59" spans="1:2" hidden="1" x14ac:dyDescent="0.25">
      <c r="A59" s="29" t="s">
        <v>941</v>
      </c>
      <c r="B59" s="30">
        <v>1</v>
      </c>
    </row>
    <row r="60" spans="1:2" x14ac:dyDescent="0.25">
      <c r="A60" s="29" t="s">
        <v>960</v>
      </c>
      <c r="B60" s="30">
        <v>2</v>
      </c>
    </row>
    <row r="61" spans="1:2" hidden="1" x14ac:dyDescent="0.25">
      <c r="A61" s="29" t="s">
        <v>1142</v>
      </c>
      <c r="B61" s="30">
        <v>1</v>
      </c>
    </row>
    <row r="62" spans="1:2" hidden="1" x14ac:dyDescent="0.25">
      <c r="A62" s="29" t="s">
        <v>1042</v>
      </c>
      <c r="B62" s="30">
        <v>1</v>
      </c>
    </row>
    <row r="63" spans="1:2" hidden="1" x14ac:dyDescent="0.25">
      <c r="A63" s="29" t="s">
        <v>1129</v>
      </c>
      <c r="B63" s="30">
        <v>1</v>
      </c>
    </row>
    <row r="64" spans="1:2" hidden="1" x14ac:dyDescent="0.25">
      <c r="A64" s="29" t="s">
        <v>1123</v>
      </c>
      <c r="B64" s="30">
        <v>1</v>
      </c>
    </row>
    <row r="65" spans="1:2" x14ac:dyDescent="0.25">
      <c r="A65" s="26" t="s">
        <v>544</v>
      </c>
      <c r="B65" s="30">
        <v>10</v>
      </c>
    </row>
    <row r="66" spans="1:2" hidden="1" x14ac:dyDescent="0.25">
      <c r="A66" s="29" t="s">
        <v>941</v>
      </c>
      <c r="B66" s="30">
        <v>1</v>
      </c>
    </row>
    <row r="67" spans="1:2" hidden="1" x14ac:dyDescent="0.25">
      <c r="A67" s="29" t="s">
        <v>954</v>
      </c>
      <c r="B67" s="30">
        <v>1</v>
      </c>
    </row>
    <row r="68" spans="1:2" hidden="1" x14ac:dyDescent="0.25">
      <c r="A68" s="29" t="s">
        <v>903</v>
      </c>
      <c r="B68" s="30">
        <v>1</v>
      </c>
    </row>
    <row r="69" spans="1:2" hidden="1" x14ac:dyDescent="0.25">
      <c r="A69" s="29" t="s">
        <v>1565</v>
      </c>
      <c r="B69" s="30">
        <v>1</v>
      </c>
    </row>
    <row r="70" spans="1:2" hidden="1" x14ac:dyDescent="0.25">
      <c r="A70" s="29" t="s">
        <v>2003</v>
      </c>
      <c r="B70" s="30">
        <v>1</v>
      </c>
    </row>
    <row r="71" spans="1:2" hidden="1" x14ac:dyDescent="0.25">
      <c r="A71" s="29" t="s">
        <v>2009</v>
      </c>
      <c r="B71" s="30">
        <v>1</v>
      </c>
    </row>
    <row r="72" spans="1:2" hidden="1" x14ac:dyDescent="0.25">
      <c r="A72" s="29" t="s">
        <v>2002</v>
      </c>
      <c r="B72" s="30">
        <v>1</v>
      </c>
    </row>
    <row r="73" spans="1:2" hidden="1" x14ac:dyDescent="0.25">
      <c r="A73" s="29" t="s">
        <v>2059</v>
      </c>
      <c r="B73" s="30">
        <v>1</v>
      </c>
    </row>
    <row r="74" spans="1:2" hidden="1" x14ac:dyDescent="0.25">
      <c r="A74" s="29" t="s">
        <v>2012</v>
      </c>
      <c r="B74" s="30">
        <v>1</v>
      </c>
    </row>
    <row r="75" spans="1:2" hidden="1" x14ac:dyDescent="0.25">
      <c r="A75" s="29" t="s">
        <v>1202</v>
      </c>
      <c r="B75" s="30">
        <v>1</v>
      </c>
    </row>
    <row r="76" spans="1:2" x14ac:dyDescent="0.25">
      <c r="A76" s="26" t="s">
        <v>466</v>
      </c>
      <c r="B76" s="30">
        <v>6</v>
      </c>
    </row>
    <row r="77" spans="1:2" hidden="1" x14ac:dyDescent="0.25">
      <c r="A77" s="29" t="s">
        <v>941</v>
      </c>
      <c r="B77" s="30">
        <v>1</v>
      </c>
    </row>
    <row r="78" spans="1:2" hidden="1" x14ac:dyDescent="0.25">
      <c r="A78" s="29" t="s">
        <v>23</v>
      </c>
      <c r="B78" s="30">
        <v>1</v>
      </c>
    </row>
    <row r="79" spans="1:2" hidden="1" x14ac:dyDescent="0.25">
      <c r="A79" s="29" t="s">
        <v>923</v>
      </c>
      <c r="B79" s="30">
        <v>1</v>
      </c>
    </row>
    <row r="80" spans="1:2" hidden="1" x14ac:dyDescent="0.25">
      <c r="A80" s="29" t="s">
        <v>1025</v>
      </c>
      <c r="B80" s="30">
        <v>1</v>
      </c>
    </row>
    <row r="81" spans="1:2" hidden="1" x14ac:dyDescent="0.25">
      <c r="A81" s="29" t="s">
        <v>950</v>
      </c>
      <c r="B81" s="30">
        <v>1</v>
      </c>
    </row>
    <row r="82" spans="1:2" hidden="1" x14ac:dyDescent="0.25">
      <c r="A82" s="29" t="s">
        <v>18</v>
      </c>
      <c r="B82" s="30">
        <v>1</v>
      </c>
    </row>
    <row r="83" spans="1:2" x14ac:dyDescent="0.25">
      <c r="A83" s="26" t="s">
        <v>611</v>
      </c>
      <c r="B83" s="30">
        <v>6</v>
      </c>
    </row>
    <row r="84" spans="1:2" hidden="1" x14ac:dyDescent="0.25">
      <c r="A84" s="29" t="s">
        <v>941</v>
      </c>
      <c r="B84" s="30">
        <v>1</v>
      </c>
    </row>
    <row r="85" spans="1:2" hidden="1" x14ac:dyDescent="0.25">
      <c r="A85" s="29" t="s">
        <v>23</v>
      </c>
      <c r="B85" s="30">
        <v>1</v>
      </c>
    </row>
    <row r="86" spans="1:2" hidden="1" x14ac:dyDescent="0.25">
      <c r="A86" s="29" t="s">
        <v>1225</v>
      </c>
      <c r="B86" s="30">
        <v>1</v>
      </c>
    </row>
    <row r="87" spans="1:2" hidden="1" x14ac:dyDescent="0.25">
      <c r="A87" s="29" t="s">
        <v>950</v>
      </c>
      <c r="B87" s="30">
        <v>1</v>
      </c>
    </row>
    <row r="88" spans="1:2" hidden="1" x14ac:dyDescent="0.25">
      <c r="A88" s="29" t="s">
        <v>18</v>
      </c>
      <c r="B88" s="30">
        <v>1</v>
      </c>
    </row>
    <row r="89" spans="1:2" hidden="1" x14ac:dyDescent="0.25">
      <c r="A89" s="29" t="s">
        <v>21</v>
      </c>
      <c r="B89" s="30">
        <v>1</v>
      </c>
    </row>
    <row r="90" spans="1:2" x14ac:dyDescent="0.25">
      <c r="A90" s="26" t="s">
        <v>551</v>
      </c>
      <c r="B90" s="30">
        <v>3</v>
      </c>
    </row>
    <row r="91" spans="1:2" hidden="1" x14ac:dyDescent="0.25">
      <c r="A91" s="29" t="s">
        <v>960</v>
      </c>
      <c r="B91" s="30">
        <v>1</v>
      </c>
    </row>
    <row r="92" spans="1:2" hidden="1" x14ac:dyDescent="0.25">
      <c r="A92" s="29" t="s">
        <v>954</v>
      </c>
      <c r="B92" s="30">
        <v>1</v>
      </c>
    </row>
    <row r="93" spans="1:2" hidden="1" x14ac:dyDescent="0.25">
      <c r="A93" s="29" t="s">
        <v>1129</v>
      </c>
      <c r="B93" s="30">
        <v>1</v>
      </c>
    </row>
    <row r="94" spans="1:2" x14ac:dyDescent="0.25">
      <c r="A94" s="26" t="s">
        <v>615</v>
      </c>
      <c r="B94" s="30">
        <v>7</v>
      </c>
    </row>
    <row r="95" spans="1:2" hidden="1" x14ac:dyDescent="0.25">
      <c r="A95" s="29" t="s">
        <v>916</v>
      </c>
      <c r="B95" s="30">
        <v>1</v>
      </c>
    </row>
    <row r="96" spans="1:2" hidden="1" x14ac:dyDescent="0.25">
      <c r="A96" s="29" t="s">
        <v>23</v>
      </c>
      <c r="B96" s="30">
        <v>1</v>
      </c>
    </row>
    <row r="97" spans="1:2" hidden="1" x14ac:dyDescent="0.25">
      <c r="A97" s="29" t="s">
        <v>22</v>
      </c>
      <c r="B97" s="30">
        <v>1</v>
      </c>
    </row>
    <row r="98" spans="1:2" hidden="1" x14ac:dyDescent="0.25">
      <c r="A98" s="29" t="s">
        <v>698</v>
      </c>
      <c r="B98" s="30">
        <v>1</v>
      </c>
    </row>
    <row r="99" spans="1:2" hidden="1" x14ac:dyDescent="0.25">
      <c r="A99" s="29" t="s">
        <v>1565</v>
      </c>
      <c r="B99" s="30">
        <v>1</v>
      </c>
    </row>
    <row r="100" spans="1:2" hidden="1" x14ac:dyDescent="0.25">
      <c r="A100" s="29" t="s">
        <v>18</v>
      </c>
      <c r="B100" s="30">
        <v>1</v>
      </c>
    </row>
    <row r="101" spans="1:2" hidden="1" x14ac:dyDescent="0.25">
      <c r="A101" s="29" t="s">
        <v>21</v>
      </c>
      <c r="B101" s="30">
        <v>1</v>
      </c>
    </row>
    <row r="102" spans="1:2" x14ac:dyDescent="0.25">
      <c r="A102" s="26" t="s">
        <v>613</v>
      </c>
      <c r="B102" s="30">
        <v>6</v>
      </c>
    </row>
    <row r="103" spans="1:2" hidden="1" x14ac:dyDescent="0.25">
      <c r="A103" s="29" t="s">
        <v>1557</v>
      </c>
      <c r="B103" s="30">
        <v>1</v>
      </c>
    </row>
    <row r="104" spans="1:2" hidden="1" x14ac:dyDescent="0.25">
      <c r="A104" s="29" t="s">
        <v>22</v>
      </c>
      <c r="B104" s="30">
        <v>1</v>
      </c>
    </row>
    <row r="105" spans="1:2" hidden="1" x14ac:dyDescent="0.25">
      <c r="A105" s="29" t="s">
        <v>2126</v>
      </c>
      <c r="B105" s="30">
        <v>1</v>
      </c>
    </row>
    <row r="106" spans="1:2" hidden="1" x14ac:dyDescent="0.25">
      <c r="A106" s="29" t="s">
        <v>970</v>
      </c>
      <c r="B106" s="30">
        <v>1</v>
      </c>
    </row>
    <row r="107" spans="1:2" hidden="1" x14ac:dyDescent="0.25">
      <c r="A107" s="29" t="s">
        <v>1565</v>
      </c>
      <c r="B107" s="30">
        <v>1</v>
      </c>
    </row>
    <row r="108" spans="1:2" hidden="1" x14ac:dyDescent="0.25">
      <c r="A108" s="29" t="s">
        <v>2129</v>
      </c>
      <c r="B108" s="30">
        <v>1</v>
      </c>
    </row>
    <row r="109" spans="1:2" x14ac:dyDescent="0.25">
      <c r="A109" s="26" t="s">
        <v>767</v>
      </c>
      <c r="B109" s="30">
        <v>5</v>
      </c>
    </row>
    <row r="110" spans="1:2" hidden="1" x14ac:dyDescent="0.25">
      <c r="A110" s="29" t="s">
        <v>941</v>
      </c>
      <c r="B110" s="30">
        <v>1</v>
      </c>
    </row>
    <row r="111" spans="1:2" x14ac:dyDescent="0.25">
      <c r="A111" s="29" t="s">
        <v>960</v>
      </c>
      <c r="B111" s="30">
        <v>2</v>
      </c>
    </row>
    <row r="112" spans="1:2" hidden="1" x14ac:dyDescent="0.25">
      <c r="A112" s="29" t="s">
        <v>1042</v>
      </c>
      <c r="B112" s="30">
        <v>1</v>
      </c>
    </row>
    <row r="113" spans="1:2" hidden="1" x14ac:dyDescent="0.25">
      <c r="A113" s="29" t="s">
        <v>1123</v>
      </c>
      <c r="B113" s="30">
        <v>1</v>
      </c>
    </row>
    <row r="114" spans="1:2" x14ac:dyDescent="0.25">
      <c r="A114" s="26" t="s">
        <v>474</v>
      </c>
      <c r="B114" s="30">
        <v>6</v>
      </c>
    </row>
    <row r="115" spans="1:2" hidden="1" x14ac:dyDescent="0.25">
      <c r="A115" s="29" t="s">
        <v>941</v>
      </c>
      <c r="B115" s="30">
        <v>1</v>
      </c>
    </row>
    <row r="116" spans="1:2" hidden="1" x14ac:dyDescent="0.25">
      <c r="A116" s="29" t="s">
        <v>1225</v>
      </c>
      <c r="B116" s="30">
        <v>1</v>
      </c>
    </row>
    <row r="117" spans="1:2" hidden="1" x14ac:dyDescent="0.25">
      <c r="A117" s="29" t="s">
        <v>923</v>
      </c>
      <c r="B117" s="30">
        <v>1</v>
      </c>
    </row>
    <row r="118" spans="1:2" hidden="1" x14ac:dyDescent="0.25">
      <c r="A118" s="29" t="s">
        <v>1025</v>
      </c>
      <c r="B118" s="30">
        <v>1</v>
      </c>
    </row>
    <row r="119" spans="1:2" hidden="1" x14ac:dyDescent="0.25">
      <c r="A119" s="29" t="s">
        <v>950</v>
      </c>
      <c r="B119" s="30">
        <v>1</v>
      </c>
    </row>
    <row r="120" spans="1:2" hidden="1" x14ac:dyDescent="0.25">
      <c r="A120" s="29" t="s">
        <v>903</v>
      </c>
      <c r="B120" s="30">
        <v>1</v>
      </c>
    </row>
    <row r="121" spans="1:2" x14ac:dyDescent="0.25">
      <c r="A121" s="26" t="s">
        <v>470</v>
      </c>
      <c r="B121" s="30">
        <v>8</v>
      </c>
    </row>
    <row r="122" spans="1:2" hidden="1" x14ac:dyDescent="0.25">
      <c r="A122" s="29" t="s">
        <v>1033</v>
      </c>
      <c r="B122" s="30">
        <v>1</v>
      </c>
    </row>
    <row r="123" spans="1:2" hidden="1" x14ac:dyDescent="0.25">
      <c r="A123" s="29" t="s">
        <v>2374</v>
      </c>
      <c r="B123" s="30">
        <v>1</v>
      </c>
    </row>
    <row r="124" spans="1:2" hidden="1" x14ac:dyDescent="0.25">
      <c r="A124" s="29" t="s">
        <v>941</v>
      </c>
      <c r="B124" s="30">
        <v>1</v>
      </c>
    </row>
    <row r="125" spans="1:2" hidden="1" x14ac:dyDescent="0.25">
      <c r="A125" s="29" t="s">
        <v>23</v>
      </c>
      <c r="B125" s="30">
        <v>1</v>
      </c>
    </row>
    <row r="126" spans="1:2" hidden="1" x14ac:dyDescent="0.25">
      <c r="A126" s="29" t="s">
        <v>923</v>
      </c>
      <c r="B126" s="30">
        <v>1</v>
      </c>
    </row>
    <row r="127" spans="1:2" hidden="1" x14ac:dyDescent="0.25">
      <c r="A127" s="29" t="s">
        <v>1025</v>
      </c>
      <c r="B127" s="30">
        <v>1</v>
      </c>
    </row>
    <row r="128" spans="1:2" hidden="1" x14ac:dyDescent="0.25">
      <c r="A128" s="29" t="s">
        <v>950</v>
      </c>
      <c r="B128" s="30">
        <v>1</v>
      </c>
    </row>
    <row r="129" spans="1:2" hidden="1" x14ac:dyDescent="0.25">
      <c r="A129" s="29" t="s">
        <v>18</v>
      </c>
      <c r="B129" s="30">
        <v>1</v>
      </c>
    </row>
    <row r="130" spans="1:2" x14ac:dyDescent="0.25">
      <c r="A130" s="26" t="s">
        <v>553</v>
      </c>
      <c r="B130" s="30">
        <v>4</v>
      </c>
    </row>
    <row r="131" spans="1:2" hidden="1" x14ac:dyDescent="0.25">
      <c r="A131" s="29" t="s">
        <v>960</v>
      </c>
      <c r="B131" s="30">
        <v>1</v>
      </c>
    </row>
    <row r="132" spans="1:2" hidden="1" x14ac:dyDescent="0.25">
      <c r="A132" s="29" t="s">
        <v>954</v>
      </c>
      <c r="B132" s="30">
        <v>1</v>
      </c>
    </row>
    <row r="133" spans="1:2" hidden="1" x14ac:dyDescent="0.25">
      <c r="A133" s="29" t="s">
        <v>1828</v>
      </c>
      <c r="B133" s="30">
        <v>1</v>
      </c>
    </row>
    <row r="134" spans="1:2" hidden="1" x14ac:dyDescent="0.25">
      <c r="A134" s="29" t="s">
        <v>1129</v>
      </c>
      <c r="B134" s="30">
        <v>1</v>
      </c>
    </row>
    <row r="135" spans="1:2" x14ac:dyDescent="0.25">
      <c r="A135" s="26" t="s">
        <v>684</v>
      </c>
      <c r="B135" s="30">
        <v>4</v>
      </c>
    </row>
    <row r="136" spans="1:2" hidden="1" x14ac:dyDescent="0.25">
      <c r="A136" s="29" t="s">
        <v>1033</v>
      </c>
      <c r="B136" s="30">
        <v>1</v>
      </c>
    </row>
    <row r="137" spans="1:2" hidden="1" x14ac:dyDescent="0.25">
      <c r="A137" s="29" t="s">
        <v>1483</v>
      </c>
      <c r="B137" s="30">
        <v>1</v>
      </c>
    </row>
    <row r="138" spans="1:2" x14ac:dyDescent="0.25">
      <c r="A138" s="29" t="s">
        <v>941</v>
      </c>
      <c r="B138" s="30">
        <v>2</v>
      </c>
    </row>
    <row r="139" spans="1:2" x14ac:dyDescent="0.25">
      <c r="A139" s="26" t="s">
        <v>549</v>
      </c>
      <c r="B139" s="30">
        <v>4</v>
      </c>
    </row>
    <row r="140" spans="1:2" hidden="1" x14ac:dyDescent="0.25">
      <c r="A140" s="29" t="s">
        <v>960</v>
      </c>
      <c r="B140" s="30">
        <v>1</v>
      </c>
    </row>
    <row r="141" spans="1:2" hidden="1" x14ac:dyDescent="0.25">
      <c r="A141" s="29" t="s">
        <v>954</v>
      </c>
      <c r="B141" s="30">
        <v>1</v>
      </c>
    </row>
    <row r="142" spans="1:2" hidden="1" x14ac:dyDescent="0.25">
      <c r="A142" s="29" t="s">
        <v>903</v>
      </c>
      <c r="B142" s="30">
        <v>1</v>
      </c>
    </row>
    <row r="143" spans="1:2" hidden="1" x14ac:dyDescent="0.25">
      <c r="A143" s="29" t="s">
        <v>1129</v>
      </c>
      <c r="B143" s="30">
        <v>1</v>
      </c>
    </row>
    <row r="144" spans="1:2" x14ac:dyDescent="0.25">
      <c r="A144" s="26" t="s">
        <v>800</v>
      </c>
      <c r="B144" s="30">
        <v>6</v>
      </c>
    </row>
    <row r="145" spans="1:2" hidden="1" x14ac:dyDescent="0.25">
      <c r="A145" s="29" t="s">
        <v>1455</v>
      </c>
      <c r="B145" s="30">
        <v>1</v>
      </c>
    </row>
    <row r="146" spans="1:2" hidden="1" x14ac:dyDescent="0.25">
      <c r="A146" s="29" t="s">
        <v>617</v>
      </c>
      <c r="B146" s="30">
        <v>1</v>
      </c>
    </row>
    <row r="147" spans="1:2" hidden="1" x14ac:dyDescent="0.25">
      <c r="A147" s="29" t="s">
        <v>2126</v>
      </c>
      <c r="B147" s="30">
        <v>1</v>
      </c>
    </row>
    <row r="148" spans="1:2" x14ac:dyDescent="0.25">
      <c r="A148" s="29" t="s">
        <v>970</v>
      </c>
      <c r="B148" s="30">
        <v>2</v>
      </c>
    </row>
    <row r="149" spans="1:2" hidden="1" x14ac:dyDescent="0.25">
      <c r="A149" s="29" t="s">
        <v>1565</v>
      </c>
      <c r="B149" s="30">
        <v>1</v>
      </c>
    </row>
    <row r="150" spans="1:2" x14ac:dyDescent="0.25">
      <c r="A150" s="26" t="s">
        <v>587</v>
      </c>
      <c r="B150" s="30">
        <v>8</v>
      </c>
    </row>
    <row r="151" spans="1:2" hidden="1" x14ac:dyDescent="0.25">
      <c r="A151" s="29" t="s">
        <v>960</v>
      </c>
      <c r="B151" s="30">
        <v>1</v>
      </c>
    </row>
    <row r="152" spans="1:2" x14ac:dyDescent="0.25">
      <c r="A152" s="29" t="s">
        <v>1126</v>
      </c>
      <c r="B152" s="30">
        <v>2</v>
      </c>
    </row>
    <row r="153" spans="1:2" hidden="1" x14ac:dyDescent="0.25">
      <c r="A153" s="29" t="s">
        <v>1142</v>
      </c>
      <c r="B153" s="30">
        <v>1</v>
      </c>
    </row>
    <row r="154" spans="1:2" hidden="1" x14ac:dyDescent="0.25">
      <c r="A154" s="29" t="s">
        <v>1042</v>
      </c>
      <c r="B154" s="30">
        <v>1</v>
      </c>
    </row>
    <row r="155" spans="1:2" hidden="1" x14ac:dyDescent="0.25">
      <c r="A155" s="29" t="s">
        <v>1828</v>
      </c>
      <c r="B155" s="30">
        <v>1</v>
      </c>
    </row>
    <row r="156" spans="1:2" hidden="1" x14ac:dyDescent="0.25">
      <c r="A156" s="29" t="s">
        <v>1123</v>
      </c>
      <c r="B156" s="30">
        <v>1</v>
      </c>
    </row>
    <row r="157" spans="1:2" hidden="1" x14ac:dyDescent="0.25">
      <c r="A157" s="29" t="s">
        <v>1936</v>
      </c>
      <c r="B157" s="30">
        <v>1</v>
      </c>
    </row>
    <row r="158" spans="1:2" x14ac:dyDescent="0.25">
      <c r="A158" s="26" t="s">
        <v>468</v>
      </c>
      <c r="B158" s="30">
        <v>7</v>
      </c>
    </row>
    <row r="159" spans="1:2" hidden="1" x14ac:dyDescent="0.25">
      <c r="A159" s="29" t="s">
        <v>941</v>
      </c>
      <c r="B159" s="30">
        <v>1</v>
      </c>
    </row>
    <row r="160" spans="1:2" hidden="1" x14ac:dyDescent="0.25">
      <c r="A160" s="29" t="s">
        <v>23</v>
      </c>
      <c r="B160" s="30">
        <v>1</v>
      </c>
    </row>
    <row r="161" spans="1:2" x14ac:dyDescent="0.25">
      <c r="A161" s="29" t="s">
        <v>923</v>
      </c>
      <c r="B161" s="30">
        <v>2</v>
      </c>
    </row>
    <row r="162" spans="1:2" hidden="1" x14ac:dyDescent="0.25">
      <c r="A162" s="29" t="s">
        <v>950</v>
      </c>
      <c r="B162" s="30">
        <v>1</v>
      </c>
    </row>
    <row r="163" spans="1:2" hidden="1" x14ac:dyDescent="0.25">
      <c r="A163" s="29" t="s">
        <v>1028</v>
      </c>
      <c r="B163" s="30">
        <v>1</v>
      </c>
    </row>
    <row r="164" spans="1:2" hidden="1" x14ac:dyDescent="0.25">
      <c r="A164" s="29" t="s">
        <v>18</v>
      </c>
      <c r="B164" s="30">
        <v>1</v>
      </c>
    </row>
    <row r="165" spans="1:2" x14ac:dyDescent="0.25">
      <c r="A165" s="26" t="s">
        <v>853</v>
      </c>
      <c r="B165" s="30">
        <v>4</v>
      </c>
    </row>
    <row r="166" spans="1:2" hidden="1" x14ac:dyDescent="0.25">
      <c r="A166" s="29" t="s">
        <v>1033</v>
      </c>
      <c r="B166" s="30">
        <v>1</v>
      </c>
    </row>
    <row r="167" spans="1:2" hidden="1" x14ac:dyDescent="0.25">
      <c r="A167" s="29" t="s">
        <v>1557</v>
      </c>
      <c r="B167" s="30">
        <v>1</v>
      </c>
    </row>
    <row r="168" spans="1:2" x14ac:dyDescent="0.25">
      <c r="A168" s="29" t="s">
        <v>1138</v>
      </c>
      <c r="B168" s="30">
        <v>2</v>
      </c>
    </row>
    <row r="169" spans="1:2" x14ac:dyDescent="0.25">
      <c r="A169" s="26" t="s">
        <v>589</v>
      </c>
      <c r="B169" s="30">
        <v>9</v>
      </c>
    </row>
    <row r="170" spans="1:2" hidden="1" x14ac:dyDescent="0.25">
      <c r="A170" s="29" t="s">
        <v>941</v>
      </c>
      <c r="B170" s="30">
        <v>1</v>
      </c>
    </row>
    <row r="171" spans="1:2" hidden="1" x14ac:dyDescent="0.25">
      <c r="A171" s="29" t="s">
        <v>1591</v>
      </c>
      <c r="B171" s="30">
        <v>1</v>
      </c>
    </row>
    <row r="172" spans="1:2" hidden="1" x14ac:dyDescent="0.25">
      <c r="A172" s="29" t="s">
        <v>960</v>
      </c>
      <c r="B172" s="30">
        <v>1</v>
      </c>
    </row>
    <row r="173" spans="1:2" hidden="1" x14ac:dyDescent="0.25">
      <c r="A173" s="29" t="s">
        <v>1126</v>
      </c>
      <c r="B173" s="30">
        <v>1</v>
      </c>
    </row>
    <row r="174" spans="1:2" hidden="1" x14ac:dyDescent="0.25">
      <c r="A174" s="29" t="s">
        <v>1142</v>
      </c>
      <c r="B174" s="30">
        <v>1</v>
      </c>
    </row>
    <row r="175" spans="1:2" hidden="1" x14ac:dyDescent="0.25">
      <c r="A175" s="29" t="s">
        <v>1042</v>
      </c>
      <c r="B175" s="30">
        <v>1</v>
      </c>
    </row>
    <row r="176" spans="1:2" hidden="1" x14ac:dyDescent="0.25">
      <c r="A176" s="29" t="s">
        <v>1129</v>
      </c>
      <c r="B176" s="30">
        <v>1</v>
      </c>
    </row>
    <row r="177" spans="1:2" hidden="1" x14ac:dyDescent="0.25">
      <c r="A177" s="29" t="s">
        <v>1123</v>
      </c>
      <c r="B177" s="30">
        <v>1</v>
      </c>
    </row>
    <row r="178" spans="1:2" hidden="1" x14ac:dyDescent="0.25">
      <c r="A178" s="29" t="s">
        <v>1936</v>
      </c>
      <c r="B178" s="30">
        <v>1</v>
      </c>
    </row>
    <row r="179" spans="1:2" x14ac:dyDescent="0.25">
      <c r="A179" s="26" t="s">
        <v>2586</v>
      </c>
      <c r="B179" s="30">
        <v>4</v>
      </c>
    </row>
    <row r="180" spans="1:2" hidden="1" x14ac:dyDescent="0.25">
      <c r="A180" s="29" t="s">
        <v>960</v>
      </c>
      <c r="B180" s="30">
        <v>1</v>
      </c>
    </row>
    <row r="181" spans="1:2" hidden="1" x14ac:dyDescent="0.25">
      <c r="A181" s="29" t="s">
        <v>954</v>
      </c>
      <c r="B181" s="30">
        <v>1</v>
      </c>
    </row>
    <row r="182" spans="1:2" hidden="1" x14ac:dyDescent="0.25">
      <c r="A182" s="29" t="s">
        <v>1042</v>
      </c>
      <c r="B182" s="30">
        <v>1</v>
      </c>
    </row>
    <row r="183" spans="1:2" hidden="1" x14ac:dyDescent="0.25">
      <c r="A183" s="29" t="s">
        <v>1129</v>
      </c>
      <c r="B183" s="30">
        <v>1</v>
      </c>
    </row>
    <row r="184" spans="1:2" x14ac:dyDescent="0.25">
      <c r="A184" s="26" t="s">
        <v>2626</v>
      </c>
      <c r="B184" s="30">
        <v>3</v>
      </c>
    </row>
    <row r="185" spans="1:2" hidden="1" x14ac:dyDescent="0.25">
      <c r="A185" s="29" t="s">
        <v>22</v>
      </c>
      <c r="B185" s="30">
        <v>1</v>
      </c>
    </row>
    <row r="186" spans="1:2" hidden="1" x14ac:dyDescent="0.25">
      <c r="A186" s="29" t="s">
        <v>617</v>
      </c>
      <c r="B186" s="30">
        <v>1</v>
      </c>
    </row>
    <row r="187" spans="1:2" hidden="1" x14ac:dyDescent="0.25">
      <c r="A187" s="29" t="s">
        <v>2059</v>
      </c>
      <c r="B187" s="30">
        <v>1</v>
      </c>
    </row>
    <row r="188" spans="1:2" x14ac:dyDescent="0.25">
      <c r="A188" s="26" t="s">
        <v>472</v>
      </c>
      <c r="B188" s="30">
        <v>8</v>
      </c>
    </row>
    <row r="189" spans="1:2" hidden="1" x14ac:dyDescent="0.25">
      <c r="A189" s="29" t="s">
        <v>941</v>
      </c>
      <c r="B189" s="30">
        <v>1</v>
      </c>
    </row>
    <row r="190" spans="1:2" hidden="1" x14ac:dyDescent="0.25">
      <c r="A190" s="29" t="s">
        <v>23</v>
      </c>
      <c r="B190" s="30">
        <v>1</v>
      </c>
    </row>
    <row r="191" spans="1:2" hidden="1" x14ac:dyDescent="0.25">
      <c r="A191" s="29" t="s">
        <v>1225</v>
      </c>
      <c r="B191" s="30">
        <v>1</v>
      </c>
    </row>
    <row r="192" spans="1:2" x14ac:dyDescent="0.25">
      <c r="A192" s="29" t="s">
        <v>923</v>
      </c>
      <c r="B192" s="30">
        <v>2</v>
      </c>
    </row>
    <row r="193" spans="1:2" hidden="1" x14ac:dyDescent="0.25">
      <c r="A193" s="29" t="s">
        <v>1025</v>
      </c>
      <c r="B193" s="30">
        <v>1</v>
      </c>
    </row>
    <row r="194" spans="1:2" hidden="1" x14ac:dyDescent="0.25">
      <c r="A194" s="29" t="s">
        <v>950</v>
      </c>
      <c r="B194" s="30">
        <v>1</v>
      </c>
    </row>
    <row r="195" spans="1:2" hidden="1" x14ac:dyDescent="0.25">
      <c r="A195" s="29" t="s">
        <v>18</v>
      </c>
      <c r="B195" s="30">
        <v>1</v>
      </c>
    </row>
    <row r="196" spans="1:2" x14ac:dyDescent="0.25">
      <c r="A196" s="26" t="s">
        <v>682</v>
      </c>
      <c r="B196" s="30">
        <v>5</v>
      </c>
    </row>
    <row r="197" spans="1:2" hidden="1" x14ac:dyDescent="0.25">
      <c r="A197" s="29" t="s">
        <v>1033</v>
      </c>
      <c r="B197" s="30">
        <v>1</v>
      </c>
    </row>
    <row r="198" spans="1:2" hidden="1" x14ac:dyDescent="0.25">
      <c r="A198" s="29" t="s">
        <v>2374</v>
      </c>
      <c r="B198" s="30">
        <v>1</v>
      </c>
    </row>
    <row r="199" spans="1:2" hidden="1" x14ac:dyDescent="0.25">
      <c r="A199" s="29" t="s">
        <v>1483</v>
      </c>
      <c r="B199" s="30">
        <v>1</v>
      </c>
    </row>
    <row r="200" spans="1:2" x14ac:dyDescent="0.25">
      <c r="A200" s="29" t="s">
        <v>941</v>
      </c>
      <c r="B200" s="30">
        <v>2</v>
      </c>
    </row>
    <row r="201" spans="1:2" x14ac:dyDescent="0.25">
      <c r="A201" s="26" t="s">
        <v>859</v>
      </c>
      <c r="B201" s="30">
        <v>6</v>
      </c>
    </row>
    <row r="202" spans="1:2" x14ac:dyDescent="0.25">
      <c r="A202" s="29" t="s">
        <v>1033</v>
      </c>
      <c r="B202" s="30">
        <v>2</v>
      </c>
    </row>
    <row r="203" spans="1:2" hidden="1" x14ac:dyDescent="0.25">
      <c r="A203" s="29" t="s">
        <v>1557</v>
      </c>
      <c r="B203" s="30">
        <v>1</v>
      </c>
    </row>
    <row r="204" spans="1:2" hidden="1" x14ac:dyDescent="0.25">
      <c r="A204" s="29" t="s">
        <v>916</v>
      </c>
      <c r="B204" s="30">
        <v>1</v>
      </c>
    </row>
    <row r="205" spans="1:2" hidden="1" x14ac:dyDescent="0.25">
      <c r="A205" s="29" t="s">
        <v>1138</v>
      </c>
      <c r="B205" s="30">
        <v>1</v>
      </c>
    </row>
    <row r="206" spans="1:2" hidden="1" x14ac:dyDescent="0.25">
      <c r="A206" s="29" t="s">
        <v>941</v>
      </c>
      <c r="B206" s="30">
        <v>1</v>
      </c>
    </row>
    <row r="207" spans="1:2" x14ac:dyDescent="0.25">
      <c r="A207" s="26" t="s">
        <v>819</v>
      </c>
      <c r="B207" s="30">
        <v>5</v>
      </c>
    </row>
    <row r="208" spans="1:2" hidden="1" x14ac:dyDescent="0.25">
      <c r="A208" s="29" t="s">
        <v>617</v>
      </c>
      <c r="B208" s="30">
        <v>1</v>
      </c>
    </row>
    <row r="209" spans="1:2" hidden="1" x14ac:dyDescent="0.25">
      <c r="A209" s="29" t="s">
        <v>1565</v>
      </c>
      <c r="B209" s="30">
        <v>1</v>
      </c>
    </row>
    <row r="210" spans="1:2" hidden="1" x14ac:dyDescent="0.25">
      <c r="A210" s="29" t="s">
        <v>2087</v>
      </c>
      <c r="B210" s="30">
        <v>1</v>
      </c>
    </row>
    <row r="211" spans="1:2" hidden="1" x14ac:dyDescent="0.25">
      <c r="A211" s="29" t="s">
        <v>2059</v>
      </c>
      <c r="B211" s="30">
        <v>1</v>
      </c>
    </row>
    <row r="212" spans="1:2" hidden="1" x14ac:dyDescent="0.25">
      <c r="A212" s="29" t="s">
        <v>2012</v>
      </c>
      <c r="B212" s="30">
        <v>1</v>
      </c>
    </row>
    <row r="213" spans="1:2" x14ac:dyDescent="0.25">
      <c r="A213" s="26" t="s">
        <v>692</v>
      </c>
      <c r="B213" s="30">
        <v>6</v>
      </c>
    </row>
    <row r="214" spans="1:2" x14ac:dyDescent="0.25">
      <c r="A214" s="29" t="s">
        <v>1033</v>
      </c>
      <c r="B214" s="30">
        <v>2</v>
      </c>
    </row>
    <row r="215" spans="1:2" hidden="1" x14ac:dyDescent="0.25">
      <c r="A215" s="29" t="s">
        <v>1557</v>
      </c>
      <c r="B215" s="30">
        <v>1</v>
      </c>
    </row>
    <row r="216" spans="1:2" hidden="1" x14ac:dyDescent="0.25">
      <c r="A216" s="29" t="s">
        <v>1483</v>
      </c>
      <c r="B216" s="30">
        <v>1</v>
      </c>
    </row>
    <row r="217" spans="1:2" hidden="1" x14ac:dyDescent="0.25">
      <c r="A217" s="29" t="s">
        <v>1138</v>
      </c>
      <c r="B217" s="30">
        <v>1</v>
      </c>
    </row>
    <row r="218" spans="1:2" hidden="1" x14ac:dyDescent="0.25">
      <c r="A218" s="29" t="s">
        <v>941</v>
      </c>
      <c r="B218" s="30">
        <v>1</v>
      </c>
    </row>
    <row r="219" spans="1:2" x14ac:dyDescent="0.25">
      <c r="A219" s="26" t="s">
        <v>555</v>
      </c>
      <c r="B219" s="30">
        <v>15</v>
      </c>
    </row>
    <row r="220" spans="1:2" hidden="1" x14ac:dyDescent="0.25">
      <c r="A220" s="29" t="s">
        <v>1557</v>
      </c>
      <c r="B220" s="30">
        <v>1</v>
      </c>
    </row>
    <row r="221" spans="1:2" hidden="1" x14ac:dyDescent="0.25">
      <c r="A221" s="29" t="s">
        <v>941</v>
      </c>
      <c r="B221" s="30">
        <v>1</v>
      </c>
    </row>
    <row r="222" spans="1:2" hidden="1" x14ac:dyDescent="0.25">
      <c r="A222" s="29" t="s">
        <v>960</v>
      </c>
      <c r="B222" s="30">
        <v>1</v>
      </c>
    </row>
    <row r="223" spans="1:2" hidden="1" x14ac:dyDescent="0.25">
      <c r="A223" s="29" t="s">
        <v>954</v>
      </c>
      <c r="B223" s="30">
        <v>1</v>
      </c>
    </row>
    <row r="224" spans="1:2" hidden="1" x14ac:dyDescent="0.25">
      <c r="A224" s="29" t="s">
        <v>617</v>
      </c>
      <c r="B224" s="30">
        <v>1</v>
      </c>
    </row>
    <row r="225" spans="1:2" x14ac:dyDescent="0.25">
      <c r="A225" s="29" t="s">
        <v>1025</v>
      </c>
      <c r="B225" s="30">
        <v>2</v>
      </c>
    </row>
    <row r="226" spans="1:2" hidden="1" x14ac:dyDescent="0.25">
      <c r="A226" s="29" t="s">
        <v>903</v>
      </c>
      <c r="B226" s="30">
        <v>1</v>
      </c>
    </row>
    <row r="227" spans="1:2" hidden="1" x14ac:dyDescent="0.25">
      <c r="A227" s="29" t="s">
        <v>1565</v>
      </c>
      <c r="B227" s="30">
        <v>1</v>
      </c>
    </row>
    <row r="228" spans="1:2" hidden="1" x14ac:dyDescent="0.25">
      <c r="A228" s="29" t="s">
        <v>18</v>
      </c>
      <c r="B228" s="30">
        <v>1</v>
      </c>
    </row>
    <row r="229" spans="1:2" hidden="1" x14ac:dyDescent="0.25">
      <c r="A229" s="29" t="s">
        <v>1129</v>
      </c>
      <c r="B229" s="30">
        <v>1</v>
      </c>
    </row>
    <row r="230" spans="1:2" hidden="1" x14ac:dyDescent="0.25">
      <c r="A230" s="29" t="s">
        <v>2009</v>
      </c>
      <c r="B230" s="30">
        <v>1</v>
      </c>
    </row>
    <row r="231" spans="1:2" hidden="1" x14ac:dyDescent="0.25">
      <c r="A231" s="29" t="s">
        <v>905</v>
      </c>
      <c r="B231" s="30">
        <v>1</v>
      </c>
    </row>
    <row r="232" spans="1:2" hidden="1" x14ac:dyDescent="0.25">
      <c r="A232" s="29" t="s">
        <v>899</v>
      </c>
      <c r="B232" s="30">
        <v>1</v>
      </c>
    </row>
    <row r="233" spans="1:2" hidden="1" x14ac:dyDescent="0.25">
      <c r="A233" s="29" t="s">
        <v>1123</v>
      </c>
      <c r="B233" s="30">
        <v>1</v>
      </c>
    </row>
    <row r="234" spans="1:2" x14ac:dyDescent="0.25">
      <c r="A234" s="26" t="s">
        <v>694</v>
      </c>
      <c r="B234" s="30">
        <v>5</v>
      </c>
    </row>
    <row r="235" spans="1:2" hidden="1" x14ac:dyDescent="0.25">
      <c r="A235" s="29" t="s">
        <v>1033</v>
      </c>
      <c r="B235" s="30">
        <v>1</v>
      </c>
    </row>
    <row r="236" spans="1:2" hidden="1" x14ac:dyDescent="0.25">
      <c r="A236" s="29" t="s">
        <v>2374</v>
      </c>
      <c r="B236" s="30">
        <v>1</v>
      </c>
    </row>
    <row r="237" spans="1:2" x14ac:dyDescent="0.25">
      <c r="A237" s="29" t="s">
        <v>941</v>
      </c>
      <c r="B237" s="30">
        <v>2</v>
      </c>
    </row>
    <row r="238" spans="1:2" hidden="1" x14ac:dyDescent="0.25">
      <c r="A238" s="29" t="s">
        <v>960</v>
      </c>
      <c r="B238" s="30">
        <v>1</v>
      </c>
    </row>
    <row r="239" spans="1:2" x14ac:dyDescent="0.25">
      <c r="A239" s="26" t="s">
        <v>2588</v>
      </c>
      <c r="B239" s="30">
        <v>4</v>
      </c>
    </row>
    <row r="240" spans="1:2" hidden="1" x14ac:dyDescent="0.25">
      <c r="A240" s="29" t="s">
        <v>960</v>
      </c>
      <c r="B240" s="30">
        <v>1</v>
      </c>
    </row>
    <row r="241" spans="1:2" hidden="1" x14ac:dyDescent="0.25">
      <c r="A241" s="29" t="s">
        <v>954</v>
      </c>
      <c r="B241" s="30">
        <v>1</v>
      </c>
    </row>
    <row r="242" spans="1:2" hidden="1" x14ac:dyDescent="0.25">
      <c r="A242" s="29" t="s">
        <v>903</v>
      </c>
      <c r="B242" s="30">
        <v>1</v>
      </c>
    </row>
    <row r="243" spans="1:2" hidden="1" x14ac:dyDescent="0.25">
      <c r="A243" s="29" t="s">
        <v>1129</v>
      </c>
      <c r="B243" s="30">
        <v>1</v>
      </c>
    </row>
    <row r="244" spans="1:2" x14ac:dyDescent="0.25">
      <c r="A244" s="26" t="s">
        <v>838</v>
      </c>
      <c r="B244" s="30">
        <v>6</v>
      </c>
    </row>
    <row r="245" spans="1:2" x14ac:dyDescent="0.25">
      <c r="A245" s="29" t="s">
        <v>1033</v>
      </c>
      <c r="B245" s="30">
        <v>2</v>
      </c>
    </row>
    <row r="246" spans="1:2" hidden="1" x14ac:dyDescent="0.25">
      <c r="A246" s="29" t="s">
        <v>1557</v>
      </c>
      <c r="B246" s="30">
        <v>1</v>
      </c>
    </row>
    <row r="247" spans="1:2" hidden="1" x14ac:dyDescent="0.25">
      <c r="A247" s="29" t="s">
        <v>1483</v>
      </c>
      <c r="B247" s="30">
        <v>1</v>
      </c>
    </row>
    <row r="248" spans="1:2" hidden="1" x14ac:dyDescent="0.25">
      <c r="A248" s="29" t="s">
        <v>1138</v>
      </c>
      <c r="B248" s="30">
        <v>1</v>
      </c>
    </row>
    <row r="249" spans="1:2" hidden="1" x14ac:dyDescent="0.25">
      <c r="A249" s="29" t="s">
        <v>941</v>
      </c>
      <c r="B249" s="30">
        <v>1</v>
      </c>
    </row>
    <row r="250" spans="1:2" x14ac:dyDescent="0.25">
      <c r="A250" s="26" t="s">
        <v>874</v>
      </c>
      <c r="B250" s="30">
        <v>6</v>
      </c>
    </row>
    <row r="251" spans="1:2" hidden="1" x14ac:dyDescent="0.25">
      <c r="A251" s="29" t="s">
        <v>1033</v>
      </c>
      <c r="B251" s="30">
        <v>1</v>
      </c>
    </row>
    <row r="252" spans="1:2" hidden="1" x14ac:dyDescent="0.25">
      <c r="A252" s="29" t="s">
        <v>1557</v>
      </c>
      <c r="B252" s="30">
        <v>1</v>
      </c>
    </row>
    <row r="253" spans="1:2" hidden="1" x14ac:dyDescent="0.25">
      <c r="A253" s="29" t="s">
        <v>916</v>
      </c>
      <c r="B253" s="30">
        <v>1</v>
      </c>
    </row>
    <row r="254" spans="1:2" hidden="1" x14ac:dyDescent="0.25">
      <c r="A254" s="29" t="s">
        <v>2374</v>
      </c>
      <c r="B254" s="30">
        <v>1</v>
      </c>
    </row>
    <row r="255" spans="1:2" hidden="1" x14ac:dyDescent="0.25">
      <c r="A255" s="29" t="s">
        <v>1483</v>
      </c>
      <c r="B255" s="30">
        <v>1</v>
      </c>
    </row>
    <row r="256" spans="1:2" hidden="1" x14ac:dyDescent="0.25">
      <c r="A256" s="29" t="s">
        <v>941</v>
      </c>
      <c r="B256" s="30">
        <v>1</v>
      </c>
    </row>
    <row r="257" spans="1:2" x14ac:dyDescent="0.25">
      <c r="A257" s="26" t="s">
        <v>591</v>
      </c>
      <c r="B257" s="30">
        <v>6</v>
      </c>
    </row>
    <row r="258" spans="1:2" hidden="1" x14ac:dyDescent="0.25">
      <c r="A258" s="29" t="s">
        <v>941</v>
      </c>
      <c r="B258" s="30">
        <v>1</v>
      </c>
    </row>
    <row r="259" spans="1:2" hidden="1" x14ac:dyDescent="0.25">
      <c r="A259" s="29" t="s">
        <v>1126</v>
      </c>
      <c r="B259" s="30">
        <v>1</v>
      </c>
    </row>
    <row r="260" spans="1:2" hidden="1" x14ac:dyDescent="0.25">
      <c r="A260" s="29" t="s">
        <v>1042</v>
      </c>
      <c r="B260" s="30">
        <v>1</v>
      </c>
    </row>
    <row r="261" spans="1:2" hidden="1" x14ac:dyDescent="0.25">
      <c r="A261" s="29" t="s">
        <v>1828</v>
      </c>
      <c r="B261" s="30">
        <v>1</v>
      </c>
    </row>
    <row r="262" spans="1:2" hidden="1" x14ac:dyDescent="0.25">
      <c r="A262" s="29" t="s">
        <v>1123</v>
      </c>
      <c r="B262" s="30">
        <v>1</v>
      </c>
    </row>
    <row r="263" spans="1:2" hidden="1" x14ac:dyDescent="0.25">
      <c r="A263" s="29" t="s">
        <v>1936</v>
      </c>
      <c r="B263" s="30">
        <v>1</v>
      </c>
    </row>
    <row r="264" spans="1:2" x14ac:dyDescent="0.25">
      <c r="A264" s="26" t="s">
        <v>617</v>
      </c>
      <c r="B264" s="30">
        <v>9</v>
      </c>
    </row>
    <row r="265" spans="1:2" hidden="1" x14ac:dyDescent="0.25">
      <c r="A265" s="29" t="s">
        <v>1452</v>
      </c>
      <c r="B265" s="30">
        <v>1</v>
      </c>
    </row>
    <row r="266" spans="1:2" hidden="1" x14ac:dyDescent="0.25">
      <c r="A266" s="29" t="s">
        <v>617</v>
      </c>
      <c r="B266" s="30">
        <v>1</v>
      </c>
    </row>
    <row r="267" spans="1:2" hidden="1" x14ac:dyDescent="0.25">
      <c r="A267" s="29" t="s">
        <v>970</v>
      </c>
      <c r="B267" s="30">
        <v>1</v>
      </c>
    </row>
    <row r="268" spans="1:2" hidden="1" x14ac:dyDescent="0.25">
      <c r="A268" s="29" t="s">
        <v>635</v>
      </c>
      <c r="B268" s="30">
        <v>1</v>
      </c>
    </row>
    <row r="269" spans="1:2" hidden="1" x14ac:dyDescent="0.25">
      <c r="A269" s="29" t="s">
        <v>2087</v>
      </c>
      <c r="B269" s="30">
        <v>1</v>
      </c>
    </row>
    <row r="270" spans="1:2" hidden="1" x14ac:dyDescent="0.25">
      <c r="A270" s="29" t="s">
        <v>2009</v>
      </c>
      <c r="B270" s="30">
        <v>1</v>
      </c>
    </row>
    <row r="271" spans="1:2" hidden="1" x14ac:dyDescent="0.25">
      <c r="A271" s="29" t="s">
        <v>2059</v>
      </c>
      <c r="B271" s="30">
        <v>1</v>
      </c>
    </row>
    <row r="272" spans="1:2" hidden="1" x14ac:dyDescent="0.25">
      <c r="A272" s="29" t="s">
        <v>2012</v>
      </c>
      <c r="B272" s="30">
        <v>1</v>
      </c>
    </row>
    <row r="273" spans="1:2" hidden="1" x14ac:dyDescent="0.25">
      <c r="A273" s="29" t="s">
        <v>1202</v>
      </c>
      <c r="B273" s="30">
        <v>1</v>
      </c>
    </row>
    <row r="274" spans="1:2" x14ac:dyDescent="0.25">
      <c r="A274" s="26" t="s">
        <v>593</v>
      </c>
      <c r="B274" s="30">
        <v>7</v>
      </c>
    </row>
    <row r="275" spans="1:2" hidden="1" x14ac:dyDescent="0.25">
      <c r="A275" s="29" t="s">
        <v>941</v>
      </c>
      <c r="B275" s="30">
        <v>1</v>
      </c>
    </row>
    <row r="276" spans="1:2" hidden="1" x14ac:dyDescent="0.25">
      <c r="A276" s="29" t="s">
        <v>960</v>
      </c>
      <c r="B276" s="30">
        <v>1</v>
      </c>
    </row>
    <row r="277" spans="1:2" hidden="1" x14ac:dyDescent="0.25">
      <c r="A277" s="29" t="s">
        <v>1126</v>
      </c>
      <c r="B277" s="30">
        <v>1</v>
      </c>
    </row>
    <row r="278" spans="1:2" hidden="1" x14ac:dyDescent="0.25">
      <c r="A278" s="29" t="s">
        <v>1142</v>
      </c>
      <c r="B278" s="30">
        <v>1</v>
      </c>
    </row>
    <row r="279" spans="1:2" hidden="1" x14ac:dyDescent="0.25">
      <c r="A279" s="29" t="s">
        <v>1042</v>
      </c>
      <c r="B279" s="30">
        <v>1</v>
      </c>
    </row>
    <row r="280" spans="1:2" hidden="1" x14ac:dyDescent="0.25">
      <c r="A280" s="29" t="s">
        <v>1129</v>
      </c>
      <c r="B280" s="30">
        <v>1</v>
      </c>
    </row>
    <row r="281" spans="1:2" hidden="1" x14ac:dyDescent="0.25">
      <c r="A281" s="29" t="s">
        <v>1123</v>
      </c>
      <c r="B281" s="30">
        <v>1</v>
      </c>
    </row>
    <row r="282" spans="1:2" x14ac:dyDescent="0.25">
      <c r="A282" s="26" t="s">
        <v>2628</v>
      </c>
      <c r="B282" s="30">
        <v>4</v>
      </c>
    </row>
    <row r="283" spans="1:2" hidden="1" x14ac:dyDescent="0.25">
      <c r="A283" s="29" t="s">
        <v>1557</v>
      </c>
      <c r="B283" s="30">
        <v>1</v>
      </c>
    </row>
    <row r="284" spans="1:2" hidden="1" x14ac:dyDescent="0.25">
      <c r="A284" s="29" t="s">
        <v>916</v>
      </c>
      <c r="B284" s="30">
        <v>1</v>
      </c>
    </row>
    <row r="285" spans="1:2" hidden="1" x14ac:dyDescent="0.25">
      <c r="A285" s="29" t="s">
        <v>2374</v>
      </c>
      <c r="B285" s="30">
        <v>1</v>
      </c>
    </row>
    <row r="286" spans="1:2" hidden="1" x14ac:dyDescent="0.25">
      <c r="A286" s="29" t="s">
        <v>1565</v>
      </c>
      <c r="B286" s="30">
        <v>1</v>
      </c>
    </row>
    <row r="287" spans="1:2" x14ac:dyDescent="0.25">
      <c r="A287" s="26" t="s">
        <v>686</v>
      </c>
      <c r="B287" s="30">
        <v>5</v>
      </c>
    </row>
    <row r="288" spans="1:2" x14ac:dyDescent="0.25">
      <c r="A288" s="29" t="s">
        <v>1033</v>
      </c>
      <c r="B288" s="30">
        <v>2</v>
      </c>
    </row>
    <row r="289" spans="1:2" hidden="1" x14ac:dyDescent="0.25">
      <c r="A289" s="29" t="s">
        <v>1557</v>
      </c>
      <c r="B289" s="30">
        <v>1</v>
      </c>
    </row>
    <row r="290" spans="1:2" hidden="1" x14ac:dyDescent="0.25">
      <c r="A290" s="29" t="s">
        <v>1138</v>
      </c>
      <c r="B290" s="30">
        <v>1</v>
      </c>
    </row>
    <row r="291" spans="1:2" hidden="1" x14ac:dyDescent="0.25">
      <c r="A291" s="29" t="s">
        <v>941</v>
      </c>
      <c r="B291" s="30">
        <v>1</v>
      </c>
    </row>
    <row r="292" spans="1:2" x14ac:dyDescent="0.25">
      <c r="A292" s="26" t="s">
        <v>2589</v>
      </c>
      <c r="B292" s="30">
        <v>3</v>
      </c>
    </row>
    <row r="293" spans="1:2" hidden="1" x14ac:dyDescent="0.25">
      <c r="A293" s="29" t="s">
        <v>954</v>
      </c>
      <c r="B293" s="30">
        <v>1</v>
      </c>
    </row>
    <row r="294" spans="1:2" hidden="1" x14ac:dyDescent="0.25">
      <c r="A294" s="29" t="s">
        <v>2003</v>
      </c>
      <c r="B294" s="30">
        <v>1</v>
      </c>
    </row>
    <row r="295" spans="1:2" hidden="1" x14ac:dyDescent="0.25">
      <c r="A295" s="29" t="s">
        <v>2002</v>
      </c>
      <c r="B295" s="30">
        <v>1</v>
      </c>
    </row>
    <row r="296" spans="1:2" x14ac:dyDescent="0.25">
      <c r="A296" s="26" t="s">
        <v>557</v>
      </c>
      <c r="B296" s="30">
        <v>6</v>
      </c>
    </row>
    <row r="297" spans="1:2" hidden="1" x14ac:dyDescent="0.25">
      <c r="A297" s="29" t="s">
        <v>941</v>
      </c>
      <c r="B297" s="30">
        <v>1</v>
      </c>
    </row>
    <row r="298" spans="1:2" hidden="1" x14ac:dyDescent="0.25">
      <c r="A298" s="29" t="s">
        <v>960</v>
      </c>
      <c r="B298" s="30">
        <v>1</v>
      </c>
    </row>
    <row r="299" spans="1:2" hidden="1" x14ac:dyDescent="0.25">
      <c r="A299" s="29" t="s">
        <v>1042</v>
      </c>
      <c r="B299" s="30">
        <v>1</v>
      </c>
    </row>
    <row r="300" spans="1:2" hidden="1" x14ac:dyDescent="0.25">
      <c r="A300" s="29" t="s">
        <v>1828</v>
      </c>
      <c r="B300" s="30">
        <v>1</v>
      </c>
    </row>
    <row r="301" spans="1:2" hidden="1" x14ac:dyDescent="0.25">
      <c r="A301" s="29" t="s">
        <v>1129</v>
      </c>
      <c r="B301" s="30">
        <v>1</v>
      </c>
    </row>
    <row r="302" spans="1:2" hidden="1" x14ac:dyDescent="0.25">
      <c r="A302" s="29" t="s">
        <v>1123</v>
      </c>
      <c r="B302" s="30">
        <v>1</v>
      </c>
    </row>
    <row r="303" spans="1:2" x14ac:dyDescent="0.25">
      <c r="A303" s="26" t="s">
        <v>498</v>
      </c>
      <c r="B303" s="30">
        <v>7</v>
      </c>
    </row>
    <row r="304" spans="1:2" hidden="1" x14ac:dyDescent="0.25">
      <c r="A304" s="29" t="s">
        <v>941</v>
      </c>
      <c r="B304" s="30">
        <v>1</v>
      </c>
    </row>
    <row r="305" spans="1:2" hidden="1" x14ac:dyDescent="0.25">
      <c r="A305" s="29" t="s">
        <v>23</v>
      </c>
      <c r="B305" s="30">
        <v>1</v>
      </c>
    </row>
    <row r="306" spans="1:2" x14ac:dyDescent="0.25">
      <c r="A306" s="29" t="s">
        <v>923</v>
      </c>
      <c r="B306" s="30">
        <v>2</v>
      </c>
    </row>
    <row r="307" spans="1:2" hidden="1" x14ac:dyDescent="0.25">
      <c r="A307" s="29" t="s">
        <v>1025</v>
      </c>
      <c r="B307" s="30">
        <v>1</v>
      </c>
    </row>
    <row r="308" spans="1:2" hidden="1" x14ac:dyDescent="0.25">
      <c r="A308" s="29" t="s">
        <v>950</v>
      </c>
      <c r="B308" s="30">
        <v>1</v>
      </c>
    </row>
    <row r="309" spans="1:2" hidden="1" x14ac:dyDescent="0.25">
      <c r="A309" s="29" t="s">
        <v>1028</v>
      </c>
      <c r="B309" s="30">
        <v>1</v>
      </c>
    </row>
    <row r="310" spans="1:2" x14ac:dyDescent="0.25">
      <c r="A310" s="26" t="s">
        <v>559</v>
      </c>
      <c r="B310" s="30">
        <v>7</v>
      </c>
    </row>
    <row r="311" spans="1:2" hidden="1" x14ac:dyDescent="0.25">
      <c r="A311" s="29" t="s">
        <v>941</v>
      </c>
      <c r="B311" s="30">
        <v>1</v>
      </c>
    </row>
    <row r="312" spans="1:2" x14ac:dyDescent="0.25">
      <c r="A312" s="29" t="s">
        <v>960</v>
      </c>
      <c r="B312" s="30">
        <v>2</v>
      </c>
    </row>
    <row r="313" spans="1:2" hidden="1" x14ac:dyDescent="0.25">
      <c r="A313" s="29" t="s">
        <v>1142</v>
      </c>
      <c r="B313" s="30">
        <v>1</v>
      </c>
    </row>
    <row r="314" spans="1:2" hidden="1" x14ac:dyDescent="0.25">
      <c r="A314" s="29" t="s">
        <v>1042</v>
      </c>
      <c r="B314" s="30">
        <v>1</v>
      </c>
    </row>
    <row r="315" spans="1:2" hidden="1" x14ac:dyDescent="0.25">
      <c r="A315" s="29" t="s">
        <v>1129</v>
      </c>
      <c r="B315" s="30">
        <v>1</v>
      </c>
    </row>
    <row r="316" spans="1:2" hidden="1" x14ac:dyDescent="0.25">
      <c r="A316" s="29" t="s">
        <v>1123</v>
      </c>
      <c r="B316" s="30">
        <v>1</v>
      </c>
    </row>
    <row r="317" spans="1:2" x14ac:dyDescent="0.25">
      <c r="A317" s="26" t="s">
        <v>791</v>
      </c>
      <c r="B317" s="30">
        <v>7</v>
      </c>
    </row>
    <row r="318" spans="1:2" hidden="1" x14ac:dyDescent="0.25">
      <c r="A318" s="29" t="s">
        <v>941</v>
      </c>
      <c r="B318" s="30">
        <v>1</v>
      </c>
    </row>
    <row r="319" spans="1:2" x14ac:dyDescent="0.25">
      <c r="A319" s="29" t="s">
        <v>960</v>
      </c>
      <c r="B319" s="30">
        <v>2</v>
      </c>
    </row>
    <row r="320" spans="1:2" hidden="1" x14ac:dyDescent="0.25">
      <c r="A320" s="29" t="s">
        <v>1142</v>
      </c>
      <c r="B320" s="30">
        <v>1</v>
      </c>
    </row>
    <row r="321" spans="1:2" hidden="1" x14ac:dyDescent="0.25">
      <c r="A321" s="29" t="s">
        <v>1042</v>
      </c>
      <c r="B321" s="30">
        <v>1</v>
      </c>
    </row>
    <row r="322" spans="1:2" hidden="1" x14ac:dyDescent="0.25">
      <c r="A322" s="29" t="s">
        <v>1129</v>
      </c>
      <c r="B322" s="30">
        <v>1</v>
      </c>
    </row>
    <row r="323" spans="1:2" hidden="1" x14ac:dyDescent="0.25">
      <c r="A323" s="29" t="s">
        <v>1123</v>
      </c>
      <c r="B323" s="30">
        <v>1</v>
      </c>
    </row>
    <row r="324" spans="1:2" x14ac:dyDescent="0.25">
      <c r="A324" s="26" t="s">
        <v>478</v>
      </c>
      <c r="B324" s="30">
        <v>7</v>
      </c>
    </row>
    <row r="325" spans="1:2" hidden="1" x14ac:dyDescent="0.25">
      <c r="A325" s="29" t="s">
        <v>2374</v>
      </c>
      <c r="B325" s="30">
        <v>1</v>
      </c>
    </row>
    <row r="326" spans="1:2" hidden="1" x14ac:dyDescent="0.25">
      <c r="A326" s="29" t="s">
        <v>941</v>
      </c>
      <c r="B326" s="30">
        <v>1</v>
      </c>
    </row>
    <row r="327" spans="1:2" hidden="1" x14ac:dyDescent="0.25">
      <c r="A327" s="29" t="s">
        <v>23</v>
      </c>
      <c r="B327" s="30">
        <v>1</v>
      </c>
    </row>
    <row r="328" spans="1:2" hidden="1" x14ac:dyDescent="0.25">
      <c r="A328" s="29" t="s">
        <v>923</v>
      </c>
      <c r="B328" s="30">
        <v>1</v>
      </c>
    </row>
    <row r="329" spans="1:2" hidden="1" x14ac:dyDescent="0.25">
      <c r="A329" s="29" t="s">
        <v>1028</v>
      </c>
      <c r="B329" s="30">
        <v>1</v>
      </c>
    </row>
    <row r="330" spans="1:2" x14ac:dyDescent="0.25">
      <c r="A330" s="29" t="s">
        <v>18</v>
      </c>
      <c r="B330" s="30">
        <v>2</v>
      </c>
    </row>
    <row r="331" spans="1:2" x14ac:dyDescent="0.25">
      <c r="A331" s="26" t="s">
        <v>480</v>
      </c>
      <c r="B331" s="30">
        <v>6</v>
      </c>
    </row>
    <row r="332" spans="1:2" hidden="1" x14ac:dyDescent="0.25">
      <c r="A332" s="29" t="s">
        <v>923</v>
      </c>
      <c r="B332" s="30">
        <v>1</v>
      </c>
    </row>
    <row r="333" spans="1:2" x14ac:dyDescent="0.25">
      <c r="A333" s="29" t="s">
        <v>1025</v>
      </c>
      <c r="B333" s="30">
        <v>2</v>
      </c>
    </row>
    <row r="334" spans="1:2" hidden="1" x14ac:dyDescent="0.25">
      <c r="A334" s="29" t="s">
        <v>950</v>
      </c>
      <c r="B334" s="30">
        <v>1</v>
      </c>
    </row>
    <row r="335" spans="1:2" hidden="1" x14ac:dyDescent="0.25">
      <c r="A335" s="29" t="s">
        <v>903</v>
      </c>
      <c r="B335" s="30">
        <v>1</v>
      </c>
    </row>
    <row r="336" spans="1:2" hidden="1" x14ac:dyDescent="0.25">
      <c r="A336" s="29" t="s">
        <v>1202</v>
      </c>
      <c r="B336" s="30">
        <v>1</v>
      </c>
    </row>
    <row r="337" spans="1:2" x14ac:dyDescent="0.25">
      <c r="A337" s="26" t="s">
        <v>484</v>
      </c>
      <c r="B337" s="30">
        <v>8</v>
      </c>
    </row>
    <row r="338" spans="1:2" hidden="1" x14ac:dyDescent="0.25">
      <c r="A338" s="29" t="s">
        <v>916</v>
      </c>
      <c r="B338" s="30">
        <v>1</v>
      </c>
    </row>
    <row r="339" spans="1:2" hidden="1" x14ac:dyDescent="0.25">
      <c r="A339" s="29" t="s">
        <v>941</v>
      </c>
      <c r="B339" s="30">
        <v>1</v>
      </c>
    </row>
    <row r="340" spans="1:2" hidden="1" x14ac:dyDescent="0.25">
      <c r="A340" s="29" t="s">
        <v>23</v>
      </c>
      <c r="B340" s="30">
        <v>1</v>
      </c>
    </row>
    <row r="341" spans="1:2" hidden="1" x14ac:dyDescent="0.25">
      <c r="A341" s="29" t="s">
        <v>923</v>
      </c>
      <c r="B341" s="30">
        <v>1</v>
      </c>
    </row>
    <row r="342" spans="1:2" hidden="1" x14ac:dyDescent="0.25">
      <c r="A342" s="29" t="s">
        <v>903</v>
      </c>
      <c r="B342" s="30">
        <v>1</v>
      </c>
    </row>
    <row r="343" spans="1:2" hidden="1" x14ac:dyDescent="0.25">
      <c r="A343" s="29" t="s">
        <v>18</v>
      </c>
      <c r="B343" s="30">
        <v>1</v>
      </c>
    </row>
    <row r="344" spans="1:2" hidden="1" x14ac:dyDescent="0.25">
      <c r="A344" s="29" t="s">
        <v>905</v>
      </c>
      <c r="B344" s="30">
        <v>1</v>
      </c>
    </row>
    <row r="345" spans="1:2" hidden="1" x14ac:dyDescent="0.25">
      <c r="A345" s="29" t="s">
        <v>899</v>
      </c>
      <c r="B345" s="30">
        <v>1</v>
      </c>
    </row>
    <row r="346" spans="1:2" x14ac:dyDescent="0.25">
      <c r="A346" s="26" t="s">
        <v>865</v>
      </c>
      <c r="B346" s="30">
        <v>6</v>
      </c>
    </row>
    <row r="347" spans="1:2" hidden="1" x14ac:dyDescent="0.25">
      <c r="A347" s="29" t="s">
        <v>1557</v>
      </c>
      <c r="B347" s="30">
        <v>1</v>
      </c>
    </row>
    <row r="348" spans="1:2" hidden="1" x14ac:dyDescent="0.25">
      <c r="A348" s="29" t="s">
        <v>916</v>
      </c>
      <c r="B348" s="30">
        <v>1</v>
      </c>
    </row>
    <row r="349" spans="1:2" hidden="1" x14ac:dyDescent="0.25">
      <c r="A349" s="29" t="s">
        <v>1483</v>
      </c>
      <c r="B349" s="30">
        <v>1</v>
      </c>
    </row>
    <row r="350" spans="1:2" hidden="1" x14ac:dyDescent="0.25">
      <c r="A350" s="29" t="s">
        <v>22</v>
      </c>
      <c r="B350" s="30">
        <v>1</v>
      </c>
    </row>
    <row r="351" spans="1:2" hidden="1" x14ac:dyDescent="0.25">
      <c r="A351" s="29" t="s">
        <v>698</v>
      </c>
      <c r="B351" s="30">
        <v>1</v>
      </c>
    </row>
    <row r="352" spans="1:2" hidden="1" x14ac:dyDescent="0.25">
      <c r="A352" s="29" t="s">
        <v>1565</v>
      </c>
      <c r="B352" s="30">
        <v>1</v>
      </c>
    </row>
    <row r="353" spans="1:2" x14ac:dyDescent="0.25">
      <c r="A353" s="26" t="s">
        <v>2629</v>
      </c>
      <c r="B353" s="30">
        <v>3</v>
      </c>
    </row>
    <row r="354" spans="1:2" hidden="1" x14ac:dyDescent="0.25">
      <c r="A354" s="29" t="s">
        <v>960</v>
      </c>
      <c r="B354" s="30">
        <v>1</v>
      </c>
    </row>
    <row r="355" spans="1:2" hidden="1" x14ac:dyDescent="0.25">
      <c r="A355" s="29" t="s">
        <v>954</v>
      </c>
      <c r="B355" s="30">
        <v>1</v>
      </c>
    </row>
    <row r="356" spans="1:2" hidden="1" x14ac:dyDescent="0.25">
      <c r="A356" s="29" t="s">
        <v>1129</v>
      </c>
      <c r="B356" s="30">
        <v>1</v>
      </c>
    </row>
    <row r="357" spans="1:2" x14ac:dyDescent="0.25">
      <c r="A357" s="26" t="s">
        <v>561</v>
      </c>
      <c r="B357" s="30">
        <v>7</v>
      </c>
    </row>
    <row r="358" spans="1:2" hidden="1" x14ac:dyDescent="0.25">
      <c r="A358" s="29" t="s">
        <v>941</v>
      </c>
      <c r="B358" s="30">
        <v>1</v>
      </c>
    </row>
    <row r="359" spans="1:2" x14ac:dyDescent="0.25">
      <c r="A359" s="29" t="s">
        <v>960</v>
      </c>
      <c r="B359" s="30">
        <v>2</v>
      </c>
    </row>
    <row r="360" spans="1:2" hidden="1" x14ac:dyDescent="0.25">
      <c r="A360" s="29" t="s">
        <v>1142</v>
      </c>
      <c r="B360" s="30">
        <v>1</v>
      </c>
    </row>
    <row r="361" spans="1:2" hidden="1" x14ac:dyDescent="0.25">
      <c r="A361" s="29" t="s">
        <v>1042</v>
      </c>
      <c r="B361" s="30">
        <v>1</v>
      </c>
    </row>
    <row r="362" spans="1:2" hidden="1" x14ac:dyDescent="0.25">
      <c r="A362" s="29" t="s">
        <v>1129</v>
      </c>
      <c r="B362" s="30">
        <v>1</v>
      </c>
    </row>
    <row r="363" spans="1:2" hidden="1" x14ac:dyDescent="0.25">
      <c r="A363" s="29" t="s">
        <v>1123</v>
      </c>
      <c r="B363" s="30">
        <v>1</v>
      </c>
    </row>
    <row r="364" spans="1:2" x14ac:dyDescent="0.25">
      <c r="A364" s="26" t="s">
        <v>1665</v>
      </c>
      <c r="B364" s="30">
        <v>6</v>
      </c>
    </row>
    <row r="365" spans="1:2" x14ac:dyDescent="0.25">
      <c r="A365" s="29" t="s">
        <v>1033</v>
      </c>
      <c r="B365" s="30">
        <v>2</v>
      </c>
    </row>
    <row r="366" spans="1:2" hidden="1" x14ac:dyDescent="0.25">
      <c r="A366" s="29" t="s">
        <v>1557</v>
      </c>
      <c r="B366" s="30">
        <v>1</v>
      </c>
    </row>
    <row r="367" spans="1:2" hidden="1" x14ac:dyDescent="0.25">
      <c r="A367" s="29" t="s">
        <v>916</v>
      </c>
      <c r="B367" s="30">
        <v>1</v>
      </c>
    </row>
    <row r="368" spans="1:2" hidden="1" x14ac:dyDescent="0.25">
      <c r="A368" s="29" t="s">
        <v>1138</v>
      </c>
      <c r="B368" s="30">
        <v>1</v>
      </c>
    </row>
    <row r="369" spans="1:2" hidden="1" x14ac:dyDescent="0.25">
      <c r="A369" s="29" t="s">
        <v>941</v>
      </c>
      <c r="B369" s="30">
        <v>1</v>
      </c>
    </row>
    <row r="370" spans="1:2" x14ac:dyDescent="0.25">
      <c r="A370" s="26" t="s">
        <v>595</v>
      </c>
      <c r="B370" s="30">
        <v>8</v>
      </c>
    </row>
    <row r="371" spans="1:2" hidden="1" x14ac:dyDescent="0.25">
      <c r="A371" s="29" t="s">
        <v>941</v>
      </c>
      <c r="B371" s="30">
        <v>1</v>
      </c>
    </row>
    <row r="372" spans="1:2" hidden="1" x14ac:dyDescent="0.25">
      <c r="A372" s="29" t="s">
        <v>960</v>
      </c>
      <c r="B372" s="30">
        <v>1</v>
      </c>
    </row>
    <row r="373" spans="1:2" x14ac:dyDescent="0.25">
      <c r="A373" s="29" t="s">
        <v>1126</v>
      </c>
      <c r="B373" s="30">
        <v>2</v>
      </c>
    </row>
    <row r="374" spans="1:2" hidden="1" x14ac:dyDescent="0.25">
      <c r="A374" s="29" t="s">
        <v>1142</v>
      </c>
      <c r="B374" s="30">
        <v>1</v>
      </c>
    </row>
    <row r="375" spans="1:2" hidden="1" x14ac:dyDescent="0.25">
      <c r="A375" s="29" t="s">
        <v>1042</v>
      </c>
      <c r="B375" s="30">
        <v>1</v>
      </c>
    </row>
    <row r="376" spans="1:2" hidden="1" x14ac:dyDescent="0.25">
      <c r="A376" s="29" t="s">
        <v>1828</v>
      </c>
      <c r="B376" s="30">
        <v>1</v>
      </c>
    </row>
    <row r="377" spans="1:2" hidden="1" x14ac:dyDescent="0.25">
      <c r="A377" s="29" t="s">
        <v>1123</v>
      </c>
      <c r="B377" s="30">
        <v>1</v>
      </c>
    </row>
    <row r="378" spans="1:2" x14ac:dyDescent="0.25">
      <c r="A378" s="26" t="s">
        <v>698</v>
      </c>
      <c r="B378" s="30">
        <v>5</v>
      </c>
    </row>
    <row r="379" spans="1:2" hidden="1" x14ac:dyDescent="0.25">
      <c r="A379" s="29" t="s">
        <v>916</v>
      </c>
      <c r="B379" s="30">
        <v>1</v>
      </c>
    </row>
    <row r="380" spans="1:2" hidden="1" x14ac:dyDescent="0.25">
      <c r="A380" s="29" t="s">
        <v>2374</v>
      </c>
      <c r="B380" s="30">
        <v>1</v>
      </c>
    </row>
    <row r="381" spans="1:2" hidden="1" x14ac:dyDescent="0.25">
      <c r="A381" s="29" t="s">
        <v>1483</v>
      </c>
      <c r="B381" s="30">
        <v>1</v>
      </c>
    </row>
    <row r="382" spans="1:2" hidden="1" x14ac:dyDescent="0.25">
      <c r="A382" s="29" t="s">
        <v>698</v>
      </c>
      <c r="B382" s="30">
        <v>1</v>
      </c>
    </row>
    <row r="383" spans="1:2" hidden="1" x14ac:dyDescent="0.25">
      <c r="A383" s="29" t="s">
        <v>18</v>
      </c>
      <c r="B383" s="30">
        <v>1</v>
      </c>
    </row>
    <row r="384" spans="1:2" x14ac:dyDescent="0.25">
      <c r="A384" s="26" t="s">
        <v>577</v>
      </c>
      <c r="B384" s="30">
        <v>6</v>
      </c>
    </row>
    <row r="385" spans="1:2" hidden="1" x14ac:dyDescent="0.25">
      <c r="A385" s="29" t="s">
        <v>941</v>
      </c>
      <c r="B385" s="30">
        <v>1</v>
      </c>
    </row>
    <row r="386" spans="1:2" hidden="1" x14ac:dyDescent="0.25">
      <c r="A386" s="29" t="s">
        <v>960</v>
      </c>
      <c r="B386" s="30">
        <v>1</v>
      </c>
    </row>
    <row r="387" spans="1:2" hidden="1" x14ac:dyDescent="0.25">
      <c r="A387" s="29" t="s">
        <v>1042</v>
      </c>
      <c r="B387" s="30">
        <v>1</v>
      </c>
    </row>
    <row r="388" spans="1:2" hidden="1" x14ac:dyDescent="0.25">
      <c r="A388" s="29" t="s">
        <v>1828</v>
      </c>
      <c r="B388" s="30">
        <v>1</v>
      </c>
    </row>
    <row r="389" spans="1:2" hidden="1" x14ac:dyDescent="0.25">
      <c r="A389" s="29" t="s">
        <v>1129</v>
      </c>
      <c r="B389" s="30">
        <v>1</v>
      </c>
    </row>
    <row r="390" spans="1:2" hidden="1" x14ac:dyDescent="0.25">
      <c r="A390" s="29" t="s">
        <v>1123</v>
      </c>
      <c r="B390" s="30">
        <v>1</v>
      </c>
    </row>
    <row r="391" spans="1:2" x14ac:dyDescent="0.25">
      <c r="A391" s="26" t="s">
        <v>953</v>
      </c>
      <c r="B391" s="30">
        <v>9</v>
      </c>
    </row>
    <row r="392" spans="1:2" hidden="1" x14ac:dyDescent="0.25">
      <c r="A392" s="29" t="s">
        <v>2374</v>
      </c>
      <c r="B392" s="30">
        <v>1</v>
      </c>
    </row>
    <row r="393" spans="1:2" hidden="1" x14ac:dyDescent="0.25">
      <c r="A393" s="29" t="s">
        <v>941</v>
      </c>
      <c r="B393" s="30">
        <v>1</v>
      </c>
    </row>
    <row r="394" spans="1:2" hidden="1" x14ac:dyDescent="0.25">
      <c r="A394" s="29" t="s">
        <v>960</v>
      </c>
      <c r="B394" s="30">
        <v>1</v>
      </c>
    </row>
    <row r="395" spans="1:2" hidden="1" x14ac:dyDescent="0.25">
      <c r="A395" s="29" t="s">
        <v>23</v>
      </c>
      <c r="B395" s="30">
        <v>1</v>
      </c>
    </row>
    <row r="396" spans="1:2" hidden="1" x14ac:dyDescent="0.25">
      <c r="A396" s="29" t="s">
        <v>954</v>
      </c>
      <c r="B396" s="30">
        <v>1</v>
      </c>
    </row>
    <row r="397" spans="1:2" hidden="1" x14ac:dyDescent="0.25">
      <c r="A397" s="29" t="s">
        <v>950</v>
      </c>
      <c r="B397" s="30">
        <v>1</v>
      </c>
    </row>
    <row r="398" spans="1:2" hidden="1" x14ac:dyDescent="0.25">
      <c r="A398" s="29" t="s">
        <v>903</v>
      </c>
      <c r="B398" s="30">
        <v>1</v>
      </c>
    </row>
    <row r="399" spans="1:2" hidden="1" x14ac:dyDescent="0.25">
      <c r="A399" s="29" t="s">
        <v>966</v>
      </c>
      <c r="B399" s="30">
        <v>1</v>
      </c>
    </row>
    <row r="400" spans="1:2" hidden="1" x14ac:dyDescent="0.25">
      <c r="A400" s="29" t="s">
        <v>905</v>
      </c>
      <c r="B400" s="30">
        <v>1</v>
      </c>
    </row>
    <row r="401" spans="1:2" x14ac:dyDescent="0.25">
      <c r="A401" s="26" t="s">
        <v>844</v>
      </c>
      <c r="B401" s="30">
        <v>6</v>
      </c>
    </row>
    <row r="402" spans="1:2" x14ac:dyDescent="0.25">
      <c r="A402" s="29" t="s">
        <v>1033</v>
      </c>
      <c r="B402" s="30">
        <v>2</v>
      </c>
    </row>
    <row r="403" spans="1:2" hidden="1" x14ac:dyDescent="0.25">
      <c r="A403" s="29" t="s">
        <v>1557</v>
      </c>
      <c r="B403" s="30">
        <v>1</v>
      </c>
    </row>
    <row r="404" spans="1:2" hidden="1" x14ac:dyDescent="0.25">
      <c r="A404" s="29" t="s">
        <v>1138</v>
      </c>
      <c r="B404" s="30">
        <v>1</v>
      </c>
    </row>
    <row r="405" spans="1:2" hidden="1" x14ac:dyDescent="0.25">
      <c r="A405" s="29" t="s">
        <v>941</v>
      </c>
      <c r="B405" s="30">
        <v>1</v>
      </c>
    </row>
    <row r="406" spans="1:2" hidden="1" x14ac:dyDescent="0.25">
      <c r="A406" s="29" t="s">
        <v>1042</v>
      </c>
      <c r="B406" s="30">
        <v>1</v>
      </c>
    </row>
    <row r="407" spans="1:2" x14ac:dyDescent="0.25">
      <c r="A407" s="26" t="s">
        <v>862</v>
      </c>
      <c r="B407" s="30">
        <v>5</v>
      </c>
    </row>
    <row r="408" spans="1:2" hidden="1" x14ac:dyDescent="0.25">
      <c r="A408" s="29" t="s">
        <v>1557</v>
      </c>
      <c r="B408" s="30">
        <v>1</v>
      </c>
    </row>
    <row r="409" spans="1:2" x14ac:dyDescent="0.25">
      <c r="A409" s="29" t="s">
        <v>916</v>
      </c>
      <c r="B409" s="30">
        <v>2</v>
      </c>
    </row>
    <row r="410" spans="1:2" hidden="1" x14ac:dyDescent="0.25">
      <c r="A410" s="29" t="s">
        <v>1483</v>
      </c>
      <c r="B410" s="30">
        <v>1</v>
      </c>
    </row>
    <row r="411" spans="1:2" hidden="1" x14ac:dyDescent="0.25">
      <c r="A411" s="29" t="s">
        <v>22</v>
      </c>
      <c r="B411" s="30">
        <v>1</v>
      </c>
    </row>
    <row r="412" spans="1:2" x14ac:dyDescent="0.25">
      <c r="A412" s="26" t="s">
        <v>486</v>
      </c>
      <c r="B412" s="30">
        <v>7</v>
      </c>
    </row>
    <row r="413" spans="1:2" hidden="1" x14ac:dyDescent="0.25">
      <c r="A413" s="29" t="s">
        <v>941</v>
      </c>
      <c r="B413" s="30">
        <v>1</v>
      </c>
    </row>
    <row r="414" spans="1:2" hidden="1" x14ac:dyDescent="0.25">
      <c r="A414" s="29" t="s">
        <v>1025</v>
      </c>
      <c r="B414" s="30">
        <v>1</v>
      </c>
    </row>
    <row r="415" spans="1:2" hidden="1" x14ac:dyDescent="0.25">
      <c r="A415" s="29" t="s">
        <v>950</v>
      </c>
      <c r="B415" s="30">
        <v>1</v>
      </c>
    </row>
    <row r="416" spans="1:2" hidden="1" x14ac:dyDescent="0.25">
      <c r="A416" s="29" t="s">
        <v>903</v>
      </c>
      <c r="B416" s="30">
        <v>1</v>
      </c>
    </row>
    <row r="417" spans="1:2" hidden="1" x14ac:dyDescent="0.25">
      <c r="A417" s="29" t="s">
        <v>908</v>
      </c>
      <c r="B417" s="30">
        <v>1</v>
      </c>
    </row>
    <row r="418" spans="1:2" hidden="1" x14ac:dyDescent="0.25">
      <c r="A418" s="29" t="s">
        <v>18</v>
      </c>
      <c r="B418" s="30">
        <v>1</v>
      </c>
    </row>
    <row r="419" spans="1:2" hidden="1" x14ac:dyDescent="0.25">
      <c r="A419" s="29" t="s">
        <v>899</v>
      </c>
      <c r="B419" s="30">
        <v>1</v>
      </c>
    </row>
    <row r="420" spans="1:2" x14ac:dyDescent="0.25">
      <c r="A420" s="26" t="s">
        <v>2674</v>
      </c>
      <c r="B420" s="30">
        <v>2</v>
      </c>
    </row>
    <row r="421" spans="1:2" hidden="1" x14ac:dyDescent="0.25">
      <c r="A421" s="29" t="s">
        <v>1557</v>
      </c>
      <c r="B421" s="30">
        <v>1</v>
      </c>
    </row>
    <row r="422" spans="1:2" hidden="1" x14ac:dyDescent="0.25">
      <c r="A422" s="29" t="s">
        <v>1138</v>
      </c>
      <c r="B422" s="30">
        <v>1</v>
      </c>
    </row>
    <row r="423" spans="1:2" x14ac:dyDescent="0.25">
      <c r="A423" s="26" t="s">
        <v>700</v>
      </c>
      <c r="B423" s="30">
        <v>6</v>
      </c>
    </row>
    <row r="424" spans="1:2" hidden="1" x14ac:dyDescent="0.25">
      <c r="A424" s="29" t="s">
        <v>1033</v>
      </c>
      <c r="B424" s="30">
        <v>1</v>
      </c>
    </row>
    <row r="425" spans="1:2" hidden="1" x14ac:dyDescent="0.25">
      <c r="A425" s="29" t="s">
        <v>1557</v>
      </c>
      <c r="B425" s="30">
        <v>1</v>
      </c>
    </row>
    <row r="426" spans="1:2" x14ac:dyDescent="0.25">
      <c r="A426" s="29" t="s">
        <v>916</v>
      </c>
      <c r="B426" s="30">
        <v>2</v>
      </c>
    </row>
    <row r="427" spans="1:2" hidden="1" x14ac:dyDescent="0.25">
      <c r="A427" s="29" t="s">
        <v>1483</v>
      </c>
      <c r="B427" s="30">
        <v>1</v>
      </c>
    </row>
    <row r="428" spans="1:2" hidden="1" x14ac:dyDescent="0.25">
      <c r="A428" s="29" t="s">
        <v>22</v>
      </c>
      <c r="B428" s="30">
        <v>1</v>
      </c>
    </row>
    <row r="429" spans="1:2" x14ac:dyDescent="0.25">
      <c r="A429" s="26" t="s">
        <v>2582</v>
      </c>
      <c r="B429" s="30">
        <v>3</v>
      </c>
    </row>
    <row r="430" spans="1:2" hidden="1" x14ac:dyDescent="0.25">
      <c r="A430" s="29" t="s">
        <v>903</v>
      </c>
      <c r="B430" s="30">
        <v>1</v>
      </c>
    </row>
    <row r="431" spans="1:2" hidden="1" x14ac:dyDescent="0.25">
      <c r="A431" s="29" t="s">
        <v>905</v>
      </c>
      <c r="B431" s="30">
        <v>1</v>
      </c>
    </row>
    <row r="432" spans="1:2" hidden="1" x14ac:dyDescent="0.25">
      <c r="A432" s="29" t="s">
        <v>899</v>
      </c>
      <c r="B432" s="30">
        <v>1</v>
      </c>
    </row>
    <row r="433" spans="1:2" x14ac:dyDescent="0.25">
      <c r="A433" s="26" t="s">
        <v>882</v>
      </c>
      <c r="B433" s="30">
        <v>9</v>
      </c>
    </row>
    <row r="434" spans="1:2" hidden="1" x14ac:dyDescent="0.25">
      <c r="A434" s="29" t="s">
        <v>941</v>
      </c>
      <c r="B434" s="30">
        <v>1</v>
      </c>
    </row>
    <row r="435" spans="1:2" hidden="1" x14ac:dyDescent="0.25">
      <c r="A435" s="29" t="s">
        <v>954</v>
      </c>
      <c r="B435" s="30">
        <v>1</v>
      </c>
    </row>
    <row r="436" spans="1:2" hidden="1" x14ac:dyDescent="0.25">
      <c r="A436" s="29" t="s">
        <v>1565</v>
      </c>
      <c r="B436" s="30">
        <v>1</v>
      </c>
    </row>
    <row r="437" spans="1:2" x14ac:dyDescent="0.25">
      <c r="A437" s="29" t="s">
        <v>2003</v>
      </c>
      <c r="B437" s="30">
        <v>2</v>
      </c>
    </row>
    <row r="438" spans="1:2" hidden="1" x14ac:dyDescent="0.25">
      <c r="A438" s="29" t="s">
        <v>2009</v>
      </c>
      <c r="B438" s="30">
        <v>1</v>
      </c>
    </row>
    <row r="439" spans="1:2" x14ac:dyDescent="0.25">
      <c r="A439" s="29" t="s">
        <v>2002</v>
      </c>
      <c r="B439" s="30">
        <v>2</v>
      </c>
    </row>
    <row r="440" spans="1:2" hidden="1" x14ac:dyDescent="0.25">
      <c r="A440" s="29" t="s">
        <v>2059</v>
      </c>
      <c r="B440" s="30">
        <v>1</v>
      </c>
    </row>
    <row r="441" spans="1:2" x14ac:dyDescent="0.25">
      <c r="A441" s="26" t="s">
        <v>490</v>
      </c>
      <c r="B441" s="30">
        <v>5</v>
      </c>
    </row>
    <row r="442" spans="1:2" hidden="1" x14ac:dyDescent="0.25">
      <c r="A442" s="29" t="s">
        <v>916</v>
      </c>
      <c r="B442" s="30">
        <v>1</v>
      </c>
    </row>
    <row r="443" spans="1:2" hidden="1" x14ac:dyDescent="0.25">
      <c r="A443" s="29" t="s">
        <v>950</v>
      </c>
      <c r="B443" s="30">
        <v>1</v>
      </c>
    </row>
    <row r="444" spans="1:2" hidden="1" x14ac:dyDescent="0.25">
      <c r="A444" s="29" t="s">
        <v>903</v>
      </c>
      <c r="B444" s="30">
        <v>1</v>
      </c>
    </row>
    <row r="445" spans="1:2" hidden="1" x14ac:dyDescent="0.25">
      <c r="A445" s="29" t="s">
        <v>908</v>
      </c>
      <c r="B445" s="30">
        <v>1</v>
      </c>
    </row>
    <row r="446" spans="1:2" hidden="1" x14ac:dyDescent="0.25">
      <c r="A446" s="29" t="s">
        <v>899</v>
      </c>
      <c r="B446" s="30">
        <v>1</v>
      </c>
    </row>
    <row r="447" spans="1:2" x14ac:dyDescent="0.25">
      <c r="A447" s="26" t="s">
        <v>492</v>
      </c>
      <c r="B447" s="30">
        <v>8</v>
      </c>
    </row>
    <row r="448" spans="1:2" hidden="1" x14ac:dyDescent="0.25">
      <c r="A448" s="29" t="s">
        <v>1033</v>
      </c>
      <c r="B448" s="30">
        <v>1</v>
      </c>
    </row>
    <row r="449" spans="1:2" hidden="1" x14ac:dyDescent="0.25">
      <c r="A449" s="29" t="s">
        <v>2374</v>
      </c>
      <c r="B449" s="30">
        <v>1</v>
      </c>
    </row>
    <row r="450" spans="1:2" hidden="1" x14ac:dyDescent="0.25">
      <c r="A450" s="29" t="s">
        <v>941</v>
      </c>
      <c r="B450" s="30">
        <v>1</v>
      </c>
    </row>
    <row r="451" spans="1:2" hidden="1" x14ac:dyDescent="0.25">
      <c r="A451" s="29" t="s">
        <v>960</v>
      </c>
      <c r="B451" s="30">
        <v>1</v>
      </c>
    </row>
    <row r="452" spans="1:2" hidden="1" x14ac:dyDescent="0.25">
      <c r="A452" s="29" t="s">
        <v>23</v>
      </c>
      <c r="B452" s="30">
        <v>1</v>
      </c>
    </row>
    <row r="453" spans="1:2" hidden="1" x14ac:dyDescent="0.25">
      <c r="A453" s="29" t="s">
        <v>1025</v>
      </c>
      <c r="B453" s="30">
        <v>1</v>
      </c>
    </row>
    <row r="454" spans="1:2" hidden="1" x14ac:dyDescent="0.25">
      <c r="A454" s="29" t="s">
        <v>1042</v>
      </c>
      <c r="B454" s="30">
        <v>1</v>
      </c>
    </row>
    <row r="455" spans="1:2" hidden="1" x14ac:dyDescent="0.25">
      <c r="A455" s="29" t="s">
        <v>1028</v>
      </c>
      <c r="B455" s="30">
        <v>1</v>
      </c>
    </row>
    <row r="456" spans="1:2" x14ac:dyDescent="0.25">
      <c r="A456" s="26" t="s">
        <v>782</v>
      </c>
      <c r="B456" s="30">
        <v>7</v>
      </c>
    </row>
    <row r="457" spans="1:2" hidden="1" x14ac:dyDescent="0.25">
      <c r="A457" s="29" t="s">
        <v>941</v>
      </c>
      <c r="B457" s="30">
        <v>1</v>
      </c>
    </row>
    <row r="458" spans="1:2" hidden="1" x14ac:dyDescent="0.25">
      <c r="A458" s="29" t="s">
        <v>960</v>
      </c>
      <c r="B458" s="30">
        <v>1</v>
      </c>
    </row>
    <row r="459" spans="1:2" hidden="1" x14ac:dyDescent="0.25">
      <c r="A459" s="29" t="s">
        <v>1126</v>
      </c>
      <c r="B459" s="30">
        <v>1</v>
      </c>
    </row>
    <row r="460" spans="1:2" hidden="1" x14ac:dyDescent="0.25">
      <c r="A460" s="29" t="s">
        <v>1142</v>
      </c>
      <c r="B460" s="30">
        <v>1</v>
      </c>
    </row>
    <row r="461" spans="1:2" hidden="1" x14ac:dyDescent="0.25">
      <c r="A461" s="29" t="s">
        <v>1042</v>
      </c>
      <c r="B461" s="30">
        <v>1</v>
      </c>
    </row>
    <row r="462" spans="1:2" x14ac:dyDescent="0.25">
      <c r="A462" s="29" t="s">
        <v>1123</v>
      </c>
      <c r="B462" s="30">
        <v>2</v>
      </c>
    </row>
    <row r="463" spans="1:2" x14ac:dyDescent="0.25">
      <c r="A463" s="26" t="s">
        <v>841</v>
      </c>
      <c r="B463" s="30">
        <v>5</v>
      </c>
    </row>
    <row r="464" spans="1:2" x14ac:dyDescent="0.25">
      <c r="A464" s="29" t="s">
        <v>1033</v>
      </c>
      <c r="B464" s="30">
        <v>2</v>
      </c>
    </row>
    <row r="465" spans="1:2" hidden="1" x14ac:dyDescent="0.25">
      <c r="A465" s="29" t="s">
        <v>1557</v>
      </c>
      <c r="B465" s="30">
        <v>1</v>
      </c>
    </row>
    <row r="466" spans="1:2" hidden="1" x14ac:dyDescent="0.25">
      <c r="A466" s="29" t="s">
        <v>1138</v>
      </c>
      <c r="B466" s="30">
        <v>1</v>
      </c>
    </row>
    <row r="467" spans="1:2" hidden="1" x14ac:dyDescent="0.25">
      <c r="A467" s="29" t="s">
        <v>941</v>
      </c>
      <c r="B467" s="30">
        <v>1</v>
      </c>
    </row>
    <row r="468" spans="1:2" x14ac:dyDescent="0.25">
      <c r="A468" s="26" t="s">
        <v>830</v>
      </c>
      <c r="B468" s="30">
        <v>4</v>
      </c>
    </row>
    <row r="469" spans="1:2" hidden="1" x14ac:dyDescent="0.25">
      <c r="A469" s="29" t="s">
        <v>1033</v>
      </c>
      <c r="B469" s="30">
        <v>1</v>
      </c>
    </row>
    <row r="470" spans="1:2" hidden="1" x14ac:dyDescent="0.25">
      <c r="A470" s="29" t="s">
        <v>2374</v>
      </c>
      <c r="B470" s="30">
        <v>1</v>
      </c>
    </row>
    <row r="471" spans="1:2" hidden="1" x14ac:dyDescent="0.25">
      <c r="A471" s="29" t="s">
        <v>1483</v>
      </c>
      <c r="B471" s="30">
        <v>1</v>
      </c>
    </row>
    <row r="472" spans="1:2" hidden="1" x14ac:dyDescent="0.25">
      <c r="A472" s="29" t="s">
        <v>941</v>
      </c>
      <c r="B472" s="30">
        <v>1</v>
      </c>
    </row>
    <row r="473" spans="1:2" x14ac:dyDescent="0.25">
      <c r="A473" s="26" t="s">
        <v>619</v>
      </c>
      <c r="B473" s="30">
        <v>7</v>
      </c>
    </row>
    <row r="474" spans="1:2" hidden="1" x14ac:dyDescent="0.25">
      <c r="A474" s="29" t="s">
        <v>941</v>
      </c>
      <c r="B474" s="30">
        <v>1</v>
      </c>
    </row>
    <row r="475" spans="1:2" hidden="1" x14ac:dyDescent="0.25">
      <c r="A475" s="29" t="s">
        <v>23</v>
      </c>
      <c r="B475" s="30">
        <v>1</v>
      </c>
    </row>
    <row r="476" spans="1:2" hidden="1" x14ac:dyDescent="0.25">
      <c r="A476" s="29" t="s">
        <v>1225</v>
      </c>
      <c r="B476" s="30">
        <v>1</v>
      </c>
    </row>
    <row r="477" spans="1:2" hidden="1" x14ac:dyDescent="0.25">
      <c r="A477" s="29" t="s">
        <v>923</v>
      </c>
      <c r="B477" s="30">
        <v>1</v>
      </c>
    </row>
    <row r="478" spans="1:2" hidden="1" x14ac:dyDescent="0.25">
      <c r="A478" s="29" t="s">
        <v>950</v>
      </c>
      <c r="B478" s="30">
        <v>1</v>
      </c>
    </row>
    <row r="479" spans="1:2" hidden="1" x14ac:dyDescent="0.25">
      <c r="A479" s="29" t="s">
        <v>18</v>
      </c>
      <c r="B479" s="30">
        <v>1</v>
      </c>
    </row>
    <row r="480" spans="1:2" hidden="1" x14ac:dyDescent="0.25">
      <c r="A480" s="29" t="s">
        <v>21</v>
      </c>
      <c r="B480" s="30">
        <v>1</v>
      </c>
    </row>
    <row r="481" spans="1:2" x14ac:dyDescent="0.25">
      <c r="A481" s="26" t="s">
        <v>482</v>
      </c>
      <c r="B481" s="30">
        <v>9</v>
      </c>
    </row>
    <row r="482" spans="1:2" hidden="1" x14ac:dyDescent="0.25">
      <c r="A482" s="29" t="s">
        <v>2374</v>
      </c>
      <c r="B482" s="30">
        <v>1</v>
      </c>
    </row>
    <row r="483" spans="1:2" hidden="1" x14ac:dyDescent="0.25">
      <c r="A483" s="29" t="s">
        <v>941</v>
      </c>
      <c r="B483" s="30">
        <v>1</v>
      </c>
    </row>
    <row r="484" spans="1:2" hidden="1" x14ac:dyDescent="0.25">
      <c r="A484" s="29" t="s">
        <v>23</v>
      </c>
      <c r="B484" s="30">
        <v>1</v>
      </c>
    </row>
    <row r="485" spans="1:2" hidden="1" x14ac:dyDescent="0.25">
      <c r="A485" s="29" t="s">
        <v>923</v>
      </c>
      <c r="B485" s="30">
        <v>1</v>
      </c>
    </row>
    <row r="486" spans="1:2" hidden="1" x14ac:dyDescent="0.25">
      <c r="A486" s="29" t="s">
        <v>1025</v>
      </c>
      <c r="B486" s="30">
        <v>1</v>
      </c>
    </row>
    <row r="487" spans="1:2" hidden="1" x14ac:dyDescent="0.25">
      <c r="A487" s="29" t="s">
        <v>950</v>
      </c>
      <c r="B487" s="30">
        <v>1</v>
      </c>
    </row>
    <row r="488" spans="1:2" hidden="1" x14ac:dyDescent="0.25">
      <c r="A488" s="29" t="s">
        <v>903</v>
      </c>
      <c r="B488" s="30">
        <v>1</v>
      </c>
    </row>
    <row r="489" spans="1:2" hidden="1" x14ac:dyDescent="0.25">
      <c r="A489" s="29" t="s">
        <v>18</v>
      </c>
      <c r="B489" s="30">
        <v>1</v>
      </c>
    </row>
    <row r="490" spans="1:2" hidden="1" x14ac:dyDescent="0.25">
      <c r="A490" s="29" t="s">
        <v>905</v>
      </c>
      <c r="B490" s="30">
        <v>1</v>
      </c>
    </row>
    <row r="491" spans="1:2" x14ac:dyDescent="0.25">
      <c r="A491" s="26" t="s">
        <v>702</v>
      </c>
      <c r="B491" s="30">
        <v>4</v>
      </c>
    </row>
    <row r="492" spans="1:2" hidden="1" x14ac:dyDescent="0.25">
      <c r="A492" s="29" t="s">
        <v>1033</v>
      </c>
      <c r="B492" s="30">
        <v>1</v>
      </c>
    </row>
    <row r="493" spans="1:2" hidden="1" x14ac:dyDescent="0.25">
      <c r="A493" s="29" t="s">
        <v>1483</v>
      </c>
      <c r="B493" s="30">
        <v>1</v>
      </c>
    </row>
    <row r="494" spans="1:2" x14ac:dyDescent="0.25">
      <c r="A494" s="29" t="s">
        <v>941</v>
      </c>
      <c r="B494" s="30">
        <v>2</v>
      </c>
    </row>
    <row r="495" spans="1:2" x14ac:dyDescent="0.25">
      <c r="A495" s="26" t="s">
        <v>2583</v>
      </c>
      <c r="B495" s="30">
        <v>3</v>
      </c>
    </row>
    <row r="496" spans="1:2" hidden="1" x14ac:dyDescent="0.25">
      <c r="A496" s="29" t="s">
        <v>2374</v>
      </c>
      <c r="B496" s="30">
        <v>1</v>
      </c>
    </row>
    <row r="497" spans="1:2" hidden="1" x14ac:dyDescent="0.25">
      <c r="A497" s="29" t="s">
        <v>954</v>
      </c>
      <c r="B497" s="30">
        <v>1</v>
      </c>
    </row>
    <row r="498" spans="1:2" hidden="1" x14ac:dyDescent="0.25">
      <c r="A498" s="29" t="s">
        <v>1042</v>
      </c>
      <c r="B498" s="30">
        <v>1</v>
      </c>
    </row>
    <row r="499" spans="1:2" x14ac:dyDescent="0.25">
      <c r="A499" s="26" t="s">
        <v>496</v>
      </c>
      <c r="B499" s="30">
        <v>7</v>
      </c>
    </row>
    <row r="500" spans="1:2" hidden="1" x14ac:dyDescent="0.25">
      <c r="A500" s="29" t="s">
        <v>2374</v>
      </c>
      <c r="B500" s="30">
        <v>1</v>
      </c>
    </row>
    <row r="501" spans="1:2" hidden="1" x14ac:dyDescent="0.25">
      <c r="A501" s="29" t="s">
        <v>941</v>
      </c>
      <c r="B501" s="30">
        <v>1</v>
      </c>
    </row>
    <row r="502" spans="1:2" hidden="1" x14ac:dyDescent="0.25">
      <c r="A502" s="29" t="s">
        <v>23</v>
      </c>
      <c r="B502" s="30">
        <v>1</v>
      </c>
    </row>
    <row r="503" spans="1:2" hidden="1" x14ac:dyDescent="0.25">
      <c r="A503" s="29" t="s">
        <v>923</v>
      </c>
      <c r="B503" s="30">
        <v>1</v>
      </c>
    </row>
    <row r="504" spans="1:2" hidden="1" x14ac:dyDescent="0.25">
      <c r="A504" s="29" t="s">
        <v>950</v>
      </c>
      <c r="B504" s="30">
        <v>1</v>
      </c>
    </row>
    <row r="505" spans="1:2" hidden="1" x14ac:dyDescent="0.25">
      <c r="A505" s="29" t="s">
        <v>1028</v>
      </c>
      <c r="B505" s="30">
        <v>1</v>
      </c>
    </row>
    <row r="506" spans="1:2" hidden="1" x14ac:dyDescent="0.25">
      <c r="A506" s="29" t="s">
        <v>18</v>
      </c>
      <c r="B506" s="30">
        <v>1</v>
      </c>
    </row>
    <row r="507" spans="1:2" x14ac:dyDescent="0.25">
      <c r="A507" s="26" t="s">
        <v>774</v>
      </c>
      <c r="B507" s="30">
        <v>5</v>
      </c>
    </row>
    <row r="508" spans="1:2" hidden="1" x14ac:dyDescent="0.25">
      <c r="A508" s="29" t="s">
        <v>941</v>
      </c>
      <c r="B508" s="30">
        <v>1</v>
      </c>
    </row>
    <row r="509" spans="1:2" x14ac:dyDescent="0.25">
      <c r="A509" s="29" t="s">
        <v>960</v>
      </c>
      <c r="B509" s="30">
        <v>2</v>
      </c>
    </row>
    <row r="510" spans="1:2" hidden="1" x14ac:dyDescent="0.25">
      <c r="A510" s="29" t="s">
        <v>1042</v>
      </c>
      <c r="B510" s="30">
        <v>1</v>
      </c>
    </row>
    <row r="511" spans="1:2" hidden="1" x14ac:dyDescent="0.25">
      <c r="A511" s="29" t="s">
        <v>1123</v>
      </c>
      <c r="B511" s="30">
        <v>1</v>
      </c>
    </row>
    <row r="512" spans="1:2" x14ac:dyDescent="0.25">
      <c r="A512" s="26" t="s">
        <v>777</v>
      </c>
      <c r="B512" s="30">
        <v>5</v>
      </c>
    </row>
    <row r="513" spans="1:2" hidden="1" x14ac:dyDescent="0.25">
      <c r="A513" s="29" t="s">
        <v>941</v>
      </c>
      <c r="B513" s="30">
        <v>1</v>
      </c>
    </row>
    <row r="514" spans="1:2" x14ac:dyDescent="0.25">
      <c r="A514" s="29" t="s">
        <v>960</v>
      </c>
      <c r="B514" s="30">
        <v>2</v>
      </c>
    </row>
    <row r="515" spans="1:2" hidden="1" x14ac:dyDescent="0.25">
      <c r="A515" s="29" t="s">
        <v>1042</v>
      </c>
      <c r="B515" s="30">
        <v>1</v>
      </c>
    </row>
    <row r="516" spans="1:2" hidden="1" x14ac:dyDescent="0.25">
      <c r="A516" s="29" t="s">
        <v>1123</v>
      </c>
      <c r="B516" s="30">
        <v>1</v>
      </c>
    </row>
    <row r="517" spans="1:2" x14ac:dyDescent="0.25">
      <c r="A517" s="26" t="s">
        <v>2584</v>
      </c>
      <c r="B517" s="30">
        <v>4</v>
      </c>
    </row>
    <row r="518" spans="1:2" hidden="1" x14ac:dyDescent="0.25">
      <c r="A518" s="29" t="s">
        <v>617</v>
      </c>
      <c r="B518" s="30">
        <v>1</v>
      </c>
    </row>
    <row r="519" spans="1:2" hidden="1" x14ac:dyDescent="0.25">
      <c r="A519" s="29" t="s">
        <v>2009</v>
      </c>
      <c r="B519" s="30">
        <v>1</v>
      </c>
    </row>
    <row r="520" spans="1:2" hidden="1" x14ac:dyDescent="0.25">
      <c r="A520" s="29" t="s">
        <v>2002</v>
      </c>
      <c r="B520" s="30">
        <v>1</v>
      </c>
    </row>
    <row r="521" spans="1:2" hidden="1" x14ac:dyDescent="0.25">
      <c r="A521" s="29" t="s">
        <v>2059</v>
      </c>
      <c r="B521" s="30">
        <v>1</v>
      </c>
    </row>
    <row r="522" spans="1:2" x14ac:dyDescent="0.25">
      <c r="A522" s="26" t="s">
        <v>563</v>
      </c>
      <c r="B522" s="30">
        <v>7</v>
      </c>
    </row>
    <row r="523" spans="1:2" hidden="1" x14ac:dyDescent="0.25">
      <c r="A523" s="29" t="s">
        <v>960</v>
      </c>
      <c r="B523" s="30">
        <v>1</v>
      </c>
    </row>
    <row r="524" spans="1:2" hidden="1" x14ac:dyDescent="0.25">
      <c r="A524" s="29" t="s">
        <v>1126</v>
      </c>
      <c r="B524" s="30">
        <v>1</v>
      </c>
    </row>
    <row r="525" spans="1:2" hidden="1" x14ac:dyDescent="0.25">
      <c r="A525" s="29" t="s">
        <v>1042</v>
      </c>
      <c r="B525" s="30">
        <v>1</v>
      </c>
    </row>
    <row r="526" spans="1:2" hidden="1" x14ac:dyDescent="0.25">
      <c r="A526" s="29" t="s">
        <v>1828</v>
      </c>
      <c r="B526" s="30">
        <v>1</v>
      </c>
    </row>
    <row r="527" spans="1:2" x14ac:dyDescent="0.25">
      <c r="A527" s="29" t="s">
        <v>1129</v>
      </c>
      <c r="B527" s="30">
        <v>2</v>
      </c>
    </row>
    <row r="528" spans="1:2" hidden="1" x14ac:dyDescent="0.25">
      <c r="A528" s="29" t="s">
        <v>1123</v>
      </c>
      <c r="B528" s="30">
        <v>1</v>
      </c>
    </row>
    <row r="529" spans="1:2" x14ac:dyDescent="0.25">
      <c r="A529" s="26" t="s">
        <v>704</v>
      </c>
      <c r="B529" s="30">
        <v>5</v>
      </c>
    </row>
    <row r="530" spans="1:2" hidden="1" x14ac:dyDescent="0.25">
      <c r="A530" s="29" t="s">
        <v>1033</v>
      </c>
      <c r="B530" s="30">
        <v>1</v>
      </c>
    </row>
    <row r="531" spans="1:2" hidden="1" x14ac:dyDescent="0.25">
      <c r="A531" s="29" t="s">
        <v>2374</v>
      </c>
      <c r="B531" s="30">
        <v>1</v>
      </c>
    </row>
    <row r="532" spans="1:2" hidden="1" x14ac:dyDescent="0.25">
      <c r="A532" s="29" t="s">
        <v>1483</v>
      </c>
      <c r="B532" s="30">
        <v>1</v>
      </c>
    </row>
    <row r="533" spans="1:2" x14ac:dyDescent="0.25">
      <c r="A533" s="29" t="s">
        <v>941</v>
      </c>
      <c r="B533" s="30">
        <v>2</v>
      </c>
    </row>
    <row r="534" spans="1:2" x14ac:dyDescent="0.25">
      <c r="A534" s="26" t="s">
        <v>824</v>
      </c>
      <c r="B534" s="30">
        <v>5</v>
      </c>
    </row>
    <row r="535" spans="1:2" hidden="1" x14ac:dyDescent="0.25">
      <c r="A535" s="29" t="s">
        <v>1033</v>
      </c>
      <c r="B535" s="30">
        <v>1</v>
      </c>
    </row>
    <row r="536" spans="1:2" hidden="1" x14ac:dyDescent="0.25">
      <c r="A536" s="29" t="s">
        <v>2374</v>
      </c>
      <c r="B536" s="30">
        <v>1</v>
      </c>
    </row>
    <row r="537" spans="1:2" hidden="1" x14ac:dyDescent="0.25">
      <c r="A537" s="29" t="s">
        <v>1483</v>
      </c>
      <c r="B537" s="30">
        <v>1</v>
      </c>
    </row>
    <row r="538" spans="1:2" x14ac:dyDescent="0.25">
      <c r="A538" s="29" t="s">
        <v>941</v>
      </c>
      <c r="B538" s="30">
        <v>2</v>
      </c>
    </row>
    <row r="539" spans="1:2" x14ac:dyDescent="0.25">
      <c r="A539" s="26" t="s">
        <v>788</v>
      </c>
      <c r="B539" s="30">
        <v>8</v>
      </c>
    </row>
    <row r="540" spans="1:2" hidden="1" x14ac:dyDescent="0.25">
      <c r="A540" s="29" t="s">
        <v>941</v>
      </c>
      <c r="B540" s="30">
        <v>1</v>
      </c>
    </row>
    <row r="541" spans="1:2" hidden="1" x14ac:dyDescent="0.25">
      <c r="A541" s="29" t="s">
        <v>960</v>
      </c>
      <c r="B541" s="30">
        <v>1</v>
      </c>
    </row>
    <row r="542" spans="1:2" hidden="1" x14ac:dyDescent="0.25">
      <c r="A542" s="29" t="s">
        <v>1142</v>
      </c>
      <c r="B542" s="30">
        <v>1</v>
      </c>
    </row>
    <row r="543" spans="1:2" hidden="1" x14ac:dyDescent="0.25">
      <c r="A543" s="29" t="s">
        <v>1042</v>
      </c>
      <c r="B543" s="30">
        <v>1</v>
      </c>
    </row>
    <row r="544" spans="1:2" hidden="1" x14ac:dyDescent="0.25">
      <c r="A544" s="29" t="s">
        <v>970</v>
      </c>
      <c r="B544" s="30">
        <v>1</v>
      </c>
    </row>
    <row r="545" spans="1:2" hidden="1" x14ac:dyDescent="0.25">
      <c r="A545" s="29" t="s">
        <v>1129</v>
      </c>
      <c r="B545" s="30">
        <v>1</v>
      </c>
    </row>
    <row r="546" spans="1:2" x14ac:dyDescent="0.25">
      <c r="A546" s="29" t="s">
        <v>1123</v>
      </c>
      <c r="B546" s="30">
        <v>2</v>
      </c>
    </row>
    <row r="547" spans="1:2" x14ac:dyDescent="0.25">
      <c r="A547" s="26" t="s">
        <v>567</v>
      </c>
      <c r="B547" s="30">
        <v>5</v>
      </c>
    </row>
    <row r="548" spans="1:2" hidden="1" x14ac:dyDescent="0.25">
      <c r="A548" s="29" t="s">
        <v>941</v>
      </c>
      <c r="B548" s="30">
        <v>1</v>
      </c>
    </row>
    <row r="549" spans="1:2" x14ac:dyDescent="0.25">
      <c r="A549" s="29" t="s">
        <v>960</v>
      </c>
      <c r="B549" s="30">
        <v>2</v>
      </c>
    </row>
    <row r="550" spans="1:2" hidden="1" x14ac:dyDescent="0.25">
      <c r="A550" s="29" t="s">
        <v>1042</v>
      </c>
      <c r="B550" s="30">
        <v>1</v>
      </c>
    </row>
    <row r="551" spans="1:2" hidden="1" x14ac:dyDescent="0.25">
      <c r="A551" s="29" t="s">
        <v>1123</v>
      </c>
      <c r="B551" s="30">
        <v>1</v>
      </c>
    </row>
    <row r="552" spans="1:2" x14ac:dyDescent="0.25">
      <c r="A552" s="26" t="s">
        <v>565</v>
      </c>
      <c r="B552" s="30">
        <v>6</v>
      </c>
    </row>
    <row r="553" spans="1:2" hidden="1" x14ac:dyDescent="0.25">
      <c r="A553" s="29" t="s">
        <v>941</v>
      </c>
      <c r="B553" s="30">
        <v>1</v>
      </c>
    </row>
    <row r="554" spans="1:2" hidden="1" x14ac:dyDescent="0.25">
      <c r="A554" s="29" t="s">
        <v>960</v>
      </c>
      <c r="B554" s="30">
        <v>1</v>
      </c>
    </row>
    <row r="555" spans="1:2" hidden="1" x14ac:dyDescent="0.25">
      <c r="A555" s="29" t="s">
        <v>1042</v>
      </c>
      <c r="B555" s="30">
        <v>1</v>
      </c>
    </row>
    <row r="556" spans="1:2" hidden="1" x14ac:dyDescent="0.25">
      <c r="A556" s="29" t="s">
        <v>1828</v>
      </c>
      <c r="B556" s="30">
        <v>1</v>
      </c>
    </row>
    <row r="557" spans="1:2" hidden="1" x14ac:dyDescent="0.25">
      <c r="A557" s="29" t="s">
        <v>1129</v>
      </c>
      <c r="B557" s="30">
        <v>1</v>
      </c>
    </row>
    <row r="558" spans="1:2" hidden="1" x14ac:dyDescent="0.25">
      <c r="A558" s="29" t="s">
        <v>1123</v>
      </c>
      <c r="B558" s="30">
        <v>1</v>
      </c>
    </row>
    <row r="559" spans="1:2" x14ac:dyDescent="0.25">
      <c r="A559" s="26" t="s">
        <v>621</v>
      </c>
      <c r="B559" s="30">
        <v>9</v>
      </c>
    </row>
    <row r="560" spans="1:2" x14ac:dyDescent="0.25">
      <c r="A560" s="29" t="s">
        <v>617</v>
      </c>
      <c r="B560" s="30">
        <v>2</v>
      </c>
    </row>
    <row r="561" spans="1:2" hidden="1" x14ac:dyDescent="0.25">
      <c r="A561" s="29" t="s">
        <v>1565</v>
      </c>
      <c r="B561" s="30">
        <v>1</v>
      </c>
    </row>
    <row r="562" spans="1:2" hidden="1" x14ac:dyDescent="0.25">
      <c r="A562" s="29" t="s">
        <v>635</v>
      </c>
      <c r="B562" s="30">
        <v>1</v>
      </c>
    </row>
    <row r="563" spans="1:2" hidden="1" x14ac:dyDescent="0.25">
      <c r="A563" s="29" t="s">
        <v>2087</v>
      </c>
      <c r="B563" s="30">
        <v>1</v>
      </c>
    </row>
    <row r="564" spans="1:2" hidden="1" x14ac:dyDescent="0.25">
      <c r="A564" s="29" t="s">
        <v>2009</v>
      </c>
      <c r="B564" s="30">
        <v>1</v>
      </c>
    </row>
    <row r="565" spans="1:2" hidden="1" x14ac:dyDescent="0.25">
      <c r="A565" s="29" t="s">
        <v>2059</v>
      </c>
      <c r="B565" s="30">
        <v>1</v>
      </c>
    </row>
    <row r="566" spans="1:2" hidden="1" x14ac:dyDescent="0.25">
      <c r="A566" s="29" t="s">
        <v>2012</v>
      </c>
      <c r="B566" s="30">
        <v>1</v>
      </c>
    </row>
    <row r="567" spans="1:2" hidden="1" x14ac:dyDescent="0.25">
      <c r="A567" s="29" t="s">
        <v>1202</v>
      </c>
      <c r="B567" s="30">
        <v>1</v>
      </c>
    </row>
    <row r="568" spans="1:2" x14ac:dyDescent="0.25">
      <c r="A568" s="26" t="s">
        <v>500</v>
      </c>
      <c r="B568" s="30">
        <v>7</v>
      </c>
    </row>
    <row r="569" spans="1:2" hidden="1" x14ac:dyDescent="0.25">
      <c r="A569" s="29" t="s">
        <v>941</v>
      </c>
      <c r="B569" s="30">
        <v>1</v>
      </c>
    </row>
    <row r="570" spans="1:2" hidden="1" x14ac:dyDescent="0.25">
      <c r="A570" s="29" t="s">
        <v>23</v>
      </c>
      <c r="B570" s="30">
        <v>1</v>
      </c>
    </row>
    <row r="571" spans="1:2" hidden="1" x14ac:dyDescent="0.25">
      <c r="A571" s="29" t="s">
        <v>1225</v>
      </c>
      <c r="B571" s="30">
        <v>1</v>
      </c>
    </row>
    <row r="572" spans="1:2" hidden="1" x14ac:dyDescent="0.25">
      <c r="A572" s="29" t="s">
        <v>923</v>
      </c>
      <c r="B572" s="30">
        <v>1</v>
      </c>
    </row>
    <row r="573" spans="1:2" hidden="1" x14ac:dyDescent="0.25">
      <c r="A573" s="29" t="s">
        <v>1025</v>
      </c>
      <c r="B573" s="30">
        <v>1</v>
      </c>
    </row>
    <row r="574" spans="1:2" hidden="1" x14ac:dyDescent="0.25">
      <c r="A574" s="29" t="s">
        <v>950</v>
      </c>
      <c r="B574" s="30">
        <v>1</v>
      </c>
    </row>
    <row r="575" spans="1:2" hidden="1" x14ac:dyDescent="0.25">
      <c r="A575" s="29" t="s">
        <v>18</v>
      </c>
      <c r="B575" s="30">
        <v>1</v>
      </c>
    </row>
    <row r="576" spans="1:2" x14ac:dyDescent="0.25">
      <c r="A576" s="26" t="s">
        <v>504</v>
      </c>
      <c r="B576" s="30">
        <v>3</v>
      </c>
    </row>
    <row r="577" spans="1:2" hidden="1" x14ac:dyDescent="0.25">
      <c r="A577" s="29" t="s">
        <v>903</v>
      </c>
      <c r="B577" s="30">
        <v>1</v>
      </c>
    </row>
    <row r="578" spans="1:2" hidden="1" x14ac:dyDescent="0.25">
      <c r="A578" s="29" t="s">
        <v>905</v>
      </c>
      <c r="B578" s="30">
        <v>1</v>
      </c>
    </row>
    <row r="579" spans="1:2" hidden="1" x14ac:dyDescent="0.25">
      <c r="A579" s="29" t="s">
        <v>899</v>
      </c>
      <c r="B579" s="30">
        <v>1</v>
      </c>
    </row>
    <row r="580" spans="1:2" x14ac:dyDescent="0.25">
      <c r="A580" s="26" t="s">
        <v>627</v>
      </c>
      <c r="B580" s="30">
        <v>8</v>
      </c>
    </row>
    <row r="581" spans="1:2" hidden="1" x14ac:dyDescent="0.25">
      <c r="A581" s="29" t="s">
        <v>1557</v>
      </c>
      <c r="B581" s="30">
        <v>1</v>
      </c>
    </row>
    <row r="582" spans="1:2" hidden="1" x14ac:dyDescent="0.25">
      <c r="A582" s="29" t="s">
        <v>22</v>
      </c>
      <c r="B582" s="30">
        <v>1</v>
      </c>
    </row>
    <row r="583" spans="1:2" hidden="1" x14ac:dyDescent="0.25">
      <c r="A583" s="29" t="s">
        <v>2126</v>
      </c>
      <c r="B583" s="30">
        <v>1</v>
      </c>
    </row>
    <row r="584" spans="1:2" hidden="1" x14ac:dyDescent="0.25">
      <c r="A584" s="29" t="s">
        <v>970</v>
      </c>
      <c r="B584" s="30">
        <v>1</v>
      </c>
    </row>
    <row r="585" spans="1:2" hidden="1" x14ac:dyDescent="0.25">
      <c r="A585" s="29" t="s">
        <v>966</v>
      </c>
      <c r="B585" s="30">
        <v>1</v>
      </c>
    </row>
    <row r="586" spans="1:2" hidden="1" x14ac:dyDescent="0.25">
      <c r="A586" s="29" t="s">
        <v>1565</v>
      </c>
      <c r="B586" s="30">
        <v>1</v>
      </c>
    </row>
    <row r="587" spans="1:2" hidden="1" x14ac:dyDescent="0.25">
      <c r="A587" s="29" t="s">
        <v>2129</v>
      </c>
      <c r="B587" s="30">
        <v>1</v>
      </c>
    </row>
    <row r="588" spans="1:2" hidden="1" x14ac:dyDescent="0.25">
      <c r="A588" s="29" t="s">
        <v>21</v>
      </c>
      <c r="B588" s="30">
        <v>1</v>
      </c>
    </row>
    <row r="589" spans="1:2" x14ac:dyDescent="0.25">
      <c r="A589" s="26" t="s">
        <v>623</v>
      </c>
      <c r="B589" s="30">
        <v>7</v>
      </c>
    </row>
    <row r="590" spans="1:2" hidden="1" x14ac:dyDescent="0.25">
      <c r="A590" s="29" t="s">
        <v>22</v>
      </c>
      <c r="B590" s="30">
        <v>1</v>
      </c>
    </row>
    <row r="591" spans="1:2" hidden="1" x14ac:dyDescent="0.25">
      <c r="A591" s="29" t="s">
        <v>617</v>
      </c>
      <c r="B591" s="30">
        <v>1</v>
      </c>
    </row>
    <row r="592" spans="1:2" hidden="1" x14ac:dyDescent="0.25">
      <c r="A592" s="29" t="s">
        <v>1565</v>
      </c>
      <c r="B592" s="30">
        <v>1</v>
      </c>
    </row>
    <row r="593" spans="1:2" hidden="1" x14ac:dyDescent="0.25">
      <c r="A593" s="29" t="s">
        <v>2003</v>
      </c>
      <c r="B593" s="30">
        <v>1</v>
      </c>
    </row>
    <row r="594" spans="1:2" hidden="1" x14ac:dyDescent="0.25">
      <c r="A594" s="29" t="s">
        <v>2009</v>
      </c>
      <c r="B594" s="30">
        <v>1</v>
      </c>
    </row>
    <row r="595" spans="1:2" hidden="1" x14ac:dyDescent="0.25">
      <c r="A595" s="29" t="s">
        <v>2059</v>
      </c>
      <c r="B595" s="30">
        <v>1</v>
      </c>
    </row>
    <row r="596" spans="1:2" hidden="1" x14ac:dyDescent="0.25">
      <c r="A596" s="29" t="s">
        <v>2012</v>
      </c>
      <c r="B596" s="30">
        <v>1</v>
      </c>
    </row>
    <row r="597" spans="1:2" x14ac:dyDescent="0.25">
      <c r="A597" s="26" t="s">
        <v>631</v>
      </c>
      <c r="B597" s="30">
        <v>6</v>
      </c>
    </row>
    <row r="598" spans="1:2" hidden="1" x14ac:dyDescent="0.25">
      <c r="A598" s="29" t="s">
        <v>23</v>
      </c>
      <c r="B598" s="30">
        <v>1</v>
      </c>
    </row>
    <row r="599" spans="1:2" hidden="1" x14ac:dyDescent="0.25">
      <c r="A599" s="29" t="s">
        <v>22</v>
      </c>
      <c r="B599" s="30">
        <v>1</v>
      </c>
    </row>
    <row r="600" spans="1:2" hidden="1" x14ac:dyDescent="0.25">
      <c r="A600" s="29" t="s">
        <v>1225</v>
      </c>
      <c r="B600" s="30">
        <v>1</v>
      </c>
    </row>
    <row r="601" spans="1:2" hidden="1" x14ac:dyDescent="0.25">
      <c r="A601" s="29" t="s">
        <v>18</v>
      </c>
      <c r="B601" s="30">
        <v>1</v>
      </c>
    </row>
    <row r="602" spans="1:2" x14ac:dyDescent="0.25">
      <c r="A602" s="29" t="s">
        <v>21</v>
      </c>
      <c r="B602" s="30">
        <v>2</v>
      </c>
    </row>
    <row r="603" spans="1:2" x14ac:dyDescent="0.25">
      <c r="A603" s="26" t="s">
        <v>629</v>
      </c>
      <c r="B603" s="30">
        <v>6</v>
      </c>
    </row>
    <row r="604" spans="1:2" hidden="1" x14ac:dyDescent="0.25">
      <c r="A604" s="29" t="s">
        <v>23</v>
      </c>
      <c r="B604" s="30">
        <v>1</v>
      </c>
    </row>
    <row r="605" spans="1:2" hidden="1" x14ac:dyDescent="0.25">
      <c r="A605" s="29" t="s">
        <v>22</v>
      </c>
      <c r="B605" s="30">
        <v>1</v>
      </c>
    </row>
    <row r="606" spans="1:2" hidden="1" x14ac:dyDescent="0.25">
      <c r="A606" s="29" t="s">
        <v>1225</v>
      </c>
      <c r="B606" s="30">
        <v>1</v>
      </c>
    </row>
    <row r="607" spans="1:2" hidden="1" x14ac:dyDescent="0.25">
      <c r="A607" s="29" t="s">
        <v>698</v>
      </c>
      <c r="B607" s="30">
        <v>1</v>
      </c>
    </row>
    <row r="608" spans="1:2" hidden="1" x14ac:dyDescent="0.25">
      <c r="A608" s="29" t="s">
        <v>18</v>
      </c>
      <c r="B608" s="30">
        <v>1</v>
      </c>
    </row>
    <row r="609" spans="1:2" hidden="1" x14ac:dyDescent="0.25">
      <c r="A609" s="29" t="s">
        <v>21</v>
      </c>
      <c r="B609" s="30">
        <v>1</v>
      </c>
    </row>
    <row r="610" spans="1:2" x14ac:dyDescent="0.25">
      <c r="A610" s="26" t="s">
        <v>502</v>
      </c>
      <c r="B610" s="30">
        <v>7</v>
      </c>
    </row>
    <row r="611" spans="1:2" hidden="1" x14ac:dyDescent="0.25">
      <c r="A611" s="29" t="s">
        <v>941</v>
      </c>
      <c r="B611" s="30">
        <v>1</v>
      </c>
    </row>
    <row r="612" spans="1:2" hidden="1" x14ac:dyDescent="0.25">
      <c r="A612" s="29" t="s">
        <v>960</v>
      </c>
      <c r="B612" s="30">
        <v>1</v>
      </c>
    </row>
    <row r="613" spans="1:2" hidden="1" x14ac:dyDescent="0.25">
      <c r="A613" s="29" t="s">
        <v>954</v>
      </c>
      <c r="B613" s="30">
        <v>1</v>
      </c>
    </row>
    <row r="614" spans="1:2" hidden="1" x14ac:dyDescent="0.25">
      <c r="A614" s="29" t="s">
        <v>950</v>
      </c>
      <c r="B614" s="30">
        <v>1</v>
      </c>
    </row>
    <row r="615" spans="1:2" hidden="1" x14ac:dyDescent="0.25">
      <c r="A615" s="29" t="s">
        <v>903</v>
      </c>
      <c r="B615" s="30">
        <v>1</v>
      </c>
    </row>
    <row r="616" spans="1:2" hidden="1" x14ac:dyDescent="0.25">
      <c r="A616" s="29" t="s">
        <v>970</v>
      </c>
      <c r="B616" s="30">
        <v>1</v>
      </c>
    </row>
    <row r="617" spans="1:2" hidden="1" x14ac:dyDescent="0.25">
      <c r="A617" s="29" t="s">
        <v>905</v>
      </c>
      <c r="B617" s="30">
        <v>1</v>
      </c>
    </row>
    <row r="618" spans="1:2" x14ac:dyDescent="0.25">
      <c r="A618" s="26" t="s">
        <v>625</v>
      </c>
      <c r="B618" s="30">
        <v>10</v>
      </c>
    </row>
    <row r="619" spans="1:2" hidden="1" x14ac:dyDescent="0.25">
      <c r="A619" s="29" t="s">
        <v>2374</v>
      </c>
      <c r="B619" s="30">
        <v>1</v>
      </c>
    </row>
    <row r="620" spans="1:2" hidden="1" x14ac:dyDescent="0.25">
      <c r="A620" s="29" t="s">
        <v>22</v>
      </c>
      <c r="B620" s="30">
        <v>1</v>
      </c>
    </row>
    <row r="621" spans="1:2" hidden="1" x14ac:dyDescent="0.25">
      <c r="A621" s="29" t="s">
        <v>1225</v>
      </c>
      <c r="B621" s="30">
        <v>1</v>
      </c>
    </row>
    <row r="622" spans="1:2" hidden="1" x14ac:dyDescent="0.25">
      <c r="A622" s="29" t="s">
        <v>698</v>
      </c>
      <c r="B622" s="30">
        <v>1</v>
      </c>
    </row>
    <row r="623" spans="1:2" hidden="1" x14ac:dyDescent="0.25">
      <c r="A623" s="29" t="s">
        <v>1025</v>
      </c>
      <c r="B623" s="30">
        <v>1</v>
      </c>
    </row>
    <row r="624" spans="1:2" hidden="1" x14ac:dyDescent="0.25">
      <c r="A624" s="29" t="s">
        <v>950</v>
      </c>
      <c r="B624" s="30">
        <v>1</v>
      </c>
    </row>
    <row r="625" spans="1:2" hidden="1" x14ac:dyDescent="0.25">
      <c r="A625" s="29" t="s">
        <v>903</v>
      </c>
      <c r="B625" s="30">
        <v>1</v>
      </c>
    </row>
    <row r="626" spans="1:2" x14ac:dyDescent="0.25">
      <c r="A626" s="29" t="s">
        <v>18</v>
      </c>
      <c r="B626" s="30">
        <v>2</v>
      </c>
    </row>
    <row r="627" spans="1:2" hidden="1" x14ac:dyDescent="0.25">
      <c r="A627" s="29" t="s">
        <v>21</v>
      </c>
      <c r="B627" s="30">
        <v>1</v>
      </c>
    </row>
    <row r="628" spans="1:2" x14ac:dyDescent="0.25">
      <c r="A628" s="26" t="s">
        <v>506</v>
      </c>
      <c r="B628" s="30">
        <v>8</v>
      </c>
    </row>
    <row r="629" spans="1:2" hidden="1" x14ac:dyDescent="0.25">
      <c r="A629" s="29" t="s">
        <v>2374</v>
      </c>
      <c r="B629" s="30">
        <v>1</v>
      </c>
    </row>
    <row r="630" spans="1:2" hidden="1" x14ac:dyDescent="0.25">
      <c r="A630" s="29" t="s">
        <v>941</v>
      </c>
      <c r="B630" s="30">
        <v>1</v>
      </c>
    </row>
    <row r="631" spans="1:2" hidden="1" x14ac:dyDescent="0.25">
      <c r="A631" s="29" t="s">
        <v>23</v>
      </c>
      <c r="B631" s="30">
        <v>1</v>
      </c>
    </row>
    <row r="632" spans="1:2" hidden="1" x14ac:dyDescent="0.25">
      <c r="A632" s="29" t="s">
        <v>923</v>
      </c>
      <c r="B632" s="30">
        <v>1</v>
      </c>
    </row>
    <row r="633" spans="1:2" hidden="1" x14ac:dyDescent="0.25">
      <c r="A633" s="29" t="s">
        <v>1025</v>
      </c>
      <c r="B633" s="30">
        <v>1</v>
      </c>
    </row>
    <row r="634" spans="1:2" hidden="1" x14ac:dyDescent="0.25">
      <c r="A634" s="29" t="s">
        <v>1028</v>
      </c>
      <c r="B634" s="30">
        <v>1</v>
      </c>
    </row>
    <row r="635" spans="1:2" hidden="1" x14ac:dyDescent="0.25">
      <c r="A635" s="29" t="s">
        <v>18</v>
      </c>
      <c r="B635" s="30">
        <v>1</v>
      </c>
    </row>
    <row r="636" spans="1:2" hidden="1" x14ac:dyDescent="0.25">
      <c r="A636" s="29" t="s">
        <v>1123</v>
      </c>
      <c r="B636" s="30">
        <v>1</v>
      </c>
    </row>
    <row r="637" spans="1:2" x14ac:dyDescent="0.25">
      <c r="A637" s="26" t="s">
        <v>690</v>
      </c>
      <c r="B637" s="30">
        <v>4</v>
      </c>
    </row>
    <row r="638" spans="1:2" hidden="1" x14ac:dyDescent="0.25">
      <c r="A638" s="29" t="s">
        <v>1033</v>
      </c>
      <c r="B638" s="30">
        <v>1</v>
      </c>
    </row>
    <row r="639" spans="1:2" hidden="1" x14ac:dyDescent="0.25">
      <c r="A639" s="29" t="s">
        <v>1483</v>
      </c>
      <c r="B639" s="30">
        <v>1</v>
      </c>
    </row>
    <row r="640" spans="1:2" x14ac:dyDescent="0.25">
      <c r="A640" s="29" t="s">
        <v>941</v>
      </c>
      <c r="B640" s="30">
        <v>2</v>
      </c>
    </row>
    <row r="641" spans="1:2" x14ac:dyDescent="0.25">
      <c r="A641" s="26" t="s">
        <v>569</v>
      </c>
      <c r="B641" s="30">
        <v>6</v>
      </c>
    </row>
    <row r="642" spans="1:2" hidden="1" x14ac:dyDescent="0.25">
      <c r="A642" s="29" t="s">
        <v>941</v>
      </c>
      <c r="B642" s="30">
        <v>1</v>
      </c>
    </row>
    <row r="643" spans="1:2" x14ac:dyDescent="0.25">
      <c r="A643" s="29" t="s">
        <v>960</v>
      </c>
      <c r="B643" s="30">
        <v>2</v>
      </c>
    </row>
    <row r="644" spans="1:2" hidden="1" x14ac:dyDescent="0.25">
      <c r="A644" s="29" t="s">
        <v>1042</v>
      </c>
      <c r="B644" s="30">
        <v>1</v>
      </c>
    </row>
    <row r="645" spans="1:2" hidden="1" x14ac:dyDescent="0.25">
      <c r="A645" s="29" t="s">
        <v>1129</v>
      </c>
      <c r="B645" s="30">
        <v>1</v>
      </c>
    </row>
    <row r="646" spans="1:2" hidden="1" x14ac:dyDescent="0.25">
      <c r="A646" s="29" t="s">
        <v>1123</v>
      </c>
      <c r="B646" s="30">
        <v>1</v>
      </c>
    </row>
    <row r="647" spans="1:2" x14ac:dyDescent="0.25">
      <c r="A647" s="26" t="s">
        <v>635</v>
      </c>
      <c r="B647" s="30">
        <v>5</v>
      </c>
    </row>
    <row r="648" spans="1:2" hidden="1" x14ac:dyDescent="0.25">
      <c r="A648" s="29" t="s">
        <v>617</v>
      </c>
      <c r="B648" s="30">
        <v>1</v>
      </c>
    </row>
    <row r="649" spans="1:2" hidden="1" x14ac:dyDescent="0.25">
      <c r="A649" s="29" t="s">
        <v>635</v>
      </c>
      <c r="B649" s="30">
        <v>1</v>
      </c>
    </row>
    <row r="650" spans="1:2" hidden="1" x14ac:dyDescent="0.25">
      <c r="A650" s="29" t="s">
        <v>2087</v>
      </c>
      <c r="B650" s="30">
        <v>1</v>
      </c>
    </row>
    <row r="651" spans="1:2" hidden="1" x14ac:dyDescent="0.25">
      <c r="A651" s="29" t="s">
        <v>2009</v>
      </c>
      <c r="B651" s="30">
        <v>1</v>
      </c>
    </row>
    <row r="652" spans="1:2" hidden="1" x14ac:dyDescent="0.25">
      <c r="A652" s="29" t="s">
        <v>2059</v>
      </c>
      <c r="B652" s="30">
        <v>1</v>
      </c>
    </row>
    <row r="653" spans="1:2" x14ac:dyDescent="0.25">
      <c r="A653" s="26" t="s">
        <v>633</v>
      </c>
      <c r="B653" s="30">
        <v>5</v>
      </c>
    </row>
    <row r="654" spans="1:2" hidden="1" x14ac:dyDescent="0.25">
      <c r="A654" s="29" t="s">
        <v>23</v>
      </c>
      <c r="B654" s="30">
        <v>1</v>
      </c>
    </row>
    <row r="655" spans="1:2" hidden="1" x14ac:dyDescent="0.25">
      <c r="A655" s="29" t="s">
        <v>22</v>
      </c>
      <c r="B655" s="30">
        <v>1</v>
      </c>
    </row>
    <row r="656" spans="1:2" hidden="1" x14ac:dyDescent="0.25">
      <c r="A656" s="29" t="s">
        <v>698</v>
      </c>
      <c r="B656" s="30">
        <v>1</v>
      </c>
    </row>
    <row r="657" spans="1:2" hidden="1" x14ac:dyDescent="0.25">
      <c r="A657" s="29" t="s">
        <v>18</v>
      </c>
      <c r="B657" s="30">
        <v>1</v>
      </c>
    </row>
    <row r="658" spans="1:2" hidden="1" x14ac:dyDescent="0.25">
      <c r="A658" s="29" t="s">
        <v>21</v>
      </c>
      <c r="B658" s="30">
        <v>1</v>
      </c>
    </row>
    <row r="659" spans="1:2" x14ac:dyDescent="0.25">
      <c r="A659" s="26" t="s">
        <v>641</v>
      </c>
      <c r="B659" s="30">
        <v>8</v>
      </c>
    </row>
    <row r="660" spans="1:2" hidden="1" x14ac:dyDescent="0.25">
      <c r="A660" s="29" t="s">
        <v>23</v>
      </c>
      <c r="B660" s="30">
        <v>1</v>
      </c>
    </row>
    <row r="661" spans="1:2" hidden="1" x14ac:dyDescent="0.25">
      <c r="A661" s="29" t="s">
        <v>1455</v>
      </c>
      <c r="B661" s="30">
        <v>1</v>
      </c>
    </row>
    <row r="662" spans="1:2" x14ac:dyDescent="0.25">
      <c r="A662" s="29" t="s">
        <v>1452</v>
      </c>
      <c r="B662" s="30">
        <v>2</v>
      </c>
    </row>
    <row r="663" spans="1:2" x14ac:dyDescent="0.25">
      <c r="A663" s="29" t="s">
        <v>617</v>
      </c>
      <c r="B663" s="30">
        <v>2</v>
      </c>
    </row>
    <row r="664" spans="1:2" hidden="1" x14ac:dyDescent="0.25">
      <c r="A664" s="29" t="s">
        <v>950</v>
      </c>
      <c r="B664" s="30">
        <v>1</v>
      </c>
    </row>
    <row r="665" spans="1:2" hidden="1" x14ac:dyDescent="0.25">
      <c r="A665" s="29" t="s">
        <v>2087</v>
      </c>
      <c r="B665" s="30">
        <v>1</v>
      </c>
    </row>
    <row r="666" spans="1:2" x14ac:dyDescent="0.25">
      <c r="A666" s="26" t="s">
        <v>706</v>
      </c>
      <c r="B666" s="30">
        <v>6</v>
      </c>
    </row>
    <row r="667" spans="1:2" hidden="1" x14ac:dyDescent="0.25">
      <c r="A667" s="29" t="s">
        <v>1557</v>
      </c>
      <c r="B667" s="30">
        <v>1</v>
      </c>
    </row>
    <row r="668" spans="1:2" hidden="1" x14ac:dyDescent="0.25">
      <c r="A668" s="29" t="s">
        <v>916</v>
      </c>
      <c r="B668" s="30">
        <v>1</v>
      </c>
    </row>
    <row r="669" spans="1:2" hidden="1" x14ac:dyDescent="0.25">
      <c r="A669" s="29" t="s">
        <v>1138</v>
      </c>
      <c r="B669" s="30">
        <v>1</v>
      </c>
    </row>
    <row r="670" spans="1:2" hidden="1" x14ac:dyDescent="0.25">
      <c r="A670" s="29" t="s">
        <v>941</v>
      </c>
      <c r="B670" s="30">
        <v>1</v>
      </c>
    </row>
    <row r="671" spans="1:2" hidden="1" x14ac:dyDescent="0.25">
      <c r="A671" s="29" t="s">
        <v>22</v>
      </c>
      <c r="B671" s="30">
        <v>1</v>
      </c>
    </row>
    <row r="672" spans="1:2" hidden="1" x14ac:dyDescent="0.25">
      <c r="A672" s="29" t="s">
        <v>1565</v>
      </c>
      <c r="B672" s="30">
        <v>1</v>
      </c>
    </row>
    <row r="673" spans="1:2" x14ac:dyDescent="0.25">
      <c r="A673" s="26" t="s">
        <v>2633</v>
      </c>
      <c r="B673" s="30">
        <v>2</v>
      </c>
    </row>
    <row r="674" spans="1:2" hidden="1" x14ac:dyDescent="0.25">
      <c r="A674" s="29" t="s">
        <v>2003</v>
      </c>
      <c r="B674" s="30">
        <v>1</v>
      </c>
    </row>
    <row r="675" spans="1:2" hidden="1" x14ac:dyDescent="0.25">
      <c r="A675" s="29" t="s">
        <v>2002</v>
      </c>
      <c r="B675" s="30">
        <v>1</v>
      </c>
    </row>
    <row r="676" spans="1:2" x14ac:dyDescent="0.25">
      <c r="A676" s="26" t="s">
        <v>678</v>
      </c>
      <c r="B676" s="30">
        <v>7</v>
      </c>
    </row>
    <row r="677" spans="1:2" hidden="1" x14ac:dyDescent="0.25">
      <c r="A677" s="29" t="s">
        <v>941</v>
      </c>
      <c r="B677" s="30">
        <v>1</v>
      </c>
    </row>
    <row r="678" spans="1:2" hidden="1" x14ac:dyDescent="0.25">
      <c r="A678" s="29" t="s">
        <v>23</v>
      </c>
      <c r="B678" s="30">
        <v>1</v>
      </c>
    </row>
    <row r="679" spans="1:2" x14ac:dyDescent="0.25">
      <c r="A679" s="29" t="s">
        <v>923</v>
      </c>
      <c r="B679" s="30">
        <v>3</v>
      </c>
    </row>
    <row r="680" spans="1:2" hidden="1" x14ac:dyDescent="0.25">
      <c r="A680" s="29" t="s">
        <v>950</v>
      </c>
      <c r="B680" s="30">
        <v>1</v>
      </c>
    </row>
    <row r="681" spans="1:2" hidden="1" x14ac:dyDescent="0.25">
      <c r="A681" s="29" t="s">
        <v>18</v>
      </c>
      <c r="B681" s="30">
        <v>1</v>
      </c>
    </row>
    <row r="682" spans="1:2" x14ac:dyDescent="0.25">
      <c r="A682" s="26" t="s">
        <v>639</v>
      </c>
      <c r="B682" s="30">
        <v>6</v>
      </c>
    </row>
    <row r="683" spans="1:2" hidden="1" x14ac:dyDescent="0.25">
      <c r="A683" s="29" t="s">
        <v>916</v>
      </c>
      <c r="B683" s="30">
        <v>1</v>
      </c>
    </row>
    <row r="684" spans="1:2" hidden="1" x14ac:dyDescent="0.25">
      <c r="A684" s="29" t="s">
        <v>22</v>
      </c>
      <c r="B684" s="30">
        <v>1</v>
      </c>
    </row>
    <row r="685" spans="1:2" hidden="1" x14ac:dyDescent="0.25">
      <c r="A685" s="29" t="s">
        <v>698</v>
      </c>
      <c r="B685" s="30">
        <v>1</v>
      </c>
    </row>
    <row r="686" spans="1:2" hidden="1" x14ac:dyDescent="0.25">
      <c r="A686" s="29" t="s">
        <v>1565</v>
      </c>
      <c r="B686" s="30">
        <v>1</v>
      </c>
    </row>
    <row r="687" spans="1:2" hidden="1" x14ac:dyDescent="0.25">
      <c r="A687" s="29" t="s">
        <v>18</v>
      </c>
      <c r="B687" s="30">
        <v>1</v>
      </c>
    </row>
    <row r="688" spans="1:2" hidden="1" x14ac:dyDescent="0.25">
      <c r="A688" s="29" t="s">
        <v>21</v>
      </c>
      <c r="B688" s="30">
        <v>1</v>
      </c>
    </row>
    <row r="689" spans="1:2" x14ac:dyDescent="0.25">
      <c r="A689" s="26" t="s">
        <v>813</v>
      </c>
      <c r="B689" s="30">
        <v>6</v>
      </c>
    </row>
    <row r="690" spans="1:2" hidden="1" x14ac:dyDescent="0.25">
      <c r="A690" s="29" t="s">
        <v>23</v>
      </c>
      <c r="B690" s="30">
        <v>1</v>
      </c>
    </row>
    <row r="691" spans="1:2" hidden="1" x14ac:dyDescent="0.25">
      <c r="A691" s="29" t="s">
        <v>1455</v>
      </c>
      <c r="B691" s="30">
        <v>1</v>
      </c>
    </row>
    <row r="692" spans="1:2" hidden="1" x14ac:dyDescent="0.25">
      <c r="A692" s="29" t="s">
        <v>1452</v>
      </c>
      <c r="B692" s="30">
        <v>1</v>
      </c>
    </row>
    <row r="693" spans="1:2" hidden="1" x14ac:dyDescent="0.25">
      <c r="A693" s="29" t="s">
        <v>617</v>
      </c>
      <c r="B693" s="30">
        <v>1</v>
      </c>
    </row>
    <row r="694" spans="1:2" hidden="1" x14ac:dyDescent="0.25">
      <c r="A694" s="29" t="s">
        <v>950</v>
      </c>
      <c r="B694" s="30">
        <v>1</v>
      </c>
    </row>
    <row r="695" spans="1:2" hidden="1" x14ac:dyDescent="0.25">
      <c r="A695" s="29" t="s">
        <v>2087</v>
      </c>
      <c r="B695" s="30">
        <v>1</v>
      </c>
    </row>
    <row r="696" spans="1:2" x14ac:dyDescent="0.25">
      <c r="A696" s="26" t="s">
        <v>822</v>
      </c>
      <c r="B696" s="30">
        <v>5</v>
      </c>
    </row>
    <row r="697" spans="1:2" hidden="1" x14ac:dyDescent="0.25">
      <c r="A697" s="29" t="s">
        <v>617</v>
      </c>
      <c r="B697" s="30">
        <v>1</v>
      </c>
    </row>
    <row r="698" spans="1:2" hidden="1" x14ac:dyDescent="0.25">
      <c r="A698" s="29" t="s">
        <v>1565</v>
      </c>
      <c r="B698" s="30">
        <v>1</v>
      </c>
    </row>
    <row r="699" spans="1:2" hidden="1" x14ac:dyDescent="0.25">
      <c r="A699" s="29" t="s">
        <v>2087</v>
      </c>
      <c r="B699" s="30">
        <v>1</v>
      </c>
    </row>
    <row r="700" spans="1:2" hidden="1" x14ac:dyDescent="0.25">
      <c r="A700" s="29" t="s">
        <v>2059</v>
      </c>
      <c r="B700" s="30">
        <v>1</v>
      </c>
    </row>
    <row r="701" spans="1:2" hidden="1" x14ac:dyDescent="0.25">
      <c r="A701" s="29" t="s">
        <v>2012</v>
      </c>
      <c r="B701" s="30">
        <v>1</v>
      </c>
    </row>
    <row r="702" spans="1:2" x14ac:dyDescent="0.25">
      <c r="A702" s="26" t="s">
        <v>514</v>
      </c>
      <c r="B702" s="30">
        <v>9</v>
      </c>
    </row>
    <row r="703" spans="1:2" hidden="1" x14ac:dyDescent="0.25">
      <c r="A703" s="29" t="s">
        <v>941</v>
      </c>
      <c r="B703" s="30">
        <v>1</v>
      </c>
    </row>
    <row r="704" spans="1:2" hidden="1" x14ac:dyDescent="0.25">
      <c r="A704" s="29" t="s">
        <v>923</v>
      </c>
      <c r="B704" s="30">
        <v>1</v>
      </c>
    </row>
    <row r="705" spans="1:2" hidden="1" x14ac:dyDescent="0.25">
      <c r="A705" s="29" t="s">
        <v>1025</v>
      </c>
      <c r="B705" s="30">
        <v>1</v>
      </c>
    </row>
    <row r="706" spans="1:2" x14ac:dyDescent="0.25">
      <c r="A706" s="29" t="s">
        <v>950</v>
      </c>
      <c r="B706" s="30">
        <v>2</v>
      </c>
    </row>
    <row r="707" spans="1:2" hidden="1" x14ac:dyDescent="0.25">
      <c r="A707" s="29" t="s">
        <v>903</v>
      </c>
      <c r="B707" s="30">
        <v>1</v>
      </c>
    </row>
    <row r="708" spans="1:2" hidden="1" x14ac:dyDescent="0.25">
      <c r="A708" s="29" t="s">
        <v>908</v>
      </c>
      <c r="B708" s="30">
        <v>1</v>
      </c>
    </row>
    <row r="709" spans="1:2" hidden="1" x14ac:dyDescent="0.25">
      <c r="A709" s="29" t="s">
        <v>18</v>
      </c>
      <c r="B709" s="30">
        <v>1</v>
      </c>
    </row>
    <row r="710" spans="1:2" hidden="1" x14ac:dyDescent="0.25">
      <c r="A710" s="29" t="s">
        <v>899</v>
      </c>
      <c r="B710" s="30">
        <v>1</v>
      </c>
    </row>
    <row r="711" spans="1:2" x14ac:dyDescent="0.25">
      <c r="A711" s="26" t="s">
        <v>643</v>
      </c>
      <c r="B711" s="30">
        <v>5</v>
      </c>
    </row>
    <row r="712" spans="1:2" hidden="1" x14ac:dyDescent="0.25">
      <c r="A712" s="29" t="s">
        <v>23</v>
      </c>
      <c r="B712" s="30">
        <v>1</v>
      </c>
    </row>
    <row r="713" spans="1:2" hidden="1" x14ac:dyDescent="0.25">
      <c r="A713" s="29" t="s">
        <v>22</v>
      </c>
      <c r="B713" s="30">
        <v>1</v>
      </c>
    </row>
    <row r="714" spans="1:2" hidden="1" x14ac:dyDescent="0.25">
      <c r="A714" s="29" t="s">
        <v>698</v>
      </c>
      <c r="B714" s="30">
        <v>1</v>
      </c>
    </row>
    <row r="715" spans="1:2" hidden="1" x14ac:dyDescent="0.25">
      <c r="A715" s="29" t="s">
        <v>18</v>
      </c>
      <c r="B715" s="30">
        <v>1</v>
      </c>
    </row>
    <row r="716" spans="1:2" hidden="1" x14ac:dyDescent="0.25">
      <c r="A716" s="29" t="s">
        <v>21</v>
      </c>
      <c r="B716" s="30">
        <v>1</v>
      </c>
    </row>
    <row r="717" spans="1:2" x14ac:dyDescent="0.25">
      <c r="A717" s="26" t="s">
        <v>2636</v>
      </c>
      <c r="B717" s="30">
        <v>2</v>
      </c>
    </row>
    <row r="718" spans="1:2" hidden="1" x14ac:dyDescent="0.25">
      <c r="A718" s="29" t="s">
        <v>1557</v>
      </c>
      <c r="B718" s="30">
        <v>1</v>
      </c>
    </row>
    <row r="719" spans="1:2" hidden="1" x14ac:dyDescent="0.25">
      <c r="A719" s="29" t="s">
        <v>1138</v>
      </c>
      <c r="B719" s="30">
        <v>1</v>
      </c>
    </row>
    <row r="720" spans="1:2" x14ac:dyDescent="0.25">
      <c r="A720" s="26" t="s">
        <v>708</v>
      </c>
      <c r="B720" s="30">
        <v>3</v>
      </c>
    </row>
    <row r="721" spans="1:2" hidden="1" x14ac:dyDescent="0.25">
      <c r="A721" s="29" t="s">
        <v>1033</v>
      </c>
      <c r="B721" s="30">
        <v>1</v>
      </c>
    </row>
    <row r="722" spans="1:2" hidden="1" x14ac:dyDescent="0.25">
      <c r="A722" s="29" t="s">
        <v>1483</v>
      </c>
      <c r="B722" s="30">
        <v>1</v>
      </c>
    </row>
    <row r="723" spans="1:2" hidden="1" x14ac:dyDescent="0.25">
      <c r="A723" s="29" t="s">
        <v>941</v>
      </c>
      <c r="B723" s="30">
        <v>1</v>
      </c>
    </row>
    <row r="724" spans="1:2" x14ac:dyDescent="0.25">
      <c r="A724" s="26" t="s">
        <v>710</v>
      </c>
      <c r="B724" s="30">
        <v>5</v>
      </c>
    </row>
    <row r="725" spans="1:2" hidden="1" x14ac:dyDescent="0.25">
      <c r="A725" s="29" t="s">
        <v>2374</v>
      </c>
      <c r="B725" s="30">
        <v>1</v>
      </c>
    </row>
    <row r="726" spans="1:2" hidden="1" x14ac:dyDescent="0.25">
      <c r="A726" s="29" t="s">
        <v>1483</v>
      </c>
      <c r="B726" s="30">
        <v>1</v>
      </c>
    </row>
    <row r="727" spans="1:2" hidden="1" x14ac:dyDescent="0.25">
      <c r="A727" s="29" t="s">
        <v>941</v>
      </c>
      <c r="B727" s="30">
        <v>1</v>
      </c>
    </row>
    <row r="728" spans="1:2" hidden="1" x14ac:dyDescent="0.25">
      <c r="A728" s="29" t="s">
        <v>698</v>
      </c>
      <c r="B728" s="30">
        <v>1</v>
      </c>
    </row>
    <row r="729" spans="1:2" hidden="1" x14ac:dyDescent="0.25">
      <c r="A729" s="29" t="s">
        <v>18</v>
      </c>
      <c r="B729" s="30">
        <v>1</v>
      </c>
    </row>
    <row r="730" spans="1:2" x14ac:dyDescent="0.25">
      <c r="A730" s="26" t="s">
        <v>2638</v>
      </c>
      <c r="B730" s="30">
        <v>2</v>
      </c>
    </row>
    <row r="731" spans="1:2" hidden="1" x14ac:dyDescent="0.25">
      <c r="A731" s="29" t="s">
        <v>1025</v>
      </c>
      <c r="B731" s="30">
        <v>1</v>
      </c>
    </row>
    <row r="732" spans="1:2" hidden="1" x14ac:dyDescent="0.25">
      <c r="A732" s="29" t="s">
        <v>903</v>
      </c>
      <c r="B732" s="30">
        <v>1</v>
      </c>
    </row>
    <row r="733" spans="1:2" x14ac:dyDescent="0.25">
      <c r="A733" s="26" t="s">
        <v>510</v>
      </c>
      <c r="B733" s="30">
        <v>8</v>
      </c>
    </row>
    <row r="734" spans="1:2" hidden="1" x14ac:dyDescent="0.25">
      <c r="A734" s="29" t="s">
        <v>941</v>
      </c>
      <c r="B734" s="30">
        <v>1</v>
      </c>
    </row>
    <row r="735" spans="1:2" hidden="1" x14ac:dyDescent="0.25">
      <c r="A735" s="29" t="s">
        <v>923</v>
      </c>
      <c r="B735" s="30">
        <v>1</v>
      </c>
    </row>
    <row r="736" spans="1:2" hidden="1" x14ac:dyDescent="0.25">
      <c r="A736" s="29" t="s">
        <v>1025</v>
      </c>
      <c r="B736" s="30">
        <v>1</v>
      </c>
    </row>
    <row r="737" spans="1:2" hidden="1" x14ac:dyDescent="0.25">
      <c r="A737" s="29" t="s">
        <v>950</v>
      </c>
      <c r="B737" s="30">
        <v>1</v>
      </c>
    </row>
    <row r="738" spans="1:2" hidden="1" x14ac:dyDescent="0.25">
      <c r="A738" s="29" t="s">
        <v>903</v>
      </c>
      <c r="B738" s="30">
        <v>1</v>
      </c>
    </row>
    <row r="739" spans="1:2" hidden="1" x14ac:dyDescent="0.25">
      <c r="A739" s="29" t="s">
        <v>908</v>
      </c>
      <c r="B739" s="30">
        <v>1</v>
      </c>
    </row>
    <row r="740" spans="1:2" hidden="1" x14ac:dyDescent="0.25">
      <c r="A740" s="29" t="s">
        <v>18</v>
      </c>
      <c r="B740" s="30">
        <v>1</v>
      </c>
    </row>
    <row r="741" spans="1:2" hidden="1" x14ac:dyDescent="0.25">
      <c r="A741" s="29" t="s">
        <v>899</v>
      </c>
      <c r="B741" s="30">
        <v>1</v>
      </c>
    </row>
    <row r="742" spans="1:2" x14ac:dyDescent="0.25">
      <c r="A742" s="26" t="s">
        <v>512</v>
      </c>
      <c r="B742" s="30">
        <v>6</v>
      </c>
    </row>
    <row r="743" spans="1:2" hidden="1" x14ac:dyDescent="0.25">
      <c r="A743" s="29" t="s">
        <v>2374</v>
      </c>
      <c r="B743" s="30">
        <v>1</v>
      </c>
    </row>
    <row r="744" spans="1:2" hidden="1" x14ac:dyDescent="0.25">
      <c r="A744" s="29" t="s">
        <v>941</v>
      </c>
      <c r="B744" s="30">
        <v>1</v>
      </c>
    </row>
    <row r="745" spans="1:2" hidden="1" x14ac:dyDescent="0.25">
      <c r="A745" s="29" t="s">
        <v>23</v>
      </c>
      <c r="B745" s="30">
        <v>1</v>
      </c>
    </row>
    <row r="746" spans="1:2" hidden="1" x14ac:dyDescent="0.25">
      <c r="A746" s="29" t="s">
        <v>923</v>
      </c>
      <c r="B746" s="30">
        <v>1</v>
      </c>
    </row>
    <row r="747" spans="1:2" hidden="1" x14ac:dyDescent="0.25">
      <c r="A747" s="29" t="s">
        <v>1025</v>
      </c>
      <c r="B747" s="30">
        <v>1</v>
      </c>
    </row>
    <row r="748" spans="1:2" hidden="1" x14ac:dyDescent="0.25">
      <c r="A748" s="29" t="s">
        <v>1042</v>
      </c>
      <c r="B748" s="30">
        <v>1</v>
      </c>
    </row>
    <row r="749" spans="1:2" x14ac:dyDescent="0.25">
      <c r="A749" s="26" t="s">
        <v>2641</v>
      </c>
      <c r="B749" s="30">
        <v>4</v>
      </c>
    </row>
    <row r="750" spans="1:2" hidden="1" x14ac:dyDescent="0.25">
      <c r="A750" s="29" t="s">
        <v>1557</v>
      </c>
      <c r="B750" s="30">
        <v>1</v>
      </c>
    </row>
    <row r="751" spans="1:2" hidden="1" x14ac:dyDescent="0.25">
      <c r="A751" s="29" t="s">
        <v>916</v>
      </c>
      <c r="B751" s="30">
        <v>1</v>
      </c>
    </row>
    <row r="752" spans="1:2" hidden="1" x14ac:dyDescent="0.25">
      <c r="A752" s="29" t="s">
        <v>1138</v>
      </c>
      <c r="B752" s="30">
        <v>1</v>
      </c>
    </row>
    <row r="753" spans="1:2" hidden="1" x14ac:dyDescent="0.25">
      <c r="A753" s="29" t="s">
        <v>1565</v>
      </c>
      <c r="B753" s="30">
        <v>1</v>
      </c>
    </row>
    <row r="754" spans="1:2" x14ac:dyDescent="0.25">
      <c r="A754" s="26" t="s">
        <v>856</v>
      </c>
      <c r="B754" s="30">
        <v>4</v>
      </c>
    </row>
    <row r="755" spans="1:2" hidden="1" x14ac:dyDescent="0.25">
      <c r="A755" s="29" t="s">
        <v>1033</v>
      </c>
      <c r="B755" s="30">
        <v>1</v>
      </c>
    </row>
    <row r="756" spans="1:2" x14ac:dyDescent="0.25">
      <c r="A756" s="29" t="s">
        <v>1557</v>
      </c>
      <c r="B756" s="30">
        <v>2</v>
      </c>
    </row>
    <row r="757" spans="1:2" hidden="1" x14ac:dyDescent="0.25">
      <c r="A757" s="29" t="s">
        <v>1138</v>
      </c>
      <c r="B757" s="30">
        <v>1</v>
      </c>
    </row>
    <row r="758" spans="1:2" x14ac:dyDescent="0.25">
      <c r="A758" s="26" t="s">
        <v>649</v>
      </c>
      <c r="B758" s="30">
        <v>6</v>
      </c>
    </row>
    <row r="759" spans="1:2" hidden="1" x14ac:dyDescent="0.25">
      <c r="A759" s="29" t="s">
        <v>22</v>
      </c>
      <c r="B759" s="30">
        <v>1</v>
      </c>
    </row>
    <row r="760" spans="1:2" hidden="1" x14ac:dyDescent="0.25">
      <c r="A760" s="29" t="s">
        <v>617</v>
      </c>
      <c r="B760" s="30">
        <v>1</v>
      </c>
    </row>
    <row r="761" spans="1:2" hidden="1" x14ac:dyDescent="0.25">
      <c r="A761" s="29" t="s">
        <v>1565</v>
      </c>
      <c r="B761" s="30">
        <v>1</v>
      </c>
    </row>
    <row r="762" spans="1:2" hidden="1" x14ac:dyDescent="0.25">
      <c r="A762" s="29" t="s">
        <v>2009</v>
      </c>
      <c r="B762" s="30">
        <v>1</v>
      </c>
    </row>
    <row r="763" spans="1:2" hidden="1" x14ac:dyDescent="0.25">
      <c r="A763" s="29" t="s">
        <v>2059</v>
      </c>
      <c r="B763" s="30">
        <v>1</v>
      </c>
    </row>
    <row r="764" spans="1:2" hidden="1" x14ac:dyDescent="0.25">
      <c r="A764" s="29" t="s">
        <v>2012</v>
      </c>
      <c r="B764" s="30">
        <v>1</v>
      </c>
    </row>
    <row r="765" spans="1:2" x14ac:dyDescent="0.25">
      <c r="A765" s="26" t="s">
        <v>804</v>
      </c>
      <c r="B765" s="30">
        <v>7</v>
      </c>
    </row>
    <row r="766" spans="1:2" hidden="1" x14ac:dyDescent="0.25">
      <c r="A766" s="29" t="s">
        <v>1557</v>
      </c>
      <c r="B766" s="30">
        <v>1</v>
      </c>
    </row>
    <row r="767" spans="1:2" hidden="1" x14ac:dyDescent="0.25">
      <c r="A767" s="29" t="s">
        <v>22</v>
      </c>
      <c r="B767" s="30">
        <v>1</v>
      </c>
    </row>
    <row r="768" spans="1:2" hidden="1" x14ac:dyDescent="0.25">
      <c r="A768" s="29" t="s">
        <v>970</v>
      </c>
      <c r="B768" s="30">
        <v>1</v>
      </c>
    </row>
    <row r="769" spans="1:2" hidden="1" x14ac:dyDescent="0.25">
      <c r="A769" s="29" t="s">
        <v>1565</v>
      </c>
      <c r="B769" s="30">
        <v>1</v>
      </c>
    </row>
    <row r="770" spans="1:2" hidden="1" x14ac:dyDescent="0.25">
      <c r="A770" s="29" t="s">
        <v>2129</v>
      </c>
      <c r="B770" s="30">
        <v>1</v>
      </c>
    </row>
    <row r="771" spans="1:2" hidden="1" x14ac:dyDescent="0.25">
      <c r="A771" s="29" t="s">
        <v>18</v>
      </c>
      <c r="B771" s="30">
        <v>1</v>
      </c>
    </row>
    <row r="772" spans="1:2" hidden="1" x14ac:dyDescent="0.25">
      <c r="A772" s="29" t="s">
        <v>21</v>
      </c>
      <c r="B772" s="30">
        <v>1</v>
      </c>
    </row>
    <row r="773" spans="1:2" x14ac:dyDescent="0.25">
      <c r="A773" s="26" t="s">
        <v>714</v>
      </c>
      <c r="B773" s="30">
        <v>5</v>
      </c>
    </row>
    <row r="774" spans="1:2" hidden="1" x14ac:dyDescent="0.25">
      <c r="A774" s="29" t="s">
        <v>1033</v>
      </c>
      <c r="B774" s="30">
        <v>1</v>
      </c>
    </row>
    <row r="775" spans="1:2" hidden="1" x14ac:dyDescent="0.25">
      <c r="A775" s="29" t="s">
        <v>2374</v>
      </c>
      <c r="B775" s="30">
        <v>1</v>
      </c>
    </row>
    <row r="776" spans="1:2" hidden="1" x14ac:dyDescent="0.25">
      <c r="A776" s="29" t="s">
        <v>1483</v>
      </c>
      <c r="B776" s="30">
        <v>1</v>
      </c>
    </row>
    <row r="777" spans="1:2" x14ac:dyDescent="0.25">
      <c r="A777" s="29" t="s">
        <v>941</v>
      </c>
      <c r="B777" s="30">
        <v>2</v>
      </c>
    </row>
    <row r="778" spans="1:2" x14ac:dyDescent="0.25">
      <c r="A778" s="26" t="s">
        <v>520</v>
      </c>
      <c r="B778" s="30">
        <v>6</v>
      </c>
    </row>
    <row r="779" spans="1:2" hidden="1" x14ac:dyDescent="0.25">
      <c r="A779" s="29" t="s">
        <v>2374</v>
      </c>
      <c r="B779" s="30">
        <v>1</v>
      </c>
    </row>
    <row r="780" spans="1:2" hidden="1" x14ac:dyDescent="0.25">
      <c r="A780" s="29" t="s">
        <v>941</v>
      </c>
      <c r="B780" s="30">
        <v>1</v>
      </c>
    </row>
    <row r="781" spans="1:2" hidden="1" x14ac:dyDescent="0.25">
      <c r="A781" s="29" t="s">
        <v>23</v>
      </c>
      <c r="B781" s="30">
        <v>1</v>
      </c>
    </row>
    <row r="782" spans="1:2" hidden="1" x14ac:dyDescent="0.25">
      <c r="A782" s="29" t="s">
        <v>954</v>
      </c>
      <c r="B782" s="30">
        <v>1</v>
      </c>
    </row>
    <row r="783" spans="1:2" hidden="1" x14ac:dyDescent="0.25">
      <c r="A783" s="29" t="s">
        <v>1028</v>
      </c>
      <c r="B783" s="30">
        <v>1</v>
      </c>
    </row>
    <row r="784" spans="1:2" hidden="1" x14ac:dyDescent="0.25">
      <c r="A784" s="29" t="s">
        <v>18</v>
      </c>
      <c r="B784" s="30">
        <v>1</v>
      </c>
    </row>
    <row r="785" spans="1:2" x14ac:dyDescent="0.25">
      <c r="A785" s="26" t="s">
        <v>2646</v>
      </c>
      <c r="B785" s="30">
        <v>3</v>
      </c>
    </row>
    <row r="786" spans="1:2" hidden="1" x14ac:dyDescent="0.25">
      <c r="A786" s="29" t="s">
        <v>2003</v>
      </c>
      <c r="B786" s="30">
        <v>1</v>
      </c>
    </row>
    <row r="787" spans="1:2" hidden="1" x14ac:dyDescent="0.25">
      <c r="A787" s="29" t="s">
        <v>2002</v>
      </c>
      <c r="B787" s="30">
        <v>1</v>
      </c>
    </row>
    <row r="788" spans="1:2" hidden="1" x14ac:dyDescent="0.25">
      <c r="A788" s="29" t="s">
        <v>2059</v>
      </c>
      <c r="B788" s="30">
        <v>1</v>
      </c>
    </row>
    <row r="789" spans="1:2" x14ac:dyDescent="0.25">
      <c r="A789" s="26" t="s">
        <v>780</v>
      </c>
      <c r="B789" s="30">
        <v>5</v>
      </c>
    </row>
    <row r="790" spans="1:2" hidden="1" x14ac:dyDescent="0.25">
      <c r="A790" s="29" t="s">
        <v>941</v>
      </c>
      <c r="B790" s="30">
        <v>1</v>
      </c>
    </row>
    <row r="791" spans="1:2" x14ac:dyDescent="0.25">
      <c r="A791" s="29" t="s">
        <v>960</v>
      </c>
      <c r="B791" s="30">
        <v>2</v>
      </c>
    </row>
    <row r="792" spans="1:2" hidden="1" x14ac:dyDescent="0.25">
      <c r="A792" s="29" t="s">
        <v>1042</v>
      </c>
      <c r="B792" s="30">
        <v>1</v>
      </c>
    </row>
    <row r="793" spans="1:2" hidden="1" x14ac:dyDescent="0.25">
      <c r="A793" s="29" t="s">
        <v>1123</v>
      </c>
      <c r="B793" s="30">
        <v>1</v>
      </c>
    </row>
    <row r="794" spans="1:2" x14ac:dyDescent="0.25">
      <c r="A794" s="26" t="s">
        <v>827</v>
      </c>
      <c r="B794" s="30">
        <v>5</v>
      </c>
    </row>
    <row r="795" spans="1:2" hidden="1" x14ac:dyDescent="0.25">
      <c r="A795" s="29" t="s">
        <v>1033</v>
      </c>
      <c r="B795" s="30">
        <v>1</v>
      </c>
    </row>
    <row r="796" spans="1:2" hidden="1" x14ac:dyDescent="0.25">
      <c r="A796" s="29" t="s">
        <v>2374</v>
      </c>
      <c r="B796" s="30">
        <v>1</v>
      </c>
    </row>
    <row r="797" spans="1:2" x14ac:dyDescent="0.25">
      <c r="A797" s="29" t="s">
        <v>1483</v>
      </c>
      <c r="B797" s="30">
        <v>2</v>
      </c>
    </row>
    <row r="798" spans="1:2" hidden="1" x14ac:dyDescent="0.25">
      <c r="A798" s="29" t="s">
        <v>941</v>
      </c>
      <c r="B798" s="30">
        <v>1</v>
      </c>
    </row>
    <row r="799" spans="1:2" x14ac:dyDescent="0.25">
      <c r="A799" s="26" t="s">
        <v>2649</v>
      </c>
      <c r="B799" s="30">
        <v>6</v>
      </c>
    </row>
    <row r="800" spans="1:2" hidden="1" x14ac:dyDescent="0.25">
      <c r="A800" s="29" t="s">
        <v>1557</v>
      </c>
      <c r="B800" s="30">
        <v>1</v>
      </c>
    </row>
    <row r="801" spans="1:2" hidden="1" x14ac:dyDescent="0.25">
      <c r="A801" s="29" t="s">
        <v>1138</v>
      </c>
      <c r="B801" s="30">
        <v>1</v>
      </c>
    </row>
    <row r="802" spans="1:2" hidden="1" x14ac:dyDescent="0.25">
      <c r="A802" s="29" t="s">
        <v>22</v>
      </c>
      <c r="B802" s="30">
        <v>1</v>
      </c>
    </row>
    <row r="803" spans="1:2" hidden="1" x14ac:dyDescent="0.25">
      <c r="A803" s="29" t="s">
        <v>617</v>
      </c>
      <c r="B803" s="30">
        <v>1</v>
      </c>
    </row>
    <row r="804" spans="1:2" hidden="1" x14ac:dyDescent="0.25">
      <c r="A804" s="29" t="s">
        <v>1025</v>
      </c>
      <c r="B804" s="30">
        <v>1</v>
      </c>
    </row>
    <row r="805" spans="1:2" hidden="1" x14ac:dyDescent="0.25">
      <c r="A805" s="29" t="s">
        <v>1565</v>
      </c>
      <c r="B805" s="30">
        <v>1</v>
      </c>
    </row>
    <row r="806" spans="1:2" x14ac:dyDescent="0.25">
      <c r="A806" s="26" t="s">
        <v>571</v>
      </c>
      <c r="B806" s="30">
        <v>7</v>
      </c>
    </row>
    <row r="807" spans="1:2" hidden="1" x14ac:dyDescent="0.25">
      <c r="A807" s="29" t="s">
        <v>941</v>
      </c>
      <c r="B807" s="30">
        <v>1</v>
      </c>
    </row>
    <row r="808" spans="1:2" hidden="1" x14ac:dyDescent="0.25">
      <c r="A808" s="29" t="s">
        <v>960</v>
      </c>
      <c r="B808" s="30">
        <v>1</v>
      </c>
    </row>
    <row r="809" spans="1:2" hidden="1" x14ac:dyDescent="0.25">
      <c r="A809" s="29" t="s">
        <v>1126</v>
      </c>
      <c r="B809" s="30">
        <v>1</v>
      </c>
    </row>
    <row r="810" spans="1:2" hidden="1" x14ac:dyDescent="0.25">
      <c r="A810" s="29" t="s">
        <v>1042</v>
      </c>
      <c r="B810" s="30">
        <v>1</v>
      </c>
    </row>
    <row r="811" spans="1:2" hidden="1" x14ac:dyDescent="0.25">
      <c r="A811" s="29" t="s">
        <v>1828</v>
      </c>
      <c r="B811" s="30">
        <v>1</v>
      </c>
    </row>
    <row r="812" spans="1:2" hidden="1" x14ac:dyDescent="0.25">
      <c r="A812" s="29" t="s">
        <v>1129</v>
      </c>
      <c r="B812" s="30">
        <v>1</v>
      </c>
    </row>
    <row r="813" spans="1:2" hidden="1" x14ac:dyDescent="0.25">
      <c r="A813" s="29" t="s">
        <v>1123</v>
      </c>
      <c r="B813" s="30">
        <v>1</v>
      </c>
    </row>
    <row r="814" spans="1:2" x14ac:dyDescent="0.25">
      <c r="A814" s="26" t="s">
        <v>2630</v>
      </c>
      <c r="B814" s="30">
        <v>4</v>
      </c>
    </row>
    <row r="815" spans="1:2" hidden="1" x14ac:dyDescent="0.25">
      <c r="A815" s="29" t="s">
        <v>617</v>
      </c>
      <c r="B815" s="30">
        <v>1</v>
      </c>
    </row>
    <row r="816" spans="1:2" hidden="1" x14ac:dyDescent="0.25">
      <c r="A816" s="29" t="s">
        <v>2009</v>
      </c>
      <c r="B816" s="30">
        <v>1</v>
      </c>
    </row>
    <row r="817" spans="1:2" hidden="1" x14ac:dyDescent="0.25">
      <c r="A817" s="29" t="s">
        <v>2002</v>
      </c>
      <c r="B817" s="30">
        <v>1</v>
      </c>
    </row>
    <row r="818" spans="1:2" hidden="1" x14ac:dyDescent="0.25">
      <c r="A818" s="29" t="s">
        <v>2059</v>
      </c>
      <c r="B818" s="30">
        <v>1</v>
      </c>
    </row>
    <row r="819" spans="1:2" x14ac:dyDescent="0.25">
      <c r="A819" s="26" t="s">
        <v>516</v>
      </c>
      <c r="B819" s="30">
        <v>7</v>
      </c>
    </row>
    <row r="820" spans="1:2" hidden="1" x14ac:dyDescent="0.25">
      <c r="A820" s="29" t="s">
        <v>941</v>
      </c>
      <c r="B820" s="30">
        <v>1</v>
      </c>
    </row>
    <row r="821" spans="1:2" hidden="1" x14ac:dyDescent="0.25">
      <c r="A821" s="29" t="s">
        <v>23</v>
      </c>
      <c r="B821" s="30">
        <v>1</v>
      </c>
    </row>
    <row r="822" spans="1:2" hidden="1" x14ac:dyDescent="0.25">
      <c r="A822" s="29" t="s">
        <v>1225</v>
      </c>
      <c r="B822" s="30">
        <v>1</v>
      </c>
    </row>
    <row r="823" spans="1:2" hidden="1" x14ac:dyDescent="0.25">
      <c r="A823" s="29" t="s">
        <v>923</v>
      </c>
      <c r="B823" s="30">
        <v>1</v>
      </c>
    </row>
    <row r="824" spans="1:2" hidden="1" x14ac:dyDescent="0.25">
      <c r="A824" s="29" t="s">
        <v>1025</v>
      </c>
      <c r="B824" s="30">
        <v>1</v>
      </c>
    </row>
    <row r="825" spans="1:2" hidden="1" x14ac:dyDescent="0.25">
      <c r="A825" s="29" t="s">
        <v>950</v>
      </c>
      <c r="B825" s="30">
        <v>1</v>
      </c>
    </row>
    <row r="826" spans="1:2" hidden="1" x14ac:dyDescent="0.25">
      <c r="A826" s="29" t="s">
        <v>903</v>
      </c>
      <c r="B826" s="30">
        <v>1</v>
      </c>
    </row>
    <row r="827" spans="1:2" x14ac:dyDescent="0.25">
      <c r="A827" s="26" t="s">
        <v>807</v>
      </c>
      <c r="B827" s="30">
        <v>6</v>
      </c>
    </row>
    <row r="828" spans="1:2" hidden="1" x14ac:dyDescent="0.25">
      <c r="A828" s="29" t="s">
        <v>1452</v>
      </c>
      <c r="B828" s="30">
        <v>1</v>
      </c>
    </row>
    <row r="829" spans="1:2" x14ac:dyDescent="0.25">
      <c r="A829" s="29" t="s">
        <v>617</v>
      </c>
      <c r="B829" s="30">
        <v>2</v>
      </c>
    </row>
    <row r="830" spans="1:2" hidden="1" x14ac:dyDescent="0.25">
      <c r="A830" s="29" t="s">
        <v>635</v>
      </c>
      <c r="B830" s="30">
        <v>1</v>
      </c>
    </row>
    <row r="831" spans="1:2" hidden="1" x14ac:dyDescent="0.25">
      <c r="A831" s="29" t="s">
        <v>2087</v>
      </c>
      <c r="B831" s="30">
        <v>1</v>
      </c>
    </row>
    <row r="832" spans="1:2" hidden="1" x14ac:dyDescent="0.25">
      <c r="A832" s="29" t="s">
        <v>2012</v>
      </c>
      <c r="B832" s="30">
        <v>1</v>
      </c>
    </row>
    <row r="833" spans="1:2" x14ac:dyDescent="0.25">
      <c r="A833" s="26" t="s">
        <v>762</v>
      </c>
      <c r="B833" s="30">
        <v>6</v>
      </c>
    </row>
    <row r="834" spans="1:2" hidden="1" x14ac:dyDescent="0.25">
      <c r="A834" s="29" t="s">
        <v>941</v>
      </c>
      <c r="B834" s="30">
        <v>1</v>
      </c>
    </row>
    <row r="835" spans="1:2" hidden="1" x14ac:dyDescent="0.25">
      <c r="A835" s="29" t="s">
        <v>23</v>
      </c>
      <c r="B835" s="30">
        <v>1</v>
      </c>
    </row>
    <row r="836" spans="1:2" x14ac:dyDescent="0.25">
      <c r="A836" s="29" t="s">
        <v>923</v>
      </c>
      <c r="B836" s="30">
        <v>2</v>
      </c>
    </row>
    <row r="837" spans="1:2" hidden="1" x14ac:dyDescent="0.25">
      <c r="A837" s="29" t="s">
        <v>950</v>
      </c>
      <c r="B837" s="30">
        <v>1</v>
      </c>
    </row>
    <row r="838" spans="1:2" hidden="1" x14ac:dyDescent="0.25">
      <c r="A838" s="29" t="s">
        <v>1028</v>
      </c>
      <c r="B838" s="30">
        <v>1</v>
      </c>
    </row>
    <row r="839" spans="1:2" x14ac:dyDescent="0.25">
      <c r="A839" s="26" t="s">
        <v>712</v>
      </c>
      <c r="B839" s="30">
        <v>4</v>
      </c>
    </row>
    <row r="840" spans="1:2" hidden="1" x14ac:dyDescent="0.25">
      <c r="A840" s="29" t="s">
        <v>2374</v>
      </c>
      <c r="B840" s="30">
        <v>1</v>
      </c>
    </row>
    <row r="841" spans="1:2" hidden="1" x14ac:dyDescent="0.25">
      <c r="A841" s="29" t="s">
        <v>941</v>
      </c>
      <c r="B841" s="30">
        <v>1</v>
      </c>
    </row>
    <row r="842" spans="1:2" hidden="1" x14ac:dyDescent="0.25">
      <c r="A842" s="29" t="s">
        <v>698</v>
      </c>
      <c r="B842" s="30">
        <v>1</v>
      </c>
    </row>
    <row r="843" spans="1:2" hidden="1" x14ac:dyDescent="0.25">
      <c r="A843" s="29" t="s">
        <v>1042</v>
      </c>
      <c r="B843" s="30">
        <v>1</v>
      </c>
    </row>
    <row r="844" spans="1:2" x14ac:dyDescent="0.25">
      <c r="A844" s="26" t="s">
        <v>716</v>
      </c>
      <c r="B844" s="30">
        <v>6</v>
      </c>
    </row>
    <row r="845" spans="1:2" hidden="1" x14ac:dyDescent="0.25">
      <c r="A845" s="29" t="s">
        <v>1033</v>
      </c>
      <c r="B845" s="30">
        <v>1</v>
      </c>
    </row>
    <row r="846" spans="1:2" hidden="1" x14ac:dyDescent="0.25">
      <c r="A846" s="29" t="s">
        <v>1557</v>
      </c>
      <c r="B846" s="30">
        <v>1</v>
      </c>
    </row>
    <row r="847" spans="1:2" hidden="1" x14ac:dyDescent="0.25">
      <c r="A847" s="29" t="s">
        <v>916</v>
      </c>
      <c r="B847" s="30">
        <v>1</v>
      </c>
    </row>
    <row r="848" spans="1:2" x14ac:dyDescent="0.25">
      <c r="A848" s="29" t="s">
        <v>1138</v>
      </c>
      <c r="B848" s="30">
        <v>2</v>
      </c>
    </row>
    <row r="849" spans="1:2" hidden="1" x14ac:dyDescent="0.25">
      <c r="A849" s="29" t="s">
        <v>1565</v>
      </c>
      <c r="B849" s="30">
        <v>1</v>
      </c>
    </row>
    <row r="850" spans="1:2" x14ac:dyDescent="0.25">
      <c r="A850" s="26" t="s">
        <v>2301</v>
      </c>
      <c r="B850" s="30">
        <v>6</v>
      </c>
    </row>
    <row r="851" spans="1:2" hidden="1" x14ac:dyDescent="0.25">
      <c r="A851" s="29" t="s">
        <v>617</v>
      </c>
      <c r="B851" s="30">
        <v>1</v>
      </c>
    </row>
    <row r="852" spans="1:2" hidden="1" x14ac:dyDescent="0.25">
      <c r="A852" s="29" t="s">
        <v>970</v>
      </c>
      <c r="B852" s="30">
        <v>1</v>
      </c>
    </row>
    <row r="853" spans="1:2" hidden="1" x14ac:dyDescent="0.25">
      <c r="A853" s="29" t="s">
        <v>1565</v>
      </c>
      <c r="B853" s="30">
        <v>1</v>
      </c>
    </row>
    <row r="854" spans="1:2" hidden="1" x14ac:dyDescent="0.25">
      <c r="A854" s="29" t="s">
        <v>2059</v>
      </c>
      <c r="B854" s="30">
        <v>1</v>
      </c>
    </row>
    <row r="855" spans="1:2" x14ac:dyDescent="0.25">
      <c r="A855" s="29" t="s">
        <v>2012</v>
      </c>
      <c r="B855" s="30">
        <v>2</v>
      </c>
    </row>
    <row r="856" spans="1:2" x14ac:dyDescent="0.25">
      <c r="A856" s="26" t="s">
        <v>850</v>
      </c>
      <c r="B856" s="30">
        <v>6</v>
      </c>
    </row>
    <row r="857" spans="1:2" hidden="1" x14ac:dyDescent="0.25">
      <c r="A857" s="29" t="s">
        <v>1033</v>
      </c>
      <c r="B857" s="30">
        <v>1</v>
      </c>
    </row>
    <row r="858" spans="1:2" hidden="1" x14ac:dyDescent="0.25">
      <c r="A858" s="29" t="s">
        <v>1557</v>
      </c>
      <c r="B858" s="30">
        <v>1</v>
      </c>
    </row>
    <row r="859" spans="1:2" x14ac:dyDescent="0.25">
      <c r="A859" s="29" t="s">
        <v>1138</v>
      </c>
      <c r="B859" s="30">
        <v>2</v>
      </c>
    </row>
    <row r="860" spans="1:2" hidden="1" x14ac:dyDescent="0.25">
      <c r="A860" s="29" t="s">
        <v>941</v>
      </c>
      <c r="B860" s="30">
        <v>1</v>
      </c>
    </row>
    <row r="861" spans="1:2" hidden="1" x14ac:dyDescent="0.25">
      <c r="A861" s="29" t="s">
        <v>1025</v>
      </c>
      <c r="B861" s="30">
        <v>1</v>
      </c>
    </row>
    <row r="862" spans="1:2" x14ac:dyDescent="0.25">
      <c r="A862" s="26" t="s">
        <v>2655</v>
      </c>
      <c r="B862" s="30">
        <v>2</v>
      </c>
    </row>
    <row r="863" spans="1:2" hidden="1" x14ac:dyDescent="0.25">
      <c r="A863" s="29" t="s">
        <v>2003</v>
      </c>
      <c r="B863" s="30">
        <v>1</v>
      </c>
    </row>
    <row r="864" spans="1:2" hidden="1" x14ac:dyDescent="0.25">
      <c r="A864" s="29" t="s">
        <v>2002</v>
      </c>
      <c r="B864" s="30">
        <v>1</v>
      </c>
    </row>
    <row r="865" spans="1:2" x14ac:dyDescent="0.25">
      <c r="A865" s="26" t="s">
        <v>651</v>
      </c>
      <c r="B865" s="30">
        <v>7</v>
      </c>
    </row>
    <row r="866" spans="1:2" hidden="1" x14ac:dyDescent="0.25">
      <c r="A866" s="29" t="s">
        <v>1455</v>
      </c>
      <c r="B866" s="30">
        <v>1</v>
      </c>
    </row>
    <row r="867" spans="1:2" hidden="1" x14ac:dyDescent="0.25">
      <c r="A867" s="29" t="s">
        <v>617</v>
      </c>
      <c r="B867" s="30">
        <v>1</v>
      </c>
    </row>
    <row r="868" spans="1:2" hidden="1" x14ac:dyDescent="0.25">
      <c r="A868" s="29" t="s">
        <v>2126</v>
      </c>
      <c r="B868" s="30">
        <v>1</v>
      </c>
    </row>
    <row r="869" spans="1:2" x14ac:dyDescent="0.25">
      <c r="A869" s="29" t="s">
        <v>970</v>
      </c>
      <c r="B869" s="30">
        <v>2</v>
      </c>
    </row>
    <row r="870" spans="1:2" hidden="1" x14ac:dyDescent="0.25">
      <c r="A870" s="29" t="s">
        <v>966</v>
      </c>
      <c r="B870" s="30">
        <v>1</v>
      </c>
    </row>
    <row r="871" spans="1:2" hidden="1" x14ac:dyDescent="0.25">
      <c r="A871" s="29" t="s">
        <v>1565</v>
      </c>
      <c r="B871" s="30">
        <v>1</v>
      </c>
    </row>
    <row r="872" spans="1:2" x14ac:dyDescent="0.25">
      <c r="A872" s="26" t="s">
        <v>522</v>
      </c>
      <c r="B872" s="30">
        <v>9</v>
      </c>
    </row>
    <row r="873" spans="1:2" hidden="1" x14ac:dyDescent="0.25">
      <c r="A873" s="29" t="s">
        <v>2374</v>
      </c>
      <c r="B873" s="30">
        <v>1</v>
      </c>
    </row>
    <row r="874" spans="1:2" hidden="1" x14ac:dyDescent="0.25">
      <c r="A874" s="29" t="s">
        <v>960</v>
      </c>
      <c r="B874" s="30">
        <v>1</v>
      </c>
    </row>
    <row r="875" spans="1:2" hidden="1" x14ac:dyDescent="0.25">
      <c r="A875" s="29" t="s">
        <v>23</v>
      </c>
      <c r="B875" s="30">
        <v>1</v>
      </c>
    </row>
    <row r="876" spans="1:2" hidden="1" x14ac:dyDescent="0.25">
      <c r="A876" s="29" t="s">
        <v>923</v>
      </c>
      <c r="B876" s="30">
        <v>1</v>
      </c>
    </row>
    <row r="877" spans="1:2" hidden="1" x14ac:dyDescent="0.25">
      <c r="A877" s="29" t="s">
        <v>1025</v>
      </c>
      <c r="B877" s="30">
        <v>1</v>
      </c>
    </row>
    <row r="878" spans="1:2" hidden="1" x14ac:dyDescent="0.25">
      <c r="A878" s="29" t="s">
        <v>950</v>
      </c>
      <c r="B878" s="30">
        <v>1</v>
      </c>
    </row>
    <row r="879" spans="1:2" hidden="1" x14ac:dyDescent="0.25">
      <c r="A879" s="29" t="s">
        <v>903</v>
      </c>
      <c r="B879" s="30">
        <v>1</v>
      </c>
    </row>
    <row r="880" spans="1:2" hidden="1" x14ac:dyDescent="0.25">
      <c r="A880" s="29" t="s">
        <v>970</v>
      </c>
      <c r="B880" s="30">
        <v>1</v>
      </c>
    </row>
    <row r="881" spans="1:2" hidden="1" x14ac:dyDescent="0.25">
      <c r="A881" s="29" t="s">
        <v>905</v>
      </c>
      <c r="B881" s="30">
        <v>1</v>
      </c>
    </row>
    <row r="882" spans="1:2" x14ac:dyDescent="0.25">
      <c r="A882" s="26" t="s">
        <v>891</v>
      </c>
      <c r="B882" s="30">
        <v>7</v>
      </c>
    </row>
    <row r="883" spans="1:2" hidden="1" x14ac:dyDescent="0.25">
      <c r="A883" s="29" t="s">
        <v>954</v>
      </c>
      <c r="B883" s="30">
        <v>1</v>
      </c>
    </row>
    <row r="884" spans="1:2" hidden="1" x14ac:dyDescent="0.25">
      <c r="A884" s="29" t="s">
        <v>1025</v>
      </c>
      <c r="B884" s="30">
        <v>1</v>
      </c>
    </row>
    <row r="885" spans="1:2" x14ac:dyDescent="0.25">
      <c r="A885" s="29" t="s">
        <v>2003</v>
      </c>
      <c r="B885" s="30">
        <v>2</v>
      </c>
    </row>
    <row r="886" spans="1:2" hidden="1" x14ac:dyDescent="0.25">
      <c r="A886" s="29" t="s">
        <v>2009</v>
      </c>
      <c r="B886" s="30">
        <v>1</v>
      </c>
    </row>
    <row r="887" spans="1:2" hidden="1" x14ac:dyDescent="0.25">
      <c r="A887" s="29" t="s">
        <v>2002</v>
      </c>
      <c r="B887" s="30">
        <v>1</v>
      </c>
    </row>
    <row r="888" spans="1:2" hidden="1" x14ac:dyDescent="0.25">
      <c r="A888" s="29" t="s">
        <v>2059</v>
      </c>
      <c r="B888" s="30">
        <v>1</v>
      </c>
    </row>
    <row r="889" spans="1:2" x14ac:dyDescent="0.25">
      <c r="A889" s="26" t="s">
        <v>546</v>
      </c>
      <c r="B889" s="30">
        <v>10</v>
      </c>
    </row>
    <row r="890" spans="1:2" hidden="1" x14ac:dyDescent="0.25">
      <c r="A890" s="29" t="s">
        <v>941</v>
      </c>
      <c r="B890" s="30">
        <v>1</v>
      </c>
    </row>
    <row r="891" spans="1:2" x14ac:dyDescent="0.25">
      <c r="A891" s="29" t="s">
        <v>954</v>
      </c>
      <c r="B891" s="30">
        <v>2</v>
      </c>
    </row>
    <row r="892" spans="1:2" hidden="1" x14ac:dyDescent="0.25">
      <c r="A892" s="29" t="s">
        <v>1565</v>
      </c>
      <c r="B892" s="30">
        <v>1</v>
      </c>
    </row>
    <row r="893" spans="1:2" hidden="1" x14ac:dyDescent="0.25">
      <c r="A893" s="29" t="s">
        <v>2003</v>
      </c>
      <c r="B893" s="30">
        <v>1</v>
      </c>
    </row>
    <row r="894" spans="1:2" hidden="1" x14ac:dyDescent="0.25">
      <c r="A894" s="29" t="s">
        <v>2009</v>
      </c>
      <c r="B894" s="30">
        <v>1</v>
      </c>
    </row>
    <row r="895" spans="1:2" hidden="1" x14ac:dyDescent="0.25">
      <c r="A895" s="29" t="s">
        <v>2002</v>
      </c>
      <c r="B895" s="30">
        <v>1</v>
      </c>
    </row>
    <row r="896" spans="1:2" hidden="1" x14ac:dyDescent="0.25">
      <c r="A896" s="29" t="s">
        <v>2059</v>
      </c>
      <c r="B896" s="30">
        <v>1</v>
      </c>
    </row>
    <row r="897" spans="1:2" hidden="1" x14ac:dyDescent="0.25">
      <c r="A897" s="29" t="s">
        <v>2012</v>
      </c>
      <c r="B897" s="30">
        <v>1</v>
      </c>
    </row>
    <row r="898" spans="1:2" hidden="1" x14ac:dyDescent="0.25">
      <c r="A898" s="29" t="s">
        <v>1202</v>
      </c>
      <c r="B898" s="30">
        <v>1</v>
      </c>
    </row>
    <row r="899" spans="1:2" x14ac:dyDescent="0.25">
      <c r="A899" s="26" t="s">
        <v>573</v>
      </c>
      <c r="B899" s="30">
        <v>6</v>
      </c>
    </row>
    <row r="900" spans="1:2" hidden="1" x14ac:dyDescent="0.25">
      <c r="A900" s="29" t="s">
        <v>941</v>
      </c>
      <c r="B900" s="30">
        <v>1</v>
      </c>
    </row>
    <row r="901" spans="1:2" hidden="1" x14ac:dyDescent="0.25">
      <c r="A901" s="29" t="s">
        <v>960</v>
      </c>
      <c r="B901" s="30">
        <v>1</v>
      </c>
    </row>
    <row r="902" spans="1:2" hidden="1" x14ac:dyDescent="0.25">
      <c r="A902" s="29" t="s">
        <v>1042</v>
      </c>
      <c r="B902" s="30">
        <v>1</v>
      </c>
    </row>
    <row r="903" spans="1:2" hidden="1" x14ac:dyDescent="0.25">
      <c r="A903" s="29" t="s">
        <v>1828</v>
      </c>
      <c r="B903" s="30">
        <v>1</v>
      </c>
    </row>
    <row r="904" spans="1:2" hidden="1" x14ac:dyDescent="0.25">
      <c r="A904" s="29" t="s">
        <v>1129</v>
      </c>
      <c r="B904" s="30">
        <v>1</v>
      </c>
    </row>
    <row r="905" spans="1:2" hidden="1" x14ac:dyDescent="0.25">
      <c r="A905" s="29" t="s">
        <v>1123</v>
      </c>
      <c r="B905" s="30">
        <v>1</v>
      </c>
    </row>
    <row r="906" spans="1:2" x14ac:dyDescent="0.25">
      <c r="A906" s="26" t="s">
        <v>871</v>
      </c>
      <c r="B906" s="30">
        <v>6</v>
      </c>
    </row>
    <row r="907" spans="1:2" hidden="1" x14ac:dyDescent="0.25">
      <c r="A907" s="29" t="s">
        <v>1033</v>
      </c>
      <c r="B907" s="30">
        <v>1</v>
      </c>
    </row>
    <row r="908" spans="1:2" hidden="1" x14ac:dyDescent="0.25">
      <c r="A908" s="29" t="s">
        <v>916</v>
      </c>
      <c r="B908" s="30">
        <v>1</v>
      </c>
    </row>
    <row r="909" spans="1:2" hidden="1" x14ac:dyDescent="0.25">
      <c r="A909" s="29" t="s">
        <v>2374</v>
      </c>
      <c r="B909" s="30">
        <v>1</v>
      </c>
    </row>
    <row r="910" spans="1:2" x14ac:dyDescent="0.25">
      <c r="A910" s="29" t="s">
        <v>1483</v>
      </c>
      <c r="B910" s="30">
        <v>2</v>
      </c>
    </row>
    <row r="911" spans="1:2" hidden="1" x14ac:dyDescent="0.25">
      <c r="A911" s="29" t="s">
        <v>941</v>
      </c>
      <c r="B911" s="30">
        <v>1</v>
      </c>
    </row>
    <row r="912" spans="1:2" x14ac:dyDescent="0.25">
      <c r="A912" s="26" t="s">
        <v>718</v>
      </c>
      <c r="B912" s="30">
        <v>4</v>
      </c>
    </row>
    <row r="913" spans="1:2" hidden="1" x14ac:dyDescent="0.25">
      <c r="A913" s="29" t="s">
        <v>1033</v>
      </c>
      <c r="B913" s="30">
        <v>1</v>
      </c>
    </row>
    <row r="914" spans="1:2" hidden="1" x14ac:dyDescent="0.25">
      <c r="A914" s="29" t="s">
        <v>2374</v>
      </c>
      <c r="B914" s="30">
        <v>1</v>
      </c>
    </row>
    <row r="915" spans="1:2" hidden="1" x14ac:dyDescent="0.25">
      <c r="A915" s="29" t="s">
        <v>1483</v>
      </c>
      <c r="B915" s="30">
        <v>1</v>
      </c>
    </row>
    <row r="916" spans="1:2" hidden="1" x14ac:dyDescent="0.25">
      <c r="A916" s="29" t="s">
        <v>941</v>
      </c>
      <c r="B916" s="30">
        <v>1</v>
      </c>
    </row>
    <row r="917" spans="1:2" x14ac:dyDescent="0.25">
      <c r="A917" s="26" t="s">
        <v>1364</v>
      </c>
      <c r="B917" s="30">
        <v>7</v>
      </c>
    </row>
    <row r="918" spans="1:2" hidden="1" x14ac:dyDescent="0.25">
      <c r="A918" s="29" t="s">
        <v>941</v>
      </c>
      <c r="B918" s="30">
        <v>1</v>
      </c>
    </row>
    <row r="919" spans="1:2" hidden="1" x14ac:dyDescent="0.25">
      <c r="A919" s="29" t="s">
        <v>23</v>
      </c>
      <c r="B919" s="30">
        <v>1</v>
      </c>
    </row>
    <row r="920" spans="1:2" x14ac:dyDescent="0.25">
      <c r="A920" s="29" t="s">
        <v>923</v>
      </c>
      <c r="B920" s="30">
        <v>2</v>
      </c>
    </row>
    <row r="921" spans="1:2" hidden="1" x14ac:dyDescent="0.25">
      <c r="A921" s="29" t="s">
        <v>950</v>
      </c>
      <c r="B921" s="30">
        <v>1</v>
      </c>
    </row>
    <row r="922" spans="1:2" hidden="1" x14ac:dyDescent="0.25">
      <c r="A922" s="29" t="s">
        <v>1028</v>
      </c>
      <c r="B922" s="30">
        <v>1</v>
      </c>
    </row>
    <row r="923" spans="1:2" hidden="1" x14ac:dyDescent="0.25">
      <c r="A923" s="29" t="s">
        <v>18</v>
      </c>
      <c r="B923" s="30">
        <v>1</v>
      </c>
    </row>
    <row r="924" spans="1:2" x14ac:dyDescent="0.25">
      <c r="A924" s="26" t="s">
        <v>997</v>
      </c>
      <c r="B924" s="30">
        <v>5</v>
      </c>
    </row>
    <row r="925" spans="1:2" hidden="1" x14ac:dyDescent="0.25">
      <c r="A925" s="29" t="s">
        <v>941</v>
      </c>
      <c r="B925" s="30">
        <v>1</v>
      </c>
    </row>
    <row r="926" spans="1:2" hidden="1" x14ac:dyDescent="0.25">
      <c r="A926" s="29" t="s">
        <v>954</v>
      </c>
      <c r="B926" s="30">
        <v>1</v>
      </c>
    </row>
    <row r="927" spans="1:2" hidden="1" x14ac:dyDescent="0.25">
      <c r="A927" s="29" t="s">
        <v>903</v>
      </c>
      <c r="B927" s="30">
        <v>1</v>
      </c>
    </row>
    <row r="928" spans="1:2" hidden="1" x14ac:dyDescent="0.25">
      <c r="A928" s="29" t="s">
        <v>966</v>
      </c>
      <c r="B928" s="30">
        <v>1</v>
      </c>
    </row>
    <row r="929" spans="1:2" hidden="1" x14ac:dyDescent="0.25">
      <c r="A929" s="29" t="s">
        <v>905</v>
      </c>
      <c r="B929" s="30">
        <v>1</v>
      </c>
    </row>
    <row r="930" spans="1:2" x14ac:dyDescent="0.25">
      <c r="A930" s="26" t="s">
        <v>524</v>
      </c>
      <c r="B930" s="30">
        <v>7</v>
      </c>
    </row>
    <row r="931" spans="1:2" hidden="1" x14ac:dyDescent="0.25">
      <c r="A931" s="29" t="s">
        <v>916</v>
      </c>
      <c r="B931" s="30">
        <v>1</v>
      </c>
    </row>
    <row r="932" spans="1:2" hidden="1" x14ac:dyDescent="0.25">
      <c r="A932" s="29" t="s">
        <v>23</v>
      </c>
      <c r="B932" s="30">
        <v>1</v>
      </c>
    </row>
    <row r="933" spans="1:2" hidden="1" x14ac:dyDescent="0.25">
      <c r="A933" s="29" t="s">
        <v>903</v>
      </c>
      <c r="B933" s="30">
        <v>1</v>
      </c>
    </row>
    <row r="934" spans="1:2" hidden="1" x14ac:dyDescent="0.25">
      <c r="A934" s="29" t="s">
        <v>18</v>
      </c>
      <c r="B934" s="30">
        <v>1</v>
      </c>
    </row>
    <row r="935" spans="1:2" hidden="1" x14ac:dyDescent="0.25">
      <c r="A935" s="29" t="s">
        <v>21</v>
      </c>
      <c r="B935" s="30">
        <v>1</v>
      </c>
    </row>
    <row r="936" spans="1:2" hidden="1" x14ac:dyDescent="0.25">
      <c r="A936" s="29" t="s">
        <v>905</v>
      </c>
      <c r="B936" s="30">
        <v>1</v>
      </c>
    </row>
    <row r="937" spans="1:2" hidden="1" x14ac:dyDescent="0.25">
      <c r="A937" s="29" t="s">
        <v>899</v>
      </c>
      <c r="B937" s="30">
        <v>1</v>
      </c>
    </row>
    <row r="938" spans="1:2" x14ac:dyDescent="0.25">
      <c r="A938" s="26" t="s">
        <v>653</v>
      </c>
      <c r="B938" s="30">
        <v>5</v>
      </c>
    </row>
    <row r="939" spans="1:2" hidden="1" x14ac:dyDescent="0.25">
      <c r="A939" s="29" t="s">
        <v>916</v>
      </c>
      <c r="B939" s="30">
        <v>1</v>
      </c>
    </row>
    <row r="940" spans="1:2" hidden="1" x14ac:dyDescent="0.25">
      <c r="A940" s="29" t="s">
        <v>22</v>
      </c>
      <c r="B940" s="30">
        <v>1</v>
      </c>
    </row>
    <row r="941" spans="1:2" hidden="1" x14ac:dyDescent="0.25">
      <c r="A941" s="29" t="s">
        <v>698</v>
      </c>
      <c r="B941" s="30">
        <v>1</v>
      </c>
    </row>
    <row r="942" spans="1:2" hidden="1" x14ac:dyDescent="0.25">
      <c r="A942" s="29" t="s">
        <v>18</v>
      </c>
      <c r="B942" s="30">
        <v>1</v>
      </c>
    </row>
    <row r="943" spans="1:2" hidden="1" x14ac:dyDescent="0.25">
      <c r="A943" s="29" t="s">
        <v>21</v>
      </c>
      <c r="B943" s="30">
        <v>1</v>
      </c>
    </row>
    <row r="944" spans="1:2" x14ac:dyDescent="0.25">
      <c r="A944" s="26" t="s">
        <v>657</v>
      </c>
      <c r="B944" s="30">
        <v>9</v>
      </c>
    </row>
    <row r="945" spans="1:2" hidden="1" x14ac:dyDescent="0.25">
      <c r="A945" s="29" t="s">
        <v>1557</v>
      </c>
      <c r="B945" s="30">
        <v>1</v>
      </c>
    </row>
    <row r="946" spans="1:2" hidden="1" x14ac:dyDescent="0.25">
      <c r="A946" s="29" t="s">
        <v>22</v>
      </c>
      <c r="B946" s="30">
        <v>1</v>
      </c>
    </row>
    <row r="947" spans="1:2" hidden="1" x14ac:dyDescent="0.25">
      <c r="A947" s="29" t="s">
        <v>1455</v>
      </c>
      <c r="B947" s="30">
        <v>1</v>
      </c>
    </row>
    <row r="948" spans="1:2" hidden="1" x14ac:dyDescent="0.25">
      <c r="A948" s="29" t="s">
        <v>1452</v>
      </c>
      <c r="B948" s="30">
        <v>1</v>
      </c>
    </row>
    <row r="949" spans="1:2" hidden="1" x14ac:dyDescent="0.25">
      <c r="A949" s="29" t="s">
        <v>970</v>
      </c>
      <c r="B949" s="30">
        <v>1</v>
      </c>
    </row>
    <row r="950" spans="1:2" x14ac:dyDescent="0.25">
      <c r="A950" s="29" t="s">
        <v>966</v>
      </c>
      <c r="B950" s="30">
        <v>2</v>
      </c>
    </row>
    <row r="951" spans="1:2" hidden="1" x14ac:dyDescent="0.25">
      <c r="A951" s="29" t="s">
        <v>1565</v>
      </c>
      <c r="B951" s="30">
        <v>1</v>
      </c>
    </row>
    <row r="952" spans="1:2" hidden="1" x14ac:dyDescent="0.25">
      <c r="A952" s="29" t="s">
        <v>21</v>
      </c>
      <c r="B952" s="30">
        <v>1</v>
      </c>
    </row>
    <row r="953" spans="1:2" x14ac:dyDescent="0.25">
      <c r="A953" s="26" t="s">
        <v>2658</v>
      </c>
      <c r="B953" s="30">
        <v>4</v>
      </c>
    </row>
    <row r="954" spans="1:2" hidden="1" x14ac:dyDescent="0.25">
      <c r="A954" s="29" t="s">
        <v>617</v>
      </c>
      <c r="B954" s="30">
        <v>1</v>
      </c>
    </row>
    <row r="955" spans="1:2" hidden="1" x14ac:dyDescent="0.25">
      <c r="A955" s="29" t="s">
        <v>2009</v>
      </c>
      <c r="B955" s="30">
        <v>1</v>
      </c>
    </row>
    <row r="956" spans="1:2" hidden="1" x14ac:dyDescent="0.25">
      <c r="A956" s="29" t="s">
        <v>2002</v>
      </c>
      <c r="B956" s="30">
        <v>1</v>
      </c>
    </row>
    <row r="957" spans="1:2" hidden="1" x14ac:dyDescent="0.25">
      <c r="A957" s="29" t="s">
        <v>2059</v>
      </c>
      <c r="B957" s="30">
        <v>1</v>
      </c>
    </row>
    <row r="958" spans="1:2" x14ac:dyDescent="0.25">
      <c r="A958" s="26" t="s">
        <v>659</v>
      </c>
      <c r="B958" s="30">
        <v>5</v>
      </c>
    </row>
    <row r="959" spans="1:2" hidden="1" x14ac:dyDescent="0.25">
      <c r="A959" s="29" t="s">
        <v>23</v>
      </c>
      <c r="B959" s="30">
        <v>1</v>
      </c>
    </row>
    <row r="960" spans="1:2" hidden="1" x14ac:dyDescent="0.25">
      <c r="A960" s="29" t="s">
        <v>22</v>
      </c>
      <c r="B960" s="30">
        <v>1</v>
      </c>
    </row>
    <row r="961" spans="1:2" hidden="1" x14ac:dyDescent="0.25">
      <c r="A961" s="29" t="s">
        <v>698</v>
      </c>
      <c r="B961" s="30">
        <v>1</v>
      </c>
    </row>
    <row r="962" spans="1:2" hidden="1" x14ac:dyDescent="0.25">
      <c r="A962" s="29" t="s">
        <v>18</v>
      </c>
      <c r="B962" s="30">
        <v>1</v>
      </c>
    </row>
    <row r="963" spans="1:2" hidden="1" x14ac:dyDescent="0.25">
      <c r="A963" s="29" t="s">
        <v>21</v>
      </c>
      <c r="B963" s="30">
        <v>1</v>
      </c>
    </row>
    <row r="964" spans="1:2" x14ac:dyDescent="0.25">
      <c r="A964" s="26" t="s">
        <v>575</v>
      </c>
      <c r="B964" s="30">
        <v>7</v>
      </c>
    </row>
    <row r="965" spans="1:2" hidden="1" x14ac:dyDescent="0.25">
      <c r="A965" s="29" t="s">
        <v>941</v>
      </c>
      <c r="B965" s="30">
        <v>1</v>
      </c>
    </row>
    <row r="966" spans="1:2" hidden="1" x14ac:dyDescent="0.25">
      <c r="A966" s="29" t="s">
        <v>960</v>
      </c>
      <c r="B966" s="30">
        <v>1</v>
      </c>
    </row>
    <row r="967" spans="1:2" hidden="1" x14ac:dyDescent="0.25">
      <c r="A967" s="29" t="s">
        <v>1126</v>
      </c>
      <c r="B967" s="30">
        <v>1</v>
      </c>
    </row>
    <row r="968" spans="1:2" hidden="1" x14ac:dyDescent="0.25">
      <c r="A968" s="29" t="s">
        <v>1042</v>
      </c>
      <c r="B968" s="30">
        <v>1</v>
      </c>
    </row>
    <row r="969" spans="1:2" hidden="1" x14ac:dyDescent="0.25">
      <c r="A969" s="29" t="s">
        <v>1828</v>
      </c>
      <c r="B969" s="30">
        <v>1</v>
      </c>
    </row>
    <row r="970" spans="1:2" hidden="1" x14ac:dyDescent="0.25">
      <c r="A970" s="29" t="s">
        <v>1129</v>
      </c>
      <c r="B970" s="30">
        <v>1</v>
      </c>
    </row>
    <row r="971" spans="1:2" hidden="1" x14ac:dyDescent="0.25">
      <c r="A971" s="29" t="s">
        <v>1123</v>
      </c>
      <c r="B971" s="30">
        <v>1</v>
      </c>
    </row>
    <row r="972" spans="1:2" x14ac:dyDescent="0.25">
      <c r="A972" s="26" t="s">
        <v>548</v>
      </c>
      <c r="B972" s="30">
        <v>6</v>
      </c>
    </row>
    <row r="973" spans="1:2" hidden="1" x14ac:dyDescent="0.25">
      <c r="A973" s="29" t="s">
        <v>954</v>
      </c>
      <c r="B973" s="30">
        <v>1</v>
      </c>
    </row>
    <row r="974" spans="1:2" x14ac:dyDescent="0.25">
      <c r="A974" s="29" t="s">
        <v>2003</v>
      </c>
      <c r="B974" s="30">
        <v>2</v>
      </c>
    </row>
    <row r="975" spans="1:2" hidden="1" x14ac:dyDescent="0.25">
      <c r="A975" s="29" t="s">
        <v>2009</v>
      </c>
      <c r="B975" s="30">
        <v>1</v>
      </c>
    </row>
    <row r="976" spans="1:2" hidden="1" x14ac:dyDescent="0.25">
      <c r="A976" s="29" t="s">
        <v>2002</v>
      </c>
      <c r="B976" s="30">
        <v>1</v>
      </c>
    </row>
    <row r="977" spans="1:2" hidden="1" x14ac:dyDescent="0.25">
      <c r="A977" s="29" t="s">
        <v>2059</v>
      </c>
      <c r="B977" s="30">
        <v>1</v>
      </c>
    </row>
    <row r="978" spans="1:2" x14ac:dyDescent="0.25">
      <c r="A978" s="26" t="s">
        <v>599</v>
      </c>
      <c r="B978" s="30">
        <v>8</v>
      </c>
    </row>
    <row r="979" spans="1:2" hidden="1" x14ac:dyDescent="0.25">
      <c r="A979" s="29" t="s">
        <v>941</v>
      </c>
      <c r="B979" s="30">
        <v>1</v>
      </c>
    </row>
    <row r="980" spans="1:2" hidden="1" x14ac:dyDescent="0.25">
      <c r="A980" s="29" t="s">
        <v>1126</v>
      </c>
      <c r="B980" s="30">
        <v>1</v>
      </c>
    </row>
    <row r="981" spans="1:2" hidden="1" x14ac:dyDescent="0.25">
      <c r="A981" s="29" t="s">
        <v>1142</v>
      </c>
      <c r="B981" s="30">
        <v>1</v>
      </c>
    </row>
    <row r="982" spans="1:2" hidden="1" x14ac:dyDescent="0.25">
      <c r="A982" s="29" t="s">
        <v>1042</v>
      </c>
      <c r="B982" s="30">
        <v>1</v>
      </c>
    </row>
    <row r="983" spans="1:2" hidden="1" x14ac:dyDescent="0.25">
      <c r="A983" s="29" t="s">
        <v>1828</v>
      </c>
      <c r="B983" s="30">
        <v>1</v>
      </c>
    </row>
    <row r="984" spans="1:2" hidden="1" x14ac:dyDescent="0.25">
      <c r="A984" s="29" t="s">
        <v>1123</v>
      </c>
      <c r="B984" s="30">
        <v>1</v>
      </c>
    </row>
    <row r="985" spans="1:2" x14ac:dyDescent="0.25">
      <c r="A985" s="29" t="s">
        <v>1936</v>
      </c>
      <c r="B985" s="30">
        <v>2</v>
      </c>
    </row>
    <row r="986" spans="1:2" x14ac:dyDescent="0.25">
      <c r="A986" s="26" t="s">
        <v>597</v>
      </c>
      <c r="B986" s="30">
        <v>7</v>
      </c>
    </row>
    <row r="987" spans="1:2" hidden="1" x14ac:dyDescent="0.25">
      <c r="A987" s="29" t="s">
        <v>960</v>
      </c>
      <c r="B987" s="30">
        <v>1</v>
      </c>
    </row>
    <row r="988" spans="1:2" hidden="1" x14ac:dyDescent="0.25">
      <c r="A988" s="29" t="s">
        <v>1126</v>
      </c>
      <c r="B988" s="30">
        <v>1</v>
      </c>
    </row>
    <row r="989" spans="1:2" hidden="1" x14ac:dyDescent="0.25">
      <c r="A989" s="29" t="s">
        <v>1142</v>
      </c>
      <c r="B989" s="30">
        <v>1</v>
      </c>
    </row>
    <row r="990" spans="1:2" hidden="1" x14ac:dyDescent="0.25">
      <c r="A990" s="29" t="s">
        <v>1042</v>
      </c>
      <c r="B990" s="30">
        <v>1</v>
      </c>
    </row>
    <row r="991" spans="1:2" hidden="1" x14ac:dyDescent="0.25">
      <c r="A991" s="29" t="s">
        <v>1828</v>
      </c>
      <c r="B991" s="30">
        <v>1</v>
      </c>
    </row>
    <row r="992" spans="1:2" hidden="1" x14ac:dyDescent="0.25">
      <c r="A992" s="29" t="s">
        <v>1123</v>
      </c>
      <c r="B992" s="30">
        <v>1</v>
      </c>
    </row>
    <row r="993" spans="1:2" hidden="1" x14ac:dyDescent="0.25">
      <c r="A993" s="29" t="s">
        <v>1936</v>
      </c>
      <c r="B993" s="30">
        <v>1</v>
      </c>
    </row>
    <row r="994" spans="1:2" x14ac:dyDescent="0.25">
      <c r="A994" s="26" t="s">
        <v>655</v>
      </c>
      <c r="B994" s="30">
        <v>6</v>
      </c>
    </row>
    <row r="995" spans="1:2" hidden="1" x14ac:dyDescent="0.25">
      <c r="A995" s="29" t="s">
        <v>617</v>
      </c>
      <c r="B995" s="30">
        <v>1</v>
      </c>
    </row>
    <row r="996" spans="1:2" hidden="1" x14ac:dyDescent="0.25">
      <c r="A996" s="29" t="s">
        <v>1565</v>
      </c>
      <c r="B996" s="30">
        <v>1</v>
      </c>
    </row>
    <row r="997" spans="1:2" hidden="1" x14ac:dyDescent="0.25">
      <c r="A997" s="29" t="s">
        <v>635</v>
      </c>
      <c r="B997" s="30">
        <v>1</v>
      </c>
    </row>
    <row r="998" spans="1:2" hidden="1" x14ac:dyDescent="0.25">
      <c r="A998" s="29" t="s">
        <v>2009</v>
      </c>
      <c r="B998" s="30">
        <v>1</v>
      </c>
    </row>
    <row r="999" spans="1:2" hidden="1" x14ac:dyDescent="0.25">
      <c r="A999" s="29" t="s">
        <v>2059</v>
      </c>
      <c r="B999" s="30">
        <v>1</v>
      </c>
    </row>
    <row r="1000" spans="1:2" hidden="1" x14ac:dyDescent="0.25">
      <c r="A1000" s="29" t="s">
        <v>2012</v>
      </c>
      <c r="B1000" s="30">
        <v>1</v>
      </c>
    </row>
    <row r="1001" spans="1:2" x14ac:dyDescent="0.25">
      <c r="A1001" s="26" t="s">
        <v>526</v>
      </c>
      <c r="B1001" s="30">
        <v>5</v>
      </c>
    </row>
    <row r="1002" spans="1:2" hidden="1" x14ac:dyDescent="0.25">
      <c r="A1002" s="29" t="s">
        <v>941</v>
      </c>
      <c r="B1002" s="30">
        <v>1</v>
      </c>
    </row>
    <row r="1003" spans="1:2" hidden="1" x14ac:dyDescent="0.25">
      <c r="A1003" s="29" t="s">
        <v>923</v>
      </c>
      <c r="B1003" s="30">
        <v>1</v>
      </c>
    </row>
    <row r="1004" spans="1:2" hidden="1" x14ac:dyDescent="0.25">
      <c r="A1004" s="29" t="s">
        <v>1025</v>
      </c>
      <c r="B1004" s="30">
        <v>1</v>
      </c>
    </row>
    <row r="1005" spans="1:2" hidden="1" x14ac:dyDescent="0.25">
      <c r="A1005" s="29" t="s">
        <v>950</v>
      </c>
      <c r="B1005" s="30">
        <v>1</v>
      </c>
    </row>
    <row r="1006" spans="1:2" hidden="1" x14ac:dyDescent="0.25">
      <c r="A1006" s="29" t="s">
        <v>903</v>
      </c>
      <c r="B1006" s="30">
        <v>1</v>
      </c>
    </row>
    <row r="1007" spans="1:2" x14ac:dyDescent="0.25">
      <c r="A1007" s="26" t="s">
        <v>528</v>
      </c>
      <c r="B1007" s="30">
        <v>7</v>
      </c>
    </row>
    <row r="1008" spans="1:2" hidden="1" x14ac:dyDescent="0.25">
      <c r="A1008" s="29" t="s">
        <v>2374</v>
      </c>
      <c r="B1008" s="30">
        <v>1</v>
      </c>
    </row>
    <row r="1009" spans="1:2" hidden="1" x14ac:dyDescent="0.25">
      <c r="A1009" s="29" t="s">
        <v>1138</v>
      </c>
      <c r="B1009" s="30">
        <v>1</v>
      </c>
    </row>
    <row r="1010" spans="1:2" hidden="1" x14ac:dyDescent="0.25">
      <c r="A1010" s="29" t="s">
        <v>941</v>
      </c>
      <c r="B1010" s="30">
        <v>1</v>
      </c>
    </row>
    <row r="1011" spans="1:2" hidden="1" x14ac:dyDescent="0.25">
      <c r="A1011" s="29" t="s">
        <v>960</v>
      </c>
      <c r="B1011" s="30">
        <v>1</v>
      </c>
    </row>
    <row r="1012" spans="1:2" hidden="1" x14ac:dyDescent="0.25">
      <c r="A1012" s="29" t="s">
        <v>1142</v>
      </c>
      <c r="B1012" s="30">
        <v>1</v>
      </c>
    </row>
    <row r="1013" spans="1:2" hidden="1" x14ac:dyDescent="0.25">
      <c r="A1013" s="29" t="s">
        <v>1042</v>
      </c>
      <c r="B1013" s="30">
        <v>1</v>
      </c>
    </row>
    <row r="1014" spans="1:2" hidden="1" x14ac:dyDescent="0.25">
      <c r="A1014" s="29" t="s">
        <v>1123</v>
      </c>
      <c r="B1014" s="30">
        <v>1</v>
      </c>
    </row>
    <row r="1015" spans="1:2" x14ac:dyDescent="0.25">
      <c r="A1015" s="26" t="s">
        <v>764</v>
      </c>
      <c r="B1015" s="30">
        <v>4</v>
      </c>
    </row>
    <row r="1016" spans="1:2" hidden="1" x14ac:dyDescent="0.25">
      <c r="A1016" s="29" t="s">
        <v>960</v>
      </c>
      <c r="B1016" s="30">
        <v>1</v>
      </c>
    </row>
    <row r="1017" spans="1:2" hidden="1" x14ac:dyDescent="0.25">
      <c r="A1017" s="29" t="s">
        <v>1042</v>
      </c>
      <c r="B1017" s="30">
        <v>1</v>
      </c>
    </row>
    <row r="1018" spans="1:2" hidden="1" x14ac:dyDescent="0.25">
      <c r="A1018" s="29" t="s">
        <v>1129</v>
      </c>
      <c r="B1018" s="30">
        <v>1</v>
      </c>
    </row>
    <row r="1019" spans="1:2" hidden="1" x14ac:dyDescent="0.25">
      <c r="A1019" s="29" t="s">
        <v>1123</v>
      </c>
      <c r="B1019" s="30">
        <v>1</v>
      </c>
    </row>
    <row r="1020" spans="1:2" x14ac:dyDescent="0.25">
      <c r="A1020" s="26" t="s">
        <v>661</v>
      </c>
      <c r="B1020" s="30">
        <v>8</v>
      </c>
    </row>
    <row r="1021" spans="1:2" hidden="1" x14ac:dyDescent="0.25">
      <c r="A1021" s="29" t="s">
        <v>916</v>
      </c>
      <c r="B1021" s="30">
        <v>1</v>
      </c>
    </row>
    <row r="1022" spans="1:2" hidden="1" x14ac:dyDescent="0.25">
      <c r="A1022" s="29" t="s">
        <v>2374</v>
      </c>
      <c r="B1022" s="30">
        <v>1</v>
      </c>
    </row>
    <row r="1023" spans="1:2" hidden="1" x14ac:dyDescent="0.25">
      <c r="A1023" s="29" t="s">
        <v>941</v>
      </c>
      <c r="B1023" s="30">
        <v>1</v>
      </c>
    </row>
    <row r="1024" spans="1:2" hidden="1" x14ac:dyDescent="0.25">
      <c r="A1024" s="29" t="s">
        <v>22</v>
      </c>
      <c r="B1024" s="30">
        <v>1</v>
      </c>
    </row>
    <row r="1025" spans="1:2" hidden="1" x14ac:dyDescent="0.25">
      <c r="A1025" s="29" t="s">
        <v>698</v>
      </c>
      <c r="B1025" s="30">
        <v>1</v>
      </c>
    </row>
    <row r="1026" spans="1:2" hidden="1" x14ac:dyDescent="0.25">
      <c r="A1026" s="29" t="s">
        <v>1565</v>
      </c>
      <c r="B1026" s="30">
        <v>1</v>
      </c>
    </row>
    <row r="1027" spans="1:2" hidden="1" x14ac:dyDescent="0.25">
      <c r="A1027" s="29" t="s">
        <v>18</v>
      </c>
      <c r="B1027" s="30">
        <v>1</v>
      </c>
    </row>
    <row r="1028" spans="1:2" hidden="1" x14ac:dyDescent="0.25">
      <c r="A1028" s="29" t="s">
        <v>21</v>
      </c>
      <c r="B1028" s="30">
        <v>1</v>
      </c>
    </row>
    <row r="1029" spans="1:2" x14ac:dyDescent="0.25">
      <c r="A1029" s="26" t="s">
        <v>530</v>
      </c>
      <c r="B1029" s="30">
        <v>8</v>
      </c>
    </row>
    <row r="1030" spans="1:2" hidden="1" x14ac:dyDescent="0.25">
      <c r="A1030" s="29" t="s">
        <v>941</v>
      </c>
      <c r="B1030" s="30">
        <v>1</v>
      </c>
    </row>
    <row r="1031" spans="1:2" hidden="1" x14ac:dyDescent="0.25">
      <c r="A1031" s="29" t="s">
        <v>23</v>
      </c>
      <c r="B1031" s="30">
        <v>1</v>
      </c>
    </row>
    <row r="1032" spans="1:2" hidden="1" x14ac:dyDescent="0.25">
      <c r="A1032" s="29" t="s">
        <v>1225</v>
      </c>
      <c r="B1032" s="30">
        <v>1</v>
      </c>
    </row>
    <row r="1033" spans="1:2" hidden="1" x14ac:dyDescent="0.25">
      <c r="A1033" s="29" t="s">
        <v>923</v>
      </c>
      <c r="B1033" s="30">
        <v>1</v>
      </c>
    </row>
    <row r="1034" spans="1:2" hidden="1" x14ac:dyDescent="0.25">
      <c r="A1034" s="29" t="s">
        <v>1025</v>
      </c>
      <c r="B1034" s="30">
        <v>1</v>
      </c>
    </row>
    <row r="1035" spans="1:2" hidden="1" x14ac:dyDescent="0.25">
      <c r="A1035" s="29" t="s">
        <v>950</v>
      </c>
      <c r="B1035" s="30">
        <v>1</v>
      </c>
    </row>
    <row r="1036" spans="1:2" hidden="1" x14ac:dyDescent="0.25">
      <c r="A1036" s="29" t="s">
        <v>903</v>
      </c>
      <c r="B1036" s="30">
        <v>1</v>
      </c>
    </row>
    <row r="1037" spans="1:2" hidden="1" x14ac:dyDescent="0.25">
      <c r="A1037" s="29" t="s">
        <v>18</v>
      </c>
      <c r="B1037" s="30">
        <v>1</v>
      </c>
    </row>
    <row r="1038" spans="1:2" x14ac:dyDescent="0.25">
      <c r="A1038" s="26" t="s">
        <v>534</v>
      </c>
      <c r="B1038" s="30">
        <v>9</v>
      </c>
    </row>
    <row r="1039" spans="1:2" hidden="1" x14ac:dyDescent="0.25">
      <c r="A1039" s="29" t="s">
        <v>941</v>
      </c>
      <c r="B1039" s="30">
        <v>1</v>
      </c>
    </row>
    <row r="1040" spans="1:2" hidden="1" x14ac:dyDescent="0.25">
      <c r="A1040" s="29" t="s">
        <v>23</v>
      </c>
      <c r="B1040" s="30">
        <v>1</v>
      </c>
    </row>
    <row r="1041" spans="1:2" hidden="1" x14ac:dyDescent="0.25">
      <c r="A1041" s="29" t="s">
        <v>1455</v>
      </c>
      <c r="B1041" s="30">
        <v>1</v>
      </c>
    </row>
    <row r="1042" spans="1:2" hidden="1" x14ac:dyDescent="0.25">
      <c r="A1042" s="29" t="s">
        <v>1452</v>
      </c>
      <c r="B1042" s="30">
        <v>1</v>
      </c>
    </row>
    <row r="1043" spans="1:2" hidden="1" x14ac:dyDescent="0.25">
      <c r="A1043" s="29" t="s">
        <v>1225</v>
      </c>
      <c r="B1043" s="30">
        <v>1</v>
      </c>
    </row>
    <row r="1044" spans="1:2" hidden="1" x14ac:dyDescent="0.25">
      <c r="A1044" s="29" t="s">
        <v>950</v>
      </c>
      <c r="B1044" s="30">
        <v>1</v>
      </c>
    </row>
    <row r="1045" spans="1:2" hidden="1" x14ac:dyDescent="0.25">
      <c r="A1045" s="29" t="s">
        <v>903</v>
      </c>
      <c r="B1045" s="30">
        <v>1</v>
      </c>
    </row>
    <row r="1046" spans="1:2" hidden="1" x14ac:dyDescent="0.25">
      <c r="A1046" s="29" t="s">
        <v>908</v>
      </c>
      <c r="B1046" s="30">
        <v>1</v>
      </c>
    </row>
    <row r="1047" spans="1:2" hidden="1" x14ac:dyDescent="0.25">
      <c r="A1047" s="29" t="s">
        <v>18</v>
      </c>
      <c r="B1047" s="30">
        <v>1</v>
      </c>
    </row>
    <row r="1048" spans="1:2" x14ac:dyDescent="0.25">
      <c r="A1048" s="26" t="s">
        <v>720</v>
      </c>
      <c r="B1048" s="30">
        <v>6</v>
      </c>
    </row>
    <row r="1049" spans="1:2" x14ac:dyDescent="0.25">
      <c r="A1049" s="29" t="s">
        <v>1033</v>
      </c>
      <c r="B1049" s="30">
        <v>2</v>
      </c>
    </row>
    <row r="1050" spans="1:2" hidden="1" x14ac:dyDescent="0.25">
      <c r="A1050" s="29" t="s">
        <v>1557</v>
      </c>
      <c r="B1050" s="30">
        <v>1</v>
      </c>
    </row>
    <row r="1051" spans="1:2" hidden="1" x14ac:dyDescent="0.25">
      <c r="A1051" s="29" t="s">
        <v>916</v>
      </c>
      <c r="B1051" s="30">
        <v>1</v>
      </c>
    </row>
    <row r="1052" spans="1:2" hidden="1" x14ac:dyDescent="0.25">
      <c r="A1052" s="29" t="s">
        <v>1138</v>
      </c>
      <c r="B1052" s="30">
        <v>1</v>
      </c>
    </row>
    <row r="1053" spans="1:2" hidden="1" x14ac:dyDescent="0.25">
      <c r="A1053" s="29" t="s">
        <v>941</v>
      </c>
      <c r="B1053" s="30">
        <v>1</v>
      </c>
    </row>
    <row r="1054" spans="1:2" x14ac:dyDescent="0.25">
      <c r="A1054" s="26" t="s">
        <v>2664</v>
      </c>
      <c r="B1054" s="30">
        <v>3</v>
      </c>
    </row>
    <row r="1055" spans="1:2" hidden="1" x14ac:dyDescent="0.25">
      <c r="A1055" s="29" t="s">
        <v>960</v>
      </c>
      <c r="B1055" s="30">
        <v>1</v>
      </c>
    </row>
    <row r="1056" spans="1:2" hidden="1" x14ac:dyDescent="0.25">
      <c r="A1056" s="29" t="s">
        <v>954</v>
      </c>
      <c r="B1056" s="30">
        <v>1</v>
      </c>
    </row>
    <row r="1057" spans="1:2" hidden="1" x14ac:dyDescent="0.25">
      <c r="A1057" s="29" t="s">
        <v>1129</v>
      </c>
      <c r="B1057" s="30">
        <v>1</v>
      </c>
    </row>
    <row r="1058" spans="1:2" x14ac:dyDescent="0.25">
      <c r="A1058" s="26" t="s">
        <v>770</v>
      </c>
      <c r="B1058" s="30">
        <v>5</v>
      </c>
    </row>
    <row r="1059" spans="1:2" hidden="1" x14ac:dyDescent="0.25">
      <c r="A1059" s="29" t="s">
        <v>941</v>
      </c>
      <c r="B1059" s="30">
        <v>1</v>
      </c>
    </row>
    <row r="1060" spans="1:2" x14ac:dyDescent="0.25">
      <c r="A1060" s="29" t="s">
        <v>960</v>
      </c>
      <c r="B1060" s="30">
        <v>2</v>
      </c>
    </row>
    <row r="1061" spans="1:2" hidden="1" x14ac:dyDescent="0.25">
      <c r="A1061" s="29" t="s">
        <v>1042</v>
      </c>
      <c r="B1061" s="30">
        <v>1</v>
      </c>
    </row>
    <row r="1062" spans="1:2" hidden="1" x14ac:dyDescent="0.25">
      <c r="A1062" s="29" t="s">
        <v>1123</v>
      </c>
      <c r="B1062" s="30">
        <v>1</v>
      </c>
    </row>
    <row r="1063" spans="1:2" x14ac:dyDescent="0.25">
      <c r="A1063" s="26" t="s">
        <v>2667</v>
      </c>
      <c r="B1063" s="30">
        <v>3</v>
      </c>
    </row>
    <row r="1064" spans="1:2" hidden="1" x14ac:dyDescent="0.25">
      <c r="A1064" s="29" t="s">
        <v>960</v>
      </c>
      <c r="B1064" s="30">
        <v>1</v>
      </c>
    </row>
    <row r="1065" spans="1:2" hidden="1" x14ac:dyDescent="0.25">
      <c r="A1065" s="29" t="s">
        <v>954</v>
      </c>
      <c r="B1065" s="30">
        <v>1</v>
      </c>
    </row>
    <row r="1066" spans="1:2" hidden="1" x14ac:dyDescent="0.25">
      <c r="A1066" s="29" t="s">
        <v>1129</v>
      </c>
      <c r="B1066" s="30">
        <v>1</v>
      </c>
    </row>
    <row r="1067" spans="1:2" x14ac:dyDescent="0.25">
      <c r="A1067" s="26" t="s">
        <v>877</v>
      </c>
      <c r="B1067" s="30">
        <v>6</v>
      </c>
    </row>
    <row r="1068" spans="1:2" hidden="1" x14ac:dyDescent="0.25">
      <c r="A1068" s="29" t="s">
        <v>954</v>
      </c>
      <c r="B1068" s="30">
        <v>1</v>
      </c>
    </row>
    <row r="1069" spans="1:2" hidden="1" x14ac:dyDescent="0.25">
      <c r="A1069" s="29" t="s">
        <v>2003</v>
      </c>
      <c r="B1069" s="30">
        <v>1</v>
      </c>
    </row>
    <row r="1070" spans="1:2" hidden="1" x14ac:dyDescent="0.25">
      <c r="A1070" s="29" t="s">
        <v>2009</v>
      </c>
      <c r="B1070" s="30">
        <v>1</v>
      </c>
    </row>
    <row r="1071" spans="1:2" x14ac:dyDescent="0.25">
      <c r="A1071" s="29" t="s">
        <v>2002</v>
      </c>
      <c r="B1071" s="30">
        <v>2</v>
      </c>
    </row>
    <row r="1072" spans="1:2" hidden="1" x14ac:dyDescent="0.25">
      <c r="A1072" s="29" t="s">
        <v>2059</v>
      </c>
      <c r="B1072" s="30">
        <v>1</v>
      </c>
    </row>
    <row r="1073" spans="1:2" x14ac:dyDescent="0.25">
      <c r="A1073" s="26" t="s">
        <v>759</v>
      </c>
      <c r="B1073" s="30">
        <v>4</v>
      </c>
    </row>
    <row r="1074" spans="1:2" hidden="1" x14ac:dyDescent="0.25">
      <c r="A1074" s="29" t="s">
        <v>2374</v>
      </c>
      <c r="B1074" s="30">
        <v>1</v>
      </c>
    </row>
    <row r="1075" spans="1:2" hidden="1" x14ac:dyDescent="0.25">
      <c r="A1075" s="29" t="s">
        <v>923</v>
      </c>
      <c r="B1075" s="30">
        <v>1</v>
      </c>
    </row>
    <row r="1076" spans="1:2" hidden="1" x14ac:dyDescent="0.25">
      <c r="A1076" s="29" t="s">
        <v>1025</v>
      </c>
      <c r="B1076" s="30">
        <v>1</v>
      </c>
    </row>
    <row r="1077" spans="1:2" hidden="1" x14ac:dyDescent="0.25">
      <c r="A1077" s="29" t="s">
        <v>1028</v>
      </c>
      <c r="B1077" s="30">
        <v>1</v>
      </c>
    </row>
    <row r="1078" spans="1:2" x14ac:dyDescent="0.25">
      <c r="A1078" s="26" t="s">
        <v>847</v>
      </c>
      <c r="B1078" s="30">
        <v>5</v>
      </c>
    </row>
    <row r="1079" spans="1:2" x14ac:dyDescent="0.25">
      <c r="A1079" s="29" t="s">
        <v>1033</v>
      </c>
      <c r="B1079" s="30">
        <v>2</v>
      </c>
    </row>
    <row r="1080" spans="1:2" hidden="1" x14ac:dyDescent="0.25">
      <c r="A1080" s="29" t="s">
        <v>1138</v>
      </c>
      <c r="B1080" s="30">
        <v>1</v>
      </c>
    </row>
    <row r="1081" spans="1:2" hidden="1" x14ac:dyDescent="0.25">
      <c r="A1081" s="29" t="s">
        <v>941</v>
      </c>
      <c r="B1081" s="30">
        <v>1</v>
      </c>
    </row>
    <row r="1082" spans="1:2" hidden="1" x14ac:dyDescent="0.25">
      <c r="A1082" s="29" t="s">
        <v>960</v>
      </c>
      <c r="B1082" s="30">
        <v>1</v>
      </c>
    </row>
    <row r="1083" spans="1:2" x14ac:dyDescent="0.25">
      <c r="A1083" s="26" t="s">
        <v>663</v>
      </c>
      <c r="B1083" s="30">
        <v>5</v>
      </c>
    </row>
    <row r="1084" spans="1:2" hidden="1" x14ac:dyDescent="0.25">
      <c r="A1084" s="29" t="s">
        <v>916</v>
      </c>
      <c r="B1084" s="30">
        <v>1</v>
      </c>
    </row>
    <row r="1085" spans="1:2" hidden="1" x14ac:dyDescent="0.25">
      <c r="A1085" s="29" t="s">
        <v>22</v>
      </c>
      <c r="B1085" s="30">
        <v>1</v>
      </c>
    </row>
    <row r="1086" spans="1:2" hidden="1" x14ac:dyDescent="0.25">
      <c r="A1086" s="29" t="s">
        <v>698</v>
      </c>
      <c r="B1086" s="30">
        <v>1</v>
      </c>
    </row>
    <row r="1087" spans="1:2" hidden="1" x14ac:dyDescent="0.25">
      <c r="A1087" s="29" t="s">
        <v>18</v>
      </c>
      <c r="B1087" s="30">
        <v>1</v>
      </c>
    </row>
    <row r="1088" spans="1:2" hidden="1" x14ac:dyDescent="0.25">
      <c r="A1088" s="29" t="s">
        <v>21</v>
      </c>
      <c r="B1088" s="30">
        <v>1</v>
      </c>
    </row>
    <row r="1089" spans="1:2" x14ac:dyDescent="0.25">
      <c r="A1089" s="26" t="s">
        <v>975</v>
      </c>
      <c r="B1089" s="30">
        <v>8</v>
      </c>
    </row>
    <row r="1090" spans="1:2" hidden="1" x14ac:dyDescent="0.25">
      <c r="A1090" s="29" t="s">
        <v>941</v>
      </c>
      <c r="B1090" s="30">
        <v>1</v>
      </c>
    </row>
    <row r="1091" spans="1:2" hidden="1" x14ac:dyDescent="0.25">
      <c r="A1091" s="29" t="s">
        <v>960</v>
      </c>
      <c r="B1091" s="30">
        <v>1</v>
      </c>
    </row>
    <row r="1092" spans="1:2" hidden="1" x14ac:dyDescent="0.25">
      <c r="A1092" s="29" t="s">
        <v>954</v>
      </c>
      <c r="B1092" s="30">
        <v>1</v>
      </c>
    </row>
    <row r="1093" spans="1:2" hidden="1" x14ac:dyDescent="0.25">
      <c r="A1093" s="29" t="s">
        <v>950</v>
      </c>
      <c r="B1093" s="30">
        <v>1</v>
      </c>
    </row>
    <row r="1094" spans="1:2" hidden="1" x14ac:dyDescent="0.25">
      <c r="A1094" s="29" t="s">
        <v>903</v>
      </c>
      <c r="B1094" s="30">
        <v>1</v>
      </c>
    </row>
    <row r="1095" spans="1:2" hidden="1" x14ac:dyDescent="0.25">
      <c r="A1095" s="29" t="s">
        <v>966</v>
      </c>
      <c r="B1095" s="30">
        <v>1</v>
      </c>
    </row>
    <row r="1096" spans="1:2" hidden="1" x14ac:dyDescent="0.25">
      <c r="A1096" s="29" t="s">
        <v>18</v>
      </c>
      <c r="B1096" s="30">
        <v>1</v>
      </c>
    </row>
    <row r="1097" spans="1:2" hidden="1" x14ac:dyDescent="0.25">
      <c r="A1097" s="29" t="s">
        <v>905</v>
      </c>
      <c r="B1097" s="30">
        <v>1</v>
      </c>
    </row>
    <row r="1098" spans="1:2" x14ac:dyDescent="0.25">
      <c r="A1098" s="26" t="s">
        <v>724</v>
      </c>
      <c r="B1098" s="30">
        <v>4</v>
      </c>
    </row>
    <row r="1099" spans="1:2" hidden="1" x14ac:dyDescent="0.25">
      <c r="A1099" s="29" t="s">
        <v>1033</v>
      </c>
      <c r="B1099" s="30">
        <v>1</v>
      </c>
    </row>
    <row r="1100" spans="1:2" hidden="1" x14ac:dyDescent="0.25">
      <c r="A1100" s="29" t="s">
        <v>2374</v>
      </c>
      <c r="B1100" s="30">
        <v>1</v>
      </c>
    </row>
    <row r="1101" spans="1:2" hidden="1" x14ac:dyDescent="0.25">
      <c r="A1101" s="29" t="s">
        <v>1483</v>
      </c>
      <c r="B1101" s="30">
        <v>1</v>
      </c>
    </row>
    <row r="1102" spans="1:2" hidden="1" x14ac:dyDescent="0.25">
      <c r="A1102" s="29" t="s">
        <v>941</v>
      </c>
      <c r="B1102" s="30">
        <v>1</v>
      </c>
    </row>
    <row r="1103" spans="1:2" x14ac:dyDescent="0.25">
      <c r="A1103" s="26" t="s">
        <v>532</v>
      </c>
      <c r="B1103" s="30">
        <v>7</v>
      </c>
    </row>
    <row r="1104" spans="1:2" hidden="1" x14ac:dyDescent="0.25">
      <c r="A1104" s="29" t="s">
        <v>941</v>
      </c>
      <c r="B1104" s="30">
        <v>1</v>
      </c>
    </row>
    <row r="1105" spans="1:2" hidden="1" x14ac:dyDescent="0.25">
      <c r="A1105" s="29" t="s">
        <v>23</v>
      </c>
      <c r="B1105" s="30">
        <v>1</v>
      </c>
    </row>
    <row r="1106" spans="1:2" x14ac:dyDescent="0.25">
      <c r="A1106" s="29" t="s">
        <v>923</v>
      </c>
      <c r="B1106" s="30">
        <v>2</v>
      </c>
    </row>
    <row r="1107" spans="1:2" hidden="1" x14ac:dyDescent="0.25">
      <c r="A1107" s="29" t="s">
        <v>1025</v>
      </c>
      <c r="B1107" s="30">
        <v>1</v>
      </c>
    </row>
    <row r="1108" spans="1:2" hidden="1" x14ac:dyDescent="0.25">
      <c r="A1108" s="29" t="s">
        <v>950</v>
      </c>
      <c r="B1108" s="30">
        <v>1</v>
      </c>
    </row>
    <row r="1109" spans="1:2" hidden="1" x14ac:dyDescent="0.25">
      <c r="A1109" s="29" t="s">
        <v>18</v>
      </c>
      <c r="B1109" s="30">
        <v>1</v>
      </c>
    </row>
    <row r="1110" spans="1:2" x14ac:dyDescent="0.25">
      <c r="A1110" s="26" t="s">
        <v>2660</v>
      </c>
      <c r="B1110" s="30">
        <v>5</v>
      </c>
    </row>
    <row r="1111" spans="1:2" hidden="1" x14ac:dyDescent="0.25">
      <c r="A1111" s="29" t="s">
        <v>1557</v>
      </c>
      <c r="B1111" s="30">
        <v>1</v>
      </c>
    </row>
    <row r="1112" spans="1:2" hidden="1" x14ac:dyDescent="0.25">
      <c r="A1112" s="29" t="s">
        <v>1138</v>
      </c>
      <c r="B1112" s="30">
        <v>1</v>
      </c>
    </row>
    <row r="1113" spans="1:2" hidden="1" x14ac:dyDescent="0.25">
      <c r="A1113" s="29" t="s">
        <v>617</v>
      </c>
      <c r="B1113" s="30">
        <v>1</v>
      </c>
    </row>
    <row r="1114" spans="1:2" hidden="1" x14ac:dyDescent="0.25">
      <c r="A1114" s="29" t="s">
        <v>1025</v>
      </c>
      <c r="B1114" s="30">
        <v>1</v>
      </c>
    </row>
    <row r="1115" spans="1:2" hidden="1" x14ac:dyDescent="0.25">
      <c r="A1115" s="29" t="s">
        <v>1565</v>
      </c>
      <c r="B1115" s="30">
        <v>1</v>
      </c>
    </row>
    <row r="1116" spans="1:2" x14ac:dyDescent="0.25">
      <c r="A1116" s="26" t="s">
        <v>832</v>
      </c>
      <c r="B1116" s="30">
        <v>3</v>
      </c>
    </row>
    <row r="1117" spans="1:2" hidden="1" x14ac:dyDescent="0.25">
      <c r="A1117" s="29" t="s">
        <v>1033</v>
      </c>
      <c r="B1117" s="30">
        <v>1</v>
      </c>
    </row>
    <row r="1118" spans="1:2" hidden="1" x14ac:dyDescent="0.25">
      <c r="A1118" s="29" t="s">
        <v>1483</v>
      </c>
      <c r="B1118" s="30">
        <v>1</v>
      </c>
    </row>
    <row r="1119" spans="1:2" hidden="1" x14ac:dyDescent="0.25">
      <c r="A1119" s="29" t="s">
        <v>941</v>
      </c>
      <c r="B1119" s="30">
        <v>1</v>
      </c>
    </row>
    <row r="1120" spans="1:2" x14ac:dyDescent="0.25">
      <c r="A1120" s="26" t="s">
        <v>665</v>
      </c>
      <c r="B1120" s="30">
        <v>9</v>
      </c>
    </row>
    <row r="1121" spans="1:2" hidden="1" x14ac:dyDescent="0.25">
      <c r="A1121" s="29" t="s">
        <v>22</v>
      </c>
      <c r="B1121" s="30">
        <v>1</v>
      </c>
    </row>
    <row r="1122" spans="1:2" hidden="1" x14ac:dyDescent="0.25">
      <c r="A1122" s="29" t="s">
        <v>617</v>
      </c>
      <c r="B1122" s="30">
        <v>1</v>
      </c>
    </row>
    <row r="1123" spans="1:2" hidden="1" x14ac:dyDescent="0.25">
      <c r="A1123" s="29" t="s">
        <v>1565</v>
      </c>
      <c r="B1123" s="30">
        <v>1</v>
      </c>
    </row>
    <row r="1124" spans="1:2" hidden="1" x14ac:dyDescent="0.25">
      <c r="A1124" s="29" t="s">
        <v>635</v>
      </c>
      <c r="B1124" s="30">
        <v>1</v>
      </c>
    </row>
    <row r="1125" spans="1:2" hidden="1" x14ac:dyDescent="0.25">
      <c r="A1125" s="29" t="s">
        <v>2087</v>
      </c>
      <c r="B1125" s="30">
        <v>1</v>
      </c>
    </row>
    <row r="1126" spans="1:2" hidden="1" x14ac:dyDescent="0.25">
      <c r="A1126" s="29" t="s">
        <v>2009</v>
      </c>
      <c r="B1126" s="30">
        <v>1</v>
      </c>
    </row>
    <row r="1127" spans="1:2" x14ac:dyDescent="0.25">
      <c r="A1127" s="29" t="s">
        <v>2059</v>
      </c>
      <c r="B1127" s="30">
        <v>2</v>
      </c>
    </row>
    <row r="1128" spans="1:2" hidden="1" x14ac:dyDescent="0.25">
      <c r="A1128" s="29" t="s">
        <v>2012</v>
      </c>
      <c r="B1128" s="30">
        <v>1</v>
      </c>
    </row>
    <row r="1129" spans="1:2" x14ac:dyDescent="0.25">
      <c r="A1129" s="26" t="s">
        <v>540</v>
      </c>
      <c r="B1129" s="30">
        <v>6</v>
      </c>
    </row>
    <row r="1130" spans="1:2" hidden="1" x14ac:dyDescent="0.25">
      <c r="A1130" s="29" t="s">
        <v>941</v>
      </c>
      <c r="B1130" s="30">
        <v>1</v>
      </c>
    </row>
    <row r="1131" spans="1:2" hidden="1" x14ac:dyDescent="0.25">
      <c r="A1131" s="29" t="s">
        <v>23</v>
      </c>
      <c r="B1131" s="30">
        <v>1</v>
      </c>
    </row>
    <row r="1132" spans="1:2" hidden="1" x14ac:dyDescent="0.25">
      <c r="A1132" s="29" t="s">
        <v>923</v>
      </c>
      <c r="B1132" s="30">
        <v>1</v>
      </c>
    </row>
    <row r="1133" spans="1:2" hidden="1" x14ac:dyDescent="0.25">
      <c r="A1133" s="29" t="s">
        <v>1025</v>
      </c>
      <c r="B1133" s="30">
        <v>1</v>
      </c>
    </row>
    <row r="1134" spans="1:2" hidden="1" x14ac:dyDescent="0.25">
      <c r="A1134" s="29" t="s">
        <v>950</v>
      </c>
      <c r="B1134" s="30">
        <v>1</v>
      </c>
    </row>
    <row r="1135" spans="1:2" hidden="1" x14ac:dyDescent="0.25">
      <c r="A1135" s="29" t="s">
        <v>903</v>
      </c>
      <c r="B1135" s="30">
        <v>1</v>
      </c>
    </row>
    <row r="1136" spans="1:2" x14ac:dyDescent="0.25">
      <c r="A1136" s="26" t="s">
        <v>538</v>
      </c>
      <c r="B1136" s="30">
        <v>7</v>
      </c>
    </row>
    <row r="1137" spans="1:2" hidden="1" x14ac:dyDescent="0.25">
      <c r="A1137" s="29" t="s">
        <v>941</v>
      </c>
      <c r="B1137" s="30">
        <v>1</v>
      </c>
    </row>
    <row r="1138" spans="1:2" x14ac:dyDescent="0.25">
      <c r="A1138" s="29" t="s">
        <v>923</v>
      </c>
      <c r="B1138" s="30">
        <v>2</v>
      </c>
    </row>
    <row r="1139" spans="1:2" x14ac:dyDescent="0.25">
      <c r="A1139" s="29" t="s">
        <v>1025</v>
      </c>
      <c r="B1139" s="30">
        <v>2</v>
      </c>
    </row>
    <row r="1140" spans="1:2" hidden="1" x14ac:dyDescent="0.25">
      <c r="A1140" s="29" t="s">
        <v>950</v>
      </c>
      <c r="B1140" s="30">
        <v>1</v>
      </c>
    </row>
    <row r="1141" spans="1:2" hidden="1" x14ac:dyDescent="0.25">
      <c r="A1141" s="29" t="s">
        <v>1028</v>
      </c>
      <c r="B1141" s="30">
        <v>1</v>
      </c>
    </row>
    <row r="1142" spans="1:2" x14ac:dyDescent="0.25">
      <c r="A1142" s="26" t="s">
        <v>885</v>
      </c>
      <c r="B1142" s="30">
        <v>6</v>
      </c>
    </row>
    <row r="1143" spans="1:2" hidden="1" x14ac:dyDescent="0.25">
      <c r="A1143" s="29" t="s">
        <v>954</v>
      </c>
      <c r="B1143" s="30">
        <v>1</v>
      </c>
    </row>
    <row r="1144" spans="1:2" x14ac:dyDescent="0.25">
      <c r="A1144" s="29" t="s">
        <v>2003</v>
      </c>
      <c r="B1144" s="30">
        <v>2</v>
      </c>
    </row>
    <row r="1145" spans="1:2" hidden="1" x14ac:dyDescent="0.25">
      <c r="A1145" s="29" t="s">
        <v>2009</v>
      </c>
      <c r="B1145" s="30">
        <v>1</v>
      </c>
    </row>
    <row r="1146" spans="1:2" hidden="1" x14ac:dyDescent="0.25">
      <c r="A1146" s="29" t="s">
        <v>2002</v>
      </c>
      <c r="B1146" s="30">
        <v>1</v>
      </c>
    </row>
    <row r="1147" spans="1:2" hidden="1" x14ac:dyDescent="0.25">
      <c r="A1147" s="29" t="s">
        <v>2059</v>
      </c>
      <c r="B1147" s="30">
        <v>1</v>
      </c>
    </row>
    <row r="1148" spans="1:2" x14ac:dyDescent="0.25">
      <c r="A1148" s="26" t="s">
        <v>726</v>
      </c>
      <c r="B1148" s="30">
        <v>4</v>
      </c>
    </row>
    <row r="1149" spans="1:2" hidden="1" x14ac:dyDescent="0.25">
      <c r="A1149" s="29" t="s">
        <v>1557</v>
      </c>
      <c r="B1149" s="30">
        <v>1</v>
      </c>
    </row>
    <row r="1150" spans="1:2" hidden="1" x14ac:dyDescent="0.25">
      <c r="A1150" s="29" t="s">
        <v>916</v>
      </c>
      <c r="B1150" s="30">
        <v>1</v>
      </c>
    </row>
    <row r="1151" spans="1:2" hidden="1" x14ac:dyDescent="0.25">
      <c r="A1151" s="29" t="s">
        <v>1483</v>
      </c>
      <c r="B1151" s="30">
        <v>1</v>
      </c>
    </row>
    <row r="1152" spans="1:2" hidden="1" x14ac:dyDescent="0.25">
      <c r="A1152" s="29" t="s">
        <v>22</v>
      </c>
      <c r="B1152" s="30">
        <v>1</v>
      </c>
    </row>
    <row r="1153" spans="1:2" x14ac:dyDescent="0.25">
      <c r="A1153" s="26" t="s">
        <v>854</v>
      </c>
      <c r="B1153" s="30">
        <v>7</v>
      </c>
    </row>
    <row r="1154" spans="1:2" hidden="1" x14ac:dyDescent="0.25">
      <c r="A1154" s="29" t="s">
        <v>1557</v>
      </c>
      <c r="B1154" s="30">
        <v>1</v>
      </c>
    </row>
    <row r="1155" spans="1:2" hidden="1" x14ac:dyDescent="0.25">
      <c r="A1155" s="29" t="s">
        <v>916</v>
      </c>
      <c r="B1155" s="30">
        <v>1</v>
      </c>
    </row>
    <row r="1156" spans="1:2" x14ac:dyDescent="0.25">
      <c r="A1156" s="29" t="s">
        <v>1138</v>
      </c>
      <c r="B1156" s="30">
        <v>2</v>
      </c>
    </row>
    <row r="1157" spans="1:2" hidden="1" x14ac:dyDescent="0.25">
      <c r="A1157" s="29" t="s">
        <v>941</v>
      </c>
      <c r="B1157" s="30">
        <v>1</v>
      </c>
    </row>
    <row r="1158" spans="1:2" hidden="1" x14ac:dyDescent="0.25">
      <c r="A1158" s="29" t="s">
        <v>1025</v>
      </c>
      <c r="B1158" s="30">
        <v>1</v>
      </c>
    </row>
    <row r="1159" spans="1:2" hidden="1" x14ac:dyDescent="0.25">
      <c r="A1159" s="29" t="s">
        <v>1565</v>
      </c>
      <c r="B1159" s="30">
        <v>1</v>
      </c>
    </row>
    <row r="1160" spans="1:2" x14ac:dyDescent="0.25">
      <c r="A1160" s="26" t="s">
        <v>637</v>
      </c>
      <c r="B1160" s="30">
        <v>6</v>
      </c>
    </row>
    <row r="1161" spans="1:2" hidden="1" x14ac:dyDescent="0.25">
      <c r="A1161" s="29" t="s">
        <v>1452</v>
      </c>
      <c r="B1161" s="30">
        <v>1</v>
      </c>
    </row>
    <row r="1162" spans="1:2" hidden="1" x14ac:dyDescent="0.25">
      <c r="A1162" s="29" t="s">
        <v>617</v>
      </c>
      <c r="B1162" s="30">
        <v>1</v>
      </c>
    </row>
    <row r="1163" spans="1:2" hidden="1" x14ac:dyDescent="0.25">
      <c r="A1163" s="29" t="s">
        <v>635</v>
      </c>
      <c r="B1163" s="30">
        <v>1</v>
      </c>
    </row>
    <row r="1164" spans="1:2" hidden="1" x14ac:dyDescent="0.25">
      <c r="A1164" s="29" t="s">
        <v>2087</v>
      </c>
      <c r="B1164" s="30">
        <v>1</v>
      </c>
    </row>
    <row r="1165" spans="1:2" hidden="1" x14ac:dyDescent="0.25">
      <c r="A1165" s="29" t="s">
        <v>2009</v>
      </c>
      <c r="B1165" s="30">
        <v>1</v>
      </c>
    </row>
    <row r="1166" spans="1:2" hidden="1" x14ac:dyDescent="0.25">
      <c r="A1166" s="29" t="s">
        <v>2059</v>
      </c>
      <c r="B1166" s="30">
        <v>1</v>
      </c>
    </row>
    <row r="1167" spans="1:2" x14ac:dyDescent="0.25">
      <c r="A1167" s="26" t="s">
        <v>868</v>
      </c>
      <c r="B1167" s="30">
        <v>7</v>
      </c>
    </row>
    <row r="1168" spans="1:2" hidden="1" x14ac:dyDescent="0.25">
      <c r="A1168" s="29" t="s">
        <v>1033</v>
      </c>
      <c r="B1168" s="30">
        <v>1</v>
      </c>
    </row>
    <row r="1169" spans="1:2" x14ac:dyDescent="0.25">
      <c r="A1169" s="29" t="s">
        <v>1557</v>
      </c>
      <c r="B1169" s="30">
        <v>2</v>
      </c>
    </row>
    <row r="1170" spans="1:2" hidden="1" x14ac:dyDescent="0.25">
      <c r="A1170" s="29" t="s">
        <v>916</v>
      </c>
      <c r="B1170" s="30">
        <v>1</v>
      </c>
    </row>
    <row r="1171" spans="1:2" hidden="1" x14ac:dyDescent="0.25">
      <c r="A1171" s="29" t="s">
        <v>1483</v>
      </c>
      <c r="B1171" s="30">
        <v>1</v>
      </c>
    </row>
    <row r="1172" spans="1:2" hidden="1" x14ac:dyDescent="0.25">
      <c r="A1172" s="29" t="s">
        <v>1138</v>
      </c>
      <c r="B1172" s="30">
        <v>1</v>
      </c>
    </row>
    <row r="1173" spans="1:2" hidden="1" x14ac:dyDescent="0.25">
      <c r="A1173" s="29" t="s">
        <v>22</v>
      </c>
      <c r="B1173" s="30">
        <v>1</v>
      </c>
    </row>
    <row r="1174" spans="1:2" x14ac:dyDescent="0.25">
      <c r="A1174" s="26" t="s">
        <v>488</v>
      </c>
      <c r="B1174" s="30">
        <v>8</v>
      </c>
    </row>
    <row r="1175" spans="1:2" hidden="1" x14ac:dyDescent="0.25">
      <c r="A1175" s="29" t="s">
        <v>2374</v>
      </c>
      <c r="B1175" s="30">
        <v>1</v>
      </c>
    </row>
    <row r="1176" spans="1:2" hidden="1" x14ac:dyDescent="0.25">
      <c r="A1176" s="29" t="s">
        <v>941</v>
      </c>
      <c r="B1176" s="30">
        <v>1</v>
      </c>
    </row>
    <row r="1177" spans="1:2" hidden="1" x14ac:dyDescent="0.25">
      <c r="A1177" s="29" t="s">
        <v>960</v>
      </c>
      <c r="B1177" s="30">
        <v>1</v>
      </c>
    </row>
    <row r="1178" spans="1:2" hidden="1" x14ac:dyDescent="0.25">
      <c r="A1178" s="29" t="s">
        <v>1126</v>
      </c>
      <c r="B1178" s="30">
        <v>1</v>
      </c>
    </row>
    <row r="1179" spans="1:2" hidden="1" x14ac:dyDescent="0.25">
      <c r="A1179" s="29" t="s">
        <v>1042</v>
      </c>
      <c r="B1179" s="30">
        <v>1</v>
      </c>
    </row>
    <row r="1180" spans="1:2" hidden="1" x14ac:dyDescent="0.25">
      <c r="A1180" s="29" t="s">
        <v>1028</v>
      </c>
      <c r="B1180" s="30">
        <v>1</v>
      </c>
    </row>
    <row r="1181" spans="1:2" hidden="1" x14ac:dyDescent="0.25">
      <c r="A1181" s="29" t="s">
        <v>1129</v>
      </c>
      <c r="B1181" s="30">
        <v>1</v>
      </c>
    </row>
    <row r="1182" spans="1:2" hidden="1" x14ac:dyDescent="0.25">
      <c r="A1182" s="29" t="s">
        <v>1123</v>
      </c>
      <c r="B1182" s="30">
        <v>1</v>
      </c>
    </row>
    <row r="1183" spans="1:2" x14ac:dyDescent="0.25">
      <c r="A1183" s="26" t="s">
        <v>645</v>
      </c>
      <c r="B1183" s="30">
        <v>8</v>
      </c>
    </row>
    <row r="1184" spans="1:2" hidden="1" x14ac:dyDescent="0.25">
      <c r="A1184" s="29" t="s">
        <v>1557</v>
      </c>
      <c r="B1184" s="30">
        <v>1</v>
      </c>
    </row>
    <row r="1185" spans="1:2" hidden="1" x14ac:dyDescent="0.25">
      <c r="A1185" s="29" t="s">
        <v>22</v>
      </c>
      <c r="B1185" s="30">
        <v>1</v>
      </c>
    </row>
    <row r="1186" spans="1:2" hidden="1" x14ac:dyDescent="0.25">
      <c r="A1186" s="29" t="s">
        <v>2126</v>
      </c>
      <c r="B1186" s="30">
        <v>1</v>
      </c>
    </row>
    <row r="1187" spans="1:2" hidden="1" x14ac:dyDescent="0.25">
      <c r="A1187" s="29" t="s">
        <v>970</v>
      </c>
      <c r="B1187" s="30">
        <v>1</v>
      </c>
    </row>
    <row r="1188" spans="1:2" hidden="1" x14ac:dyDescent="0.25">
      <c r="A1188" s="29" t="s">
        <v>1565</v>
      </c>
      <c r="B1188" s="30">
        <v>1</v>
      </c>
    </row>
    <row r="1189" spans="1:2" x14ac:dyDescent="0.25">
      <c r="A1189" s="29" t="s">
        <v>2129</v>
      </c>
      <c r="B1189" s="30">
        <v>2</v>
      </c>
    </row>
    <row r="1190" spans="1:2" hidden="1" x14ac:dyDescent="0.25">
      <c r="A1190" s="29" t="s">
        <v>21</v>
      </c>
      <c r="B1190" s="30">
        <v>1</v>
      </c>
    </row>
    <row r="1191" spans="1:2" x14ac:dyDescent="0.25">
      <c r="A1191" s="26" t="s">
        <v>722</v>
      </c>
      <c r="B1191" s="30">
        <v>7</v>
      </c>
    </row>
    <row r="1192" spans="1:2" hidden="1" x14ac:dyDescent="0.25">
      <c r="A1192" s="29" t="s">
        <v>1033</v>
      </c>
      <c r="B1192" s="30">
        <v>1</v>
      </c>
    </row>
    <row r="1193" spans="1:2" hidden="1" x14ac:dyDescent="0.25">
      <c r="A1193" s="29" t="s">
        <v>1557</v>
      </c>
      <c r="B1193" s="30">
        <v>1</v>
      </c>
    </row>
    <row r="1194" spans="1:2" hidden="1" x14ac:dyDescent="0.25">
      <c r="A1194" s="29" t="s">
        <v>916</v>
      </c>
      <c r="B1194" s="30">
        <v>1</v>
      </c>
    </row>
    <row r="1195" spans="1:2" x14ac:dyDescent="0.25">
      <c r="A1195" s="29" t="s">
        <v>1483</v>
      </c>
      <c r="B1195" s="30">
        <v>2</v>
      </c>
    </row>
    <row r="1196" spans="1:2" hidden="1" x14ac:dyDescent="0.25">
      <c r="A1196" s="29" t="s">
        <v>22</v>
      </c>
      <c r="B1196" s="30">
        <v>1</v>
      </c>
    </row>
    <row r="1197" spans="1:2" hidden="1" x14ac:dyDescent="0.25">
      <c r="A1197" s="29" t="s">
        <v>698</v>
      </c>
      <c r="B1197" s="30">
        <v>1</v>
      </c>
    </row>
    <row r="1198" spans="1:2" x14ac:dyDescent="0.25">
      <c r="A1198" s="26" t="s">
        <v>785</v>
      </c>
      <c r="B1198" s="30">
        <v>7</v>
      </c>
    </row>
    <row r="1199" spans="1:2" hidden="1" x14ac:dyDescent="0.25">
      <c r="A1199" s="29" t="s">
        <v>1591</v>
      </c>
      <c r="B1199" s="30">
        <v>1</v>
      </c>
    </row>
    <row r="1200" spans="1:2" hidden="1" x14ac:dyDescent="0.25">
      <c r="A1200" s="29" t="s">
        <v>960</v>
      </c>
      <c r="B1200" s="30">
        <v>1</v>
      </c>
    </row>
    <row r="1201" spans="1:2" hidden="1" x14ac:dyDescent="0.25">
      <c r="A1201" s="29" t="s">
        <v>1142</v>
      </c>
      <c r="B1201" s="30">
        <v>1</v>
      </c>
    </row>
    <row r="1202" spans="1:2" hidden="1" x14ac:dyDescent="0.25">
      <c r="A1202" s="29" t="s">
        <v>1042</v>
      </c>
      <c r="B1202" s="30">
        <v>1</v>
      </c>
    </row>
    <row r="1203" spans="1:2" hidden="1" x14ac:dyDescent="0.25">
      <c r="A1203" s="29" t="s">
        <v>970</v>
      </c>
      <c r="B1203" s="30">
        <v>1</v>
      </c>
    </row>
    <row r="1204" spans="1:2" hidden="1" x14ac:dyDescent="0.25">
      <c r="A1204" s="29" t="s">
        <v>2059</v>
      </c>
      <c r="B1204" s="30">
        <v>1</v>
      </c>
    </row>
    <row r="1205" spans="1:2" hidden="1" x14ac:dyDescent="0.25">
      <c r="A1205" s="29" t="s">
        <v>1123</v>
      </c>
      <c r="B1205" s="30">
        <v>1</v>
      </c>
    </row>
    <row r="1206" spans="1:2" x14ac:dyDescent="0.25">
      <c r="A1206" s="26" t="s">
        <v>536</v>
      </c>
      <c r="B1206" s="30">
        <v>8</v>
      </c>
    </row>
    <row r="1207" spans="1:2" hidden="1" x14ac:dyDescent="0.25">
      <c r="A1207" s="29" t="s">
        <v>916</v>
      </c>
      <c r="B1207" s="30">
        <v>1</v>
      </c>
    </row>
    <row r="1208" spans="1:2" hidden="1" x14ac:dyDescent="0.25">
      <c r="A1208" s="29" t="s">
        <v>23</v>
      </c>
      <c r="B1208" s="30">
        <v>1</v>
      </c>
    </row>
    <row r="1209" spans="1:2" hidden="1" x14ac:dyDescent="0.25">
      <c r="A1209" s="29" t="s">
        <v>923</v>
      </c>
      <c r="B1209" s="30">
        <v>1</v>
      </c>
    </row>
    <row r="1210" spans="1:2" hidden="1" x14ac:dyDescent="0.25">
      <c r="A1210" s="29" t="s">
        <v>903</v>
      </c>
      <c r="B1210" s="30">
        <v>1</v>
      </c>
    </row>
    <row r="1211" spans="1:2" hidden="1" x14ac:dyDescent="0.25">
      <c r="A1211" s="29" t="s">
        <v>908</v>
      </c>
      <c r="B1211" s="30">
        <v>1</v>
      </c>
    </row>
    <row r="1212" spans="1:2" hidden="1" x14ac:dyDescent="0.25">
      <c r="A1212" s="29" t="s">
        <v>18</v>
      </c>
      <c r="B1212" s="30">
        <v>1</v>
      </c>
    </row>
    <row r="1213" spans="1:2" hidden="1" x14ac:dyDescent="0.25">
      <c r="A1213" s="29" t="s">
        <v>905</v>
      </c>
      <c r="B1213" s="30">
        <v>1</v>
      </c>
    </row>
    <row r="1214" spans="1:2" hidden="1" x14ac:dyDescent="0.25">
      <c r="A1214" s="29" t="s">
        <v>899</v>
      </c>
      <c r="B1214" s="30">
        <v>1</v>
      </c>
    </row>
    <row r="1215" spans="1:2" x14ac:dyDescent="0.25">
      <c r="A1215" s="26" t="s">
        <v>476</v>
      </c>
      <c r="B1215" s="30">
        <v>7</v>
      </c>
    </row>
    <row r="1216" spans="1:2" hidden="1" x14ac:dyDescent="0.25">
      <c r="A1216" s="29" t="s">
        <v>2374</v>
      </c>
      <c r="B1216" s="30">
        <v>1</v>
      </c>
    </row>
    <row r="1217" spans="1:2" hidden="1" x14ac:dyDescent="0.25">
      <c r="A1217" s="29" t="s">
        <v>941</v>
      </c>
      <c r="B1217" s="30">
        <v>1</v>
      </c>
    </row>
    <row r="1218" spans="1:2" hidden="1" x14ac:dyDescent="0.25">
      <c r="A1218" s="29" t="s">
        <v>23</v>
      </c>
      <c r="B1218" s="30">
        <v>1</v>
      </c>
    </row>
    <row r="1219" spans="1:2" hidden="1" x14ac:dyDescent="0.25">
      <c r="A1219" s="29" t="s">
        <v>923</v>
      </c>
      <c r="B1219" s="30">
        <v>1</v>
      </c>
    </row>
    <row r="1220" spans="1:2" hidden="1" x14ac:dyDescent="0.25">
      <c r="A1220" s="29" t="s">
        <v>1025</v>
      </c>
      <c r="B1220" s="30">
        <v>1</v>
      </c>
    </row>
    <row r="1221" spans="1:2" hidden="1" x14ac:dyDescent="0.25">
      <c r="A1221" s="29" t="s">
        <v>950</v>
      </c>
      <c r="B1221" s="30">
        <v>1</v>
      </c>
    </row>
    <row r="1222" spans="1:2" hidden="1" x14ac:dyDescent="0.25">
      <c r="A1222" s="29" t="s">
        <v>1028</v>
      </c>
      <c r="B1222" s="30">
        <v>1</v>
      </c>
    </row>
    <row r="1223" spans="1:2" x14ac:dyDescent="0.25">
      <c r="A1223" s="26" t="s">
        <v>667</v>
      </c>
      <c r="B1223" s="30">
        <v>5</v>
      </c>
    </row>
    <row r="1224" spans="1:2" hidden="1" x14ac:dyDescent="0.25">
      <c r="A1224" s="29" t="s">
        <v>23</v>
      </c>
      <c r="B1224" s="30">
        <v>1</v>
      </c>
    </row>
    <row r="1225" spans="1:2" hidden="1" x14ac:dyDescent="0.25">
      <c r="A1225" s="29" t="s">
        <v>22</v>
      </c>
      <c r="B1225" s="30">
        <v>1</v>
      </c>
    </row>
    <row r="1226" spans="1:2" hidden="1" x14ac:dyDescent="0.25">
      <c r="A1226" s="29" t="s">
        <v>698</v>
      </c>
      <c r="B1226" s="30">
        <v>1</v>
      </c>
    </row>
    <row r="1227" spans="1:2" hidden="1" x14ac:dyDescent="0.25">
      <c r="A1227" s="29" t="s">
        <v>18</v>
      </c>
      <c r="B1227" s="30">
        <v>1</v>
      </c>
    </row>
    <row r="1228" spans="1:2" hidden="1" x14ac:dyDescent="0.25">
      <c r="A1228" s="29" t="s">
        <v>21</v>
      </c>
      <c r="B1228" s="30">
        <v>1</v>
      </c>
    </row>
    <row r="1229" spans="1:2" x14ac:dyDescent="0.25">
      <c r="A1229" s="26" t="s">
        <v>2590</v>
      </c>
      <c r="B1229" s="30">
        <v>3</v>
      </c>
    </row>
    <row r="1230" spans="1:2" hidden="1" x14ac:dyDescent="0.25">
      <c r="A1230" s="29" t="s">
        <v>1025</v>
      </c>
      <c r="B1230" s="30">
        <v>1</v>
      </c>
    </row>
    <row r="1231" spans="1:2" hidden="1" x14ac:dyDescent="0.25">
      <c r="A1231" s="29" t="s">
        <v>2003</v>
      </c>
      <c r="B1231" s="30">
        <v>1</v>
      </c>
    </row>
    <row r="1232" spans="1:2" hidden="1" x14ac:dyDescent="0.25">
      <c r="A1232" s="29" t="s">
        <v>2002</v>
      </c>
      <c r="B1232" s="30">
        <v>1</v>
      </c>
    </row>
    <row r="1233" spans="1:2" x14ac:dyDescent="0.25">
      <c r="A1233" s="26" t="s">
        <v>672</v>
      </c>
      <c r="B1233" s="30">
        <v>8</v>
      </c>
    </row>
    <row r="1234" spans="1:2" x14ac:dyDescent="0.25">
      <c r="A1234" s="29" t="s">
        <v>617</v>
      </c>
      <c r="B1234" s="30">
        <v>2</v>
      </c>
    </row>
    <row r="1235" spans="1:2" hidden="1" x14ac:dyDescent="0.25">
      <c r="A1235" s="29" t="s">
        <v>635</v>
      </c>
      <c r="B1235" s="30">
        <v>1</v>
      </c>
    </row>
    <row r="1236" spans="1:2" hidden="1" x14ac:dyDescent="0.25">
      <c r="A1236" s="29" t="s">
        <v>2087</v>
      </c>
      <c r="B1236" s="30">
        <v>1</v>
      </c>
    </row>
    <row r="1237" spans="1:2" hidden="1" x14ac:dyDescent="0.25">
      <c r="A1237" s="29" t="s">
        <v>2009</v>
      </c>
      <c r="B1237" s="30">
        <v>1</v>
      </c>
    </row>
    <row r="1238" spans="1:2" hidden="1" x14ac:dyDescent="0.25">
      <c r="A1238" s="29" t="s">
        <v>2059</v>
      </c>
      <c r="B1238" s="30">
        <v>1</v>
      </c>
    </row>
    <row r="1239" spans="1:2" hidden="1" x14ac:dyDescent="0.25">
      <c r="A1239" s="29" t="s">
        <v>2012</v>
      </c>
      <c r="B1239" s="30">
        <v>1</v>
      </c>
    </row>
    <row r="1240" spans="1:2" hidden="1" x14ac:dyDescent="0.25">
      <c r="A1240" s="29" t="s">
        <v>1202</v>
      </c>
      <c r="B1240" s="30">
        <v>1</v>
      </c>
    </row>
    <row r="1241" spans="1:2" x14ac:dyDescent="0.25">
      <c r="A1241" s="26" t="s">
        <v>810</v>
      </c>
      <c r="B1241" s="30">
        <v>6</v>
      </c>
    </row>
    <row r="1242" spans="1:2" hidden="1" x14ac:dyDescent="0.25">
      <c r="A1242" s="29" t="s">
        <v>23</v>
      </c>
      <c r="B1242" s="30">
        <v>1</v>
      </c>
    </row>
    <row r="1243" spans="1:2" hidden="1" x14ac:dyDescent="0.25">
      <c r="A1243" s="29" t="s">
        <v>1455</v>
      </c>
      <c r="B1243" s="30">
        <v>1</v>
      </c>
    </row>
    <row r="1244" spans="1:2" hidden="1" x14ac:dyDescent="0.25">
      <c r="A1244" s="29" t="s">
        <v>1452</v>
      </c>
      <c r="B1244" s="30">
        <v>1</v>
      </c>
    </row>
    <row r="1245" spans="1:2" hidden="1" x14ac:dyDescent="0.25">
      <c r="A1245" s="29" t="s">
        <v>617</v>
      </c>
      <c r="B1245" s="30">
        <v>1</v>
      </c>
    </row>
    <row r="1246" spans="1:2" hidden="1" x14ac:dyDescent="0.25">
      <c r="A1246" s="29" t="s">
        <v>970</v>
      </c>
      <c r="B1246" s="30">
        <v>1</v>
      </c>
    </row>
    <row r="1247" spans="1:2" hidden="1" x14ac:dyDescent="0.25">
      <c r="A1247" s="29" t="s">
        <v>21</v>
      </c>
      <c r="B1247" s="30">
        <v>1</v>
      </c>
    </row>
    <row r="1248" spans="1:2" x14ac:dyDescent="0.25">
      <c r="A1248" s="26" t="s">
        <v>730</v>
      </c>
      <c r="B1248" s="30">
        <v>5</v>
      </c>
    </row>
    <row r="1249" spans="1:2" hidden="1" x14ac:dyDescent="0.25">
      <c r="A1249" s="29" t="s">
        <v>1557</v>
      </c>
      <c r="B1249" s="30">
        <v>1</v>
      </c>
    </row>
    <row r="1250" spans="1:2" hidden="1" x14ac:dyDescent="0.25">
      <c r="A1250" s="29" t="s">
        <v>916</v>
      </c>
      <c r="B1250" s="30">
        <v>1</v>
      </c>
    </row>
    <row r="1251" spans="1:2" hidden="1" x14ac:dyDescent="0.25">
      <c r="A1251" s="29" t="s">
        <v>1138</v>
      </c>
      <c r="B1251" s="30">
        <v>1</v>
      </c>
    </row>
    <row r="1252" spans="1:2" hidden="1" x14ac:dyDescent="0.25">
      <c r="A1252" s="29" t="s">
        <v>22</v>
      </c>
      <c r="B1252" s="30">
        <v>1</v>
      </c>
    </row>
    <row r="1253" spans="1:2" hidden="1" x14ac:dyDescent="0.25">
      <c r="A1253" s="29" t="s">
        <v>1565</v>
      </c>
      <c r="B1253" s="30">
        <v>1</v>
      </c>
    </row>
    <row r="1254" spans="1:2" x14ac:dyDescent="0.25">
      <c r="A1254" s="26" t="s">
        <v>669</v>
      </c>
      <c r="B1254" s="30">
        <v>5</v>
      </c>
    </row>
    <row r="1255" spans="1:2" hidden="1" x14ac:dyDescent="0.25">
      <c r="A1255" s="29" t="s">
        <v>617</v>
      </c>
      <c r="B1255" s="30">
        <v>1</v>
      </c>
    </row>
    <row r="1256" spans="1:2" hidden="1" x14ac:dyDescent="0.25">
      <c r="A1256" s="29" t="s">
        <v>1565</v>
      </c>
      <c r="B1256" s="30">
        <v>1</v>
      </c>
    </row>
    <row r="1257" spans="1:2" hidden="1" x14ac:dyDescent="0.25">
      <c r="A1257" s="29" t="s">
        <v>2087</v>
      </c>
      <c r="B1257" s="30">
        <v>1</v>
      </c>
    </row>
    <row r="1258" spans="1:2" hidden="1" x14ac:dyDescent="0.25">
      <c r="A1258" s="29" t="s">
        <v>2059</v>
      </c>
      <c r="B1258" s="30">
        <v>1</v>
      </c>
    </row>
    <row r="1259" spans="1:2" hidden="1" x14ac:dyDescent="0.25">
      <c r="A1259" s="29" t="s">
        <v>2012</v>
      </c>
      <c r="B1259" s="30">
        <v>1</v>
      </c>
    </row>
    <row r="1260" spans="1:2" x14ac:dyDescent="0.25">
      <c r="A1260" s="26" t="s">
        <v>835</v>
      </c>
      <c r="B1260" s="30">
        <v>3</v>
      </c>
    </row>
    <row r="1261" spans="1:2" hidden="1" x14ac:dyDescent="0.25">
      <c r="A1261" s="29" t="s">
        <v>1033</v>
      </c>
      <c r="B1261" s="30">
        <v>1</v>
      </c>
    </row>
    <row r="1262" spans="1:2" hidden="1" x14ac:dyDescent="0.25">
      <c r="A1262" s="29" t="s">
        <v>1483</v>
      </c>
      <c r="B1262" s="30">
        <v>1</v>
      </c>
    </row>
    <row r="1263" spans="1:2" hidden="1" x14ac:dyDescent="0.25">
      <c r="A1263" s="29" t="s">
        <v>941</v>
      </c>
      <c r="B1263" s="30">
        <v>1</v>
      </c>
    </row>
    <row r="1264" spans="1:2" x14ac:dyDescent="0.25">
      <c r="A1264" s="26" t="s">
        <v>880</v>
      </c>
      <c r="B1264" s="30">
        <v>6</v>
      </c>
    </row>
    <row r="1265" spans="1:2" hidden="1" x14ac:dyDescent="0.25">
      <c r="A1265" s="29" t="s">
        <v>954</v>
      </c>
      <c r="B1265" s="30">
        <v>1</v>
      </c>
    </row>
    <row r="1266" spans="1:2" hidden="1" x14ac:dyDescent="0.25">
      <c r="A1266" s="29" t="s">
        <v>2003</v>
      </c>
      <c r="B1266" s="30">
        <v>1</v>
      </c>
    </row>
    <row r="1267" spans="1:2" hidden="1" x14ac:dyDescent="0.25">
      <c r="A1267" s="29" t="s">
        <v>2009</v>
      </c>
      <c r="B1267" s="30">
        <v>1</v>
      </c>
    </row>
    <row r="1268" spans="1:2" x14ac:dyDescent="0.25">
      <c r="A1268" s="29" t="s">
        <v>2002</v>
      </c>
      <c r="B1268" s="30">
        <v>2</v>
      </c>
    </row>
    <row r="1269" spans="1:2" hidden="1" x14ac:dyDescent="0.25">
      <c r="A1269" s="29" t="s">
        <v>2059</v>
      </c>
      <c r="B1269" s="30">
        <v>1</v>
      </c>
    </row>
    <row r="1270" spans="1:2" x14ac:dyDescent="0.25">
      <c r="A1270" s="26" t="s">
        <v>579</v>
      </c>
      <c r="B1270" s="30">
        <v>7</v>
      </c>
    </row>
    <row r="1271" spans="1:2" hidden="1" x14ac:dyDescent="0.25">
      <c r="A1271" s="29" t="s">
        <v>941</v>
      </c>
      <c r="B1271" s="30">
        <v>1</v>
      </c>
    </row>
    <row r="1272" spans="1:2" x14ac:dyDescent="0.25">
      <c r="A1272" s="29" t="s">
        <v>960</v>
      </c>
      <c r="B1272" s="30">
        <v>2</v>
      </c>
    </row>
    <row r="1273" spans="1:2" hidden="1" x14ac:dyDescent="0.25">
      <c r="A1273" s="29" t="s">
        <v>1042</v>
      </c>
      <c r="B1273" s="30">
        <v>1</v>
      </c>
    </row>
    <row r="1274" spans="1:2" hidden="1" x14ac:dyDescent="0.25">
      <c r="A1274" s="29" t="s">
        <v>1565</v>
      </c>
      <c r="B1274" s="30">
        <v>1</v>
      </c>
    </row>
    <row r="1275" spans="1:2" hidden="1" x14ac:dyDescent="0.25">
      <c r="A1275" s="29" t="s">
        <v>1129</v>
      </c>
      <c r="B1275" s="30">
        <v>1</v>
      </c>
    </row>
    <row r="1276" spans="1:2" hidden="1" x14ac:dyDescent="0.25">
      <c r="A1276" s="29" t="s">
        <v>1123</v>
      </c>
      <c r="B1276" s="30">
        <v>1</v>
      </c>
    </row>
    <row r="1277" spans="1:2" x14ac:dyDescent="0.25">
      <c r="A1277" s="26" t="s">
        <v>728</v>
      </c>
      <c r="B1277" s="30">
        <v>5</v>
      </c>
    </row>
    <row r="1278" spans="1:2" hidden="1" x14ac:dyDescent="0.25">
      <c r="A1278" s="29" t="s">
        <v>2374</v>
      </c>
      <c r="B1278" s="30">
        <v>1</v>
      </c>
    </row>
    <row r="1279" spans="1:2" hidden="1" x14ac:dyDescent="0.25">
      <c r="A1279" s="29" t="s">
        <v>941</v>
      </c>
      <c r="B1279" s="30">
        <v>1</v>
      </c>
    </row>
    <row r="1280" spans="1:2" hidden="1" x14ac:dyDescent="0.25">
      <c r="A1280" s="29" t="s">
        <v>698</v>
      </c>
      <c r="B1280" s="30">
        <v>1</v>
      </c>
    </row>
    <row r="1281" spans="1:2" hidden="1" x14ac:dyDescent="0.25">
      <c r="A1281" s="29" t="s">
        <v>1028</v>
      </c>
      <c r="B1281" s="30">
        <v>1</v>
      </c>
    </row>
    <row r="1282" spans="1:2" hidden="1" x14ac:dyDescent="0.25">
      <c r="A1282" s="29" t="s">
        <v>18</v>
      </c>
      <c r="B1282" s="30">
        <v>1</v>
      </c>
    </row>
    <row r="1283" spans="1:2" x14ac:dyDescent="0.25">
      <c r="A1283" s="26" t="s">
        <v>19</v>
      </c>
      <c r="B1283" s="30">
        <v>7</v>
      </c>
    </row>
    <row r="1284" spans="1:2" hidden="1" x14ac:dyDescent="0.25">
      <c r="A1284" s="29" t="s">
        <v>941</v>
      </c>
      <c r="B1284" s="30">
        <v>1</v>
      </c>
    </row>
    <row r="1285" spans="1:2" hidden="1" x14ac:dyDescent="0.25">
      <c r="A1285" s="29" t="s">
        <v>23</v>
      </c>
      <c r="B1285" s="30">
        <v>1</v>
      </c>
    </row>
    <row r="1286" spans="1:2" hidden="1" x14ac:dyDescent="0.25">
      <c r="A1286" s="29" t="s">
        <v>1225</v>
      </c>
      <c r="B1286" s="30">
        <v>1</v>
      </c>
    </row>
    <row r="1287" spans="1:2" hidden="1" x14ac:dyDescent="0.25">
      <c r="A1287" s="29" t="s">
        <v>923</v>
      </c>
      <c r="B1287" s="30">
        <v>1</v>
      </c>
    </row>
    <row r="1288" spans="1:2" hidden="1" x14ac:dyDescent="0.25">
      <c r="A1288" s="29" t="s">
        <v>1028</v>
      </c>
      <c r="B1288" s="30">
        <v>1</v>
      </c>
    </row>
    <row r="1289" spans="1:2" hidden="1" x14ac:dyDescent="0.25">
      <c r="A1289" s="29" t="s">
        <v>18</v>
      </c>
      <c r="B1289" s="30">
        <v>1</v>
      </c>
    </row>
    <row r="1290" spans="1:2" hidden="1" x14ac:dyDescent="0.25">
      <c r="A1290" s="29" t="s">
        <v>21</v>
      </c>
      <c r="B1290" s="30">
        <v>1</v>
      </c>
    </row>
    <row r="1291" spans="1:2" x14ac:dyDescent="0.25">
      <c r="A1291" s="26" t="s">
        <v>816</v>
      </c>
      <c r="B1291" s="30">
        <v>6</v>
      </c>
    </row>
    <row r="1292" spans="1:2" hidden="1" x14ac:dyDescent="0.25">
      <c r="A1292" s="29" t="s">
        <v>23</v>
      </c>
      <c r="B1292" s="30">
        <v>1</v>
      </c>
    </row>
    <row r="1293" spans="1:2" hidden="1" x14ac:dyDescent="0.25">
      <c r="A1293" s="29" t="s">
        <v>22</v>
      </c>
      <c r="B1293" s="30">
        <v>1</v>
      </c>
    </row>
    <row r="1294" spans="1:2" hidden="1" x14ac:dyDescent="0.25">
      <c r="A1294" s="29" t="s">
        <v>1455</v>
      </c>
      <c r="B1294" s="30">
        <v>1</v>
      </c>
    </row>
    <row r="1295" spans="1:2" hidden="1" x14ac:dyDescent="0.25">
      <c r="A1295" s="29" t="s">
        <v>1452</v>
      </c>
      <c r="B1295" s="30">
        <v>1</v>
      </c>
    </row>
    <row r="1296" spans="1:2" hidden="1" x14ac:dyDescent="0.25">
      <c r="A1296" s="29" t="s">
        <v>950</v>
      </c>
      <c r="B1296" s="30">
        <v>1</v>
      </c>
    </row>
    <row r="1297" spans="1:2" hidden="1" x14ac:dyDescent="0.25">
      <c r="A1297" s="29" t="s">
        <v>21</v>
      </c>
      <c r="B1297" s="30">
        <v>1</v>
      </c>
    </row>
    <row r="1298" spans="1:2" x14ac:dyDescent="0.25">
      <c r="A1298" s="26" t="s">
        <v>2665</v>
      </c>
      <c r="B1298" s="30">
        <v>2</v>
      </c>
    </row>
    <row r="1299" spans="1:2" hidden="1" x14ac:dyDescent="0.25">
      <c r="A1299" s="29" t="s">
        <v>2003</v>
      </c>
      <c r="B1299" s="30">
        <v>1</v>
      </c>
    </row>
    <row r="1300" spans="1:2" hidden="1" x14ac:dyDescent="0.25">
      <c r="A1300" s="29" t="s">
        <v>2002</v>
      </c>
      <c r="B1300" s="30">
        <v>1</v>
      </c>
    </row>
    <row r="1301" spans="1:2" x14ac:dyDescent="0.25">
      <c r="A1301" s="26" t="s">
        <v>732</v>
      </c>
      <c r="B1301" s="30">
        <v>6</v>
      </c>
    </row>
    <row r="1302" spans="1:2" hidden="1" x14ac:dyDescent="0.25">
      <c r="A1302" s="29" t="s">
        <v>1033</v>
      </c>
      <c r="B1302" s="30">
        <v>1</v>
      </c>
    </row>
    <row r="1303" spans="1:2" hidden="1" x14ac:dyDescent="0.25">
      <c r="A1303" s="29" t="s">
        <v>1557</v>
      </c>
      <c r="B1303" s="30">
        <v>1</v>
      </c>
    </row>
    <row r="1304" spans="1:2" hidden="1" x14ac:dyDescent="0.25">
      <c r="A1304" s="29" t="s">
        <v>916</v>
      </c>
      <c r="B1304" s="30">
        <v>1</v>
      </c>
    </row>
    <row r="1305" spans="1:2" hidden="1" x14ac:dyDescent="0.25">
      <c r="A1305" s="29" t="s">
        <v>1138</v>
      </c>
      <c r="B1305" s="30">
        <v>1</v>
      </c>
    </row>
    <row r="1306" spans="1:2" hidden="1" x14ac:dyDescent="0.25">
      <c r="A1306" s="29" t="s">
        <v>22</v>
      </c>
      <c r="B1306" s="30">
        <v>1</v>
      </c>
    </row>
    <row r="1307" spans="1:2" hidden="1" x14ac:dyDescent="0.25">
      <c r="A1307" s="29" t="s">
        <v>1565</v>
      </c>
      <c r="B1307" s="30">
        <v>1</v>
      </c>
    </row>
    <row r="1308" spans="1:2" x14ac:dyDescent="0.25">
      <c r="A1308" s="26" t="s">
        <v>542</v>
      </c>
      <c r="B1308" s="30">
        <v>8</v>
      </c>
    </row>
    <row r="1309" spans="1:2" hidden="1" x14ac:dyDescent="0.25">
      <c r="A1309" s="29" t="s">
        <v>941</v>
      </c>
      <c r="B1309" s="30">
        <v>1</v>
      </c>
    </row>
    <row r="1310" spans="1:2" hidden="1" x14ac:dyDescent="0.25">
      <c r="A1310" s="29" t="s">
        <v>23</v>
      </c>
      <c r="B1310" s="30">
        <v>1</v>
      </c>
    </row>
    <row r="1311" spans="1:2" hidden="1" x14ac:dyDescent="0.25">
      <c r="A1311" s="29" t="s">
        <v>1225</v>
      </c>
      <c r="B1311" s="30">
        <v>1</v>
      </c>
    </row>
    <row r="1312" spans="1:2" hidden="1" x14ac:dyDescent="0.25">
      <c r="A1312" s="29" t="s">
        <v>923</v>
      </c>
      <c r="B1312" s="30">
        <v>1</v>
      </c>
    </row>
    <row r="1313" spans="1:2" hidden="1" x14ac:dyDescent="0.25">
      <c r="A1313" s="29" t="s">
        <v>1025</v>
      </c>
      <c r="B1313" s="30">
        <v>1</v>
      </c>
    </row>
    <row r="1314" spans="1:2" hidden="1" x14ac:dyDescent="0.25">
      <c r="A1314" s="29" t="s">
        <v>950</v>
      </c>
      <c r="B1314" s="30">
        <v>1</v>
      </c>
    </row>
    <row r="1315" spans="1:2" hidden="1" x14ac:dyDescent="0.25">
      <c r="A1315" s="29" t="s">
        <v>903</v>
      </c>
      <c r="B1315" s="30">
        <v>1</v>
      </c>
    </row>
    <row r="1316" spans="1:2" hidden="1" x14ac:dyDescent="0.25">
      <c r="A1316" s="29" t="s">
        <v>18</v>
      </c>
      <c r="B1316" s="30">
        <v>1</v>
      </c>
    </row>
    <row r="1317" spans="1:2" x14ac:dyDescent="0.25">
      <c r="A1317" s="26" t="s">
        <v>605</v>
      </c>
      <c r="B1317" s="30">
        <v>8</v>
      </c>
    </row>
    <row r="1318" spans="1:2" hidden="1" x14ac:dyDescent="0.25">
      <c r="A1318" s="29" t="s">
        <v>1557</v>
      </c>
      <c r="B1318" s="30">
        <v>1</v>
      </c>
    </row>
    <row r="1319" spans="1:2" hidden="1" x14ac:dyDescent="0.25">
      <c r="A1319" s="29" t="s">
        <v>916</v>
      </c>
      <c r="B1319" s="30">
        <v>1</v>
      </c>
    </row>
    <row r="1320" spans="1:2" hidden="1" x14ac:dyDescent="0.25">
      <c r="A1320" s="29" t="s">
        <v>23</v>
      </c>
      <c r="B1320" s="30">
        <v>1</v>
      </c>
    </row>
    <row r="1321" spans="1:2" hidden="1" x14ac:dyDescent="0.25">
      <c r="A1321" s="29" t="s">
        <v>22</v>
      </c>
      <c r="B1321" s="30">
        <v>1</v>
      </c>
    </row>
    <row r="1322" spans="1:2" hidden="1" x14ac:dyDescent="0.25">
      <c r="A1322" s="29" t="s">
        <v>698</v>
      </c>
      <c r="B1322" s="30">
        <v>1</v>
      </c>
    </row>
    <row r="1323" spans="1:2" hidden="1" x14ac:dyDescent="0.25">
      <c r="A1323" s="29" t="s">
        <v>1565</v>
      </c>
      <c r="B1323" s="30">
        <v>1</v>
      </c>
    </row>
    <row r="1324" spans="1:2" hidden="1" x14ac:dyDescent="0.25">
      <c r="A1324" s="29" t="s">
        <v>18</v>
      </c>
      <c r="B1324" s="30">
        <v>1</v>
      </c>
    </row>
    <row r="1325" spans="1:2" hidden="1" x14ac:dyDescent="0.25">
      <c r="A1325" s="29" t="s">
        <v>21</v>
      </c>
      <c r="B1325" s="30">
        <v>1</v>
      </c>
    </row>
    <row r="1326" spans="1:2" x14ac:dyDescent="0.25">
      <c r="A1326" s="26" t="s">
        <v>581</v>
      </c>
      <c r="B1326" s="30">
        <v>13</v>
      </c>
    </row>
    <row r="1327" spans="1:2" hidden="1" x14ac:dyDescent="0.25">
      <c r="A1327" s="29" t="s">
        <v>941</v>
      </c>
      <c r="B1327" s="30">
        <v>1</v>
      </c>
    </row>
    <row r="1328" spans="1:2" hidden="1" x14ac:dyDescent="0.25">
      <c r="A1328" s="29" t="s">
        <v>960</v>
      </c>
      <c r="B1328" s="30">
        <v>1</v>
      </c>
    </row>
    <row r="1329" spans="1:2" hidden="1" x14ac:dyDescent="0.25">
      <c r="A1329" s="29" t="s">
        <v>954</v>
      </c>
      <c r="B1329" s="30">
        <v>1</v>
      </c>
    </row>
    <row r="1330" spans="1:2" hidden="1" x14ac:dyDescent="0.25">
      <c r="A1330" s="29" t="s">
        <v>617</v>
      </c>
      <c r="B1330" s="30">
        <v>1</v>
      </c>
    </row>
    <row r="1331" spans="1:2" hidden="1" x14ac:dyDescent="0.25">
      <c r="A1331" s="29" t="s">
        <v>1025</v>
      </c>
      <c r="B1331" s="30">
        <v>1</v>
      </c>
    </row>
    <row r="1332" spans="1:2" hidden="1" x14ac:dyDescent="0.25">
      <c r="A1332" s="29" t="s">
        <v>903</v>
      </c>
      <c r="B1332" s="30">
        <v>1</v>
      </c>
    </row>
    <row r="1333" spans="1:2" hidden="1" x14ac:dyDescent="0.25">
      <c r="A1333" s="29" t="s">
        <v>1565</v>
      </c>
      <c r="B1333" s="30">
        <v>1</v>
      </c>
    </row>
    <row r="1334" spans="1:2" hidden="1" x14ac:dyDescent="0.25">
      <c r="A1334" s="29" t="s">
        <v>18</v>
      </c>
      <c r="B1334" s="30">
        <v>1</v>
      </c>
    </row>
    <row r="1335" spans="1:2" hidden="1" x14ac:dyDescent="0.25">
      <c r="A1335" s="29" t="s">
        <v>1129</v>
      </c>
      <c r="B1335" s="30">
        <v>1</v>
      </c>
    </row>
    <row r="1336" spans="1:2" hidden="1" x14ac:dyDescent="0.25">
      <c r="A1336" s="29" t="s">
        <v>2002</v>
      </c>
      <c r="B1336" s="30">
        <v>1</v>
      </c>
    </row>
    <row r="1337" spans="1:2" hidden="1" x14ac:dyDescent="0.25">
      <c r="A1337" s="29" t="s">
        <v>905</v>
      </c>
      <c r="B1337" s="30">
        <v>1</v>
      </c>
    </row>
    <row r="1338" spans="1:2" hidden="1" x14ac:dyDescent="0.25">
      <c r="A1338" s="29" t="s">
        <v>899</v>
      </c>
      <c r="B1338" s="30">
        <v>1</v>
      </c>
    </row>
    <row r="1339" spans="1:2" hidden="1" x14ac:dyDescent="0.25">
      <c r="A1339" s="29" t="s">
        <v>1123</v>
      </c>
      <c r="B1339" s="30">
        <v>1</v>
      </c>
    </row>
    <row r="1340" spans="1:2" x14ac:dyDescent="0.25">
      <c r="A1340" s="26" t="s">
        <v>601</v>
      </c>
      <c r="B1340" s="30">
        <v>6</v>
      </c>
    </row>
    <row r="1341" spans="1:2" hidden="1" x14ac:dyDescent="0.25">
      <c r="A1341" s="29" t="s">
        <v>941</v>
      </c>
      <c r="B1341" s="30">
        <v>1</v>
      </c>
    </row>
    <row r="1342" spans="1:2" hidden="1" x14ac:dyDescent="0.25">
      <c r="A1342" s="29" t="s">
        <v>1126</v>
      </c>
      <c r="B1342" s="30">
        <v>1</v>
      </c>
    </row>
    <row r="1343" spans="1:2" hidden="1" x14ac:dyDescent="0.25">
      <c r="A1343" s="29" t="s">
        <v>1142</v>
      </c>
      <c r="B1343" s="30">
        <v>1</v>
      </c>
    </row>
    <row r="1344" spans="1:2" hidden="1" x14ac:dyDescent="0.25">
      <c r="A1344" s="29" t="s">
        <v>1042</v>
      </c>
      <c r="B1344" s="30">
        <v>1</v>
      </c>
    </row>
    <row r="1345" spans="1:2" hidden="1" x14ac:dyDescent="0.25">
      <c r="A1345" s="29" t="s">
        <v>1123</v>
      </c>
      <c r="B1345" s="30">
        <v>1</v>
      </c>
    </row>
    <row r="1346" spans="1:2" hidden="1" x14ac:dyDescent="0.25">
      <c r="A1346" s="29" t="s">
        <v>1936</v>
      </c>
      <c r="B1346" s="30">
        <v>1</v>
      </c>
    </row>
    <row r="1347" spans="1:2" x14ac:dyDescent="0.25">
      <c r="A1347" s="26" t="s">
        <v>2587</v>
      </c>
      <c r="B1347" s="30">
        <v>4</v>
      </c>
    </row>
    <row r="1348" spans="1:2" hidden="1" x14ac:dyDescent="0.25">
      <c r="A1348" s="29" t="s">
        <v>960</v>
      </c>
      <c r="B1348" s="30">
        <v>1</v>
      </c>
    </row>
    <row r="1349" spans="1:2" hidden="1" x14ac:dyDescent="0.25">
      <c r="A1349" s="29" t="s">
        <v>954</v>
      </c>
      <c r="B1349" s="30">
        <v>1</v>
      </c>
    </row>
    <row r="1350" spans="1:2" hidden="1" x14ac:dyDescent="0.25">
      <c r="A1350" s="29" t="s">
        <v>1042</v>
      </c>
      <c r="B1350" s="30">
        <v>1</v>
      </c>
    </row>
    <row r="1351" spans="1:2" hidden="1" x14ac:dyDescent="0.25">
      <c r="A1351" s="29" t="s">
        <v>1129</v>
      </c>
      <c r="B1351" s="30">
        <v>1</v>
      </c>
    </row>
    <row r="1352" spans="1:2" x14ac:dyDescent="0.25">
      <c r="A1352" s="26" t="s">
        <v>674</v>
      </c>
      <c r="B1352" s="30">
        <v>6</v>
      </c>
    </row>
    <row r="1353" spans="1:2" hidden="1" x14ac:dyDescent="0.25">
      <c r="A1353" s="29" t="s">
        <v>23</v>
      </c>
      <c r="B1353" s="30">
        <v>1</v>
      </c>
    </row>
    <row r="1354" spans="1:2" hidden="1" x14ac:dyDescent="0.25">
      <c r="A1354" s="29" t="s">
        <v>1455</v>
      </c>
      <c r="B1354" s="30">
        <v>1</v>
      </c>
    </row>
    <row r="1355" spans="1:2" hidden="1" x14ac:dyDescent="0.25">
      <c r="A1355" s="29" t="s">
        <v>1452</v>
      </c>
      <c r="B1355" s="30">
        <v>1</v>
      </c>
    </row>
    <row r="1356" spans="1:2" hidden="1" x14ac:dyDescent="0.25">
      <c r="A1356" s="29" t="s">
        <v>617</v>
      </c>
      <c r="B1356" s="30">
        <v>1</v>
      </c>
    </row>
    <row r="1357" spans="1:2" hidden="1" x14ac:dyDescent="0.25">
      <c r="A1357" s="29" t="s">
        <v>950</v>
      </c>
      <c r="B1357" s="30">
        <v>1</v>
      </c>
    </row>
    <row r="1358" spans="1:2" hidden="1" x14ac:dyDescent="0.25">
      <c r="A1358" s="29" t="s">
        <v>21</v>
      </c>
      <c r="B1358" s="30">
        <v>1</v>
      </c>
    </row>
    <row r="1359" spans="1:2" x14ac:dyDescent="0.25">
      <c r="A1359" s="26" t="s">
        <v>888</v>
      </c>
      <c r="B1359" s="30">
        <v>6</v>
      </c>
    </row>
    <row r="1360" spans="1:2" hidden="1" x14ac:dyDescent="0.25">
      <c r="A1360" s="29" t="s">
        <v>954</v>
      </c>
      <c r="B1360" s="30">
        <v>1</v>
      </c>
    </row>
    <row r="1361" spans="1:2" x14ac:dyDescent="0.25">
      <c r="A1361" s="29" t="s">
        <v>2003</v>
      </c>
      <c r="B1361" s="30">
        <v>2</v>
      </c>
    </row>
    <row r="1362" spans="1:2" hidden="1" x14ac:dyDescent="0.25">
      <c r="A1362" s="29" t="s">
        <v>2009</v>
      </c>
      <c r="B1362" s="30">
        <v>1</v>
      </c>
    </row>
    <row r="1363" spans="1:2" hidden="1" x14ac:dyDescent="0.25">
      <c r="A1363" s="29" t="s">
        <v>2002</v>
      </c>
      <c r="B1363" s="30">
        <v>1</v>
      </c>
    </row>
    <row r="1364" spans="1:2" hidden="1" x14ac:dyDescent="0.25">
      <c r="A1364" s="29" t="s">
        <v>2059</v>
      </c>
      <c r="B1364" s="30">
        <v>1</v>
      </c>
    </row>
    <row r="1365" spans="1:2" x14ac:dyDescent="0.25">
      <c r="A1365" s="26" t="s">
        <v>603</v>
      </c>
      <c r="B1365" s="30">
        <v>7</v>
      </c>
    </row>
    <row r="1366" spans="1:2" hidden="1" x14ac:dyDescent="0.25">
      <c r="A1366" s="29" t="s">
        <v>941</v>
      </c>
      <c r="B1366" s="30">
        <v>1</v>
      </c>
    </row>
    <row r="1367" spans="1:2" hidden="1" x14ac:dyDescent="0.25">
      <c r="A1367" s="29" t="s">
        <v>960</v>
      </c>
      <c r="B1367" s="30">
        <v>1</v>
      </c>
    </row>
    <row r="1368" spans="1:2" hidden="1" x14ac:dyDescent="0.25">
      <c r="A1368" s="29" t="s">
        <v>1126</v>
      </c>
      <c r="B1368" s="30">
        <v>1</v>
      </c>
    </row>
    <row r="1369" spans="1:2" hidden="1" x14ac:dyDescent="0.25">
      <c r="A1369" s="29" t="s">
        <v>1142</v>
      </c>
      <c r="B1369" s="30">
        <v>1</v>
      </c>
    </row>
    <row r="1370" spans="1:2" hidden="1" x14ac:dyDescent="0.25">
      <c r="A1370" s="29" t="s">
        <v>1042</v>
      </c>
      <c r="B1370" s="30">
        <v>1</v>
      </c>
    </row>
    <row r="1371" spans="1:2" hidden="1" x14ac:dyDescent="0.25">
      <c r="A1371" s="29" t="s">
        <v>1129</v>
      </c>
      <c r="B1371" s="30">
        <v>1</v>
      </c>
    </row>
    <row r="1372" spans="1:2" hidden="1" x14ac:dyDescent="0.25">
      <c r="A1372" s="29" t="s">
        <v>1123</v>
      </c>
      <c r="B1372" s="30">
        <v>1</v>
      </c>
    </row>
    <row r="1373" spans="1:2" x14ac:dyDescent="0.25">
      <c r="A1373" s="26" t="s">
        <v>676</v>
      </c>
      <c r="B1373" s="30">
        <v>5</v>
      </c>
    </row>
    <row r="1374" spans="1:2" hidden="1" x14ac:dyDescent="0.25">
      <c r="A1374" s="29" t="s">
        <v>617</v>
      </c>
      <c r="B1374" s="30">
        <v>1</v>
      </c>
    </row>
    <row r="1375" spans="1:2" hidden="1" x14ac:dyDescent="0.25">
      <c r="A1375" s="29" t="s">
        <v>1565</v>
      </c>
      <c r="B1375" s="30">
        <v>1</v>
      </c>
    </row>
    <row r="1376" spans="1:2" hidden="1" x14ac:dyDescent="0.25">
      <c r="A1376" s="29" t="s">
        <v>2087</v>
      </c>
      <c r="B1376" s="30">
        <v>1</v>
      </c>
    </row>
    <row r="1377" spans="1:2" hidden="1" x14ac:dyDescent="0.25">
      <c r="A1377" s="29" t="s">
        <v>2059</v>
      </c>
      <c r="B1377" s="30">
        <v>1</v>
      </c>
    </row>
    <row r="1378" spans="1:2" hidden="1" x14ac:dyDescent="0.25">
      <c r="A1378" s="29" t="s">
        <v>1202</v>
      </c>
      <c r="B1378" s="30">
        <v>1</v>
      </c>
    </row>
    <row r="1379" spans="1:2" x14ac:dyDescent="0.25">
      <c r="A1379" s="26" t="s">
        <v>987</v>
      </c>
      <c r="B1379" s="30">
        <v>7</v>
      </c>
    </row>
    <row r="1380" spans="1:2" hidden="1" x14ac:dyDescent="0.25">
      <c r="A1380" s="29" t="s">
        <v>941</v>
      </c>
      <c r="B1380" s="30">
        <v>1</v>
      </c>
    </row>
    <row r="1381" spans="1:2" hidden="1" x14ac:dyDescent="0.25">
      <c r="A1381" s="29" t="s">
        <v>960</v>
      </c>
      <c r="B1381" s="30">
        <v>1</v>
      </c>
    </row>
    <row r="1382" spans="1:2" hidden="1" x14ac:dyDescent="0.25">
      <c r="A1382" s="29" t="s">
        <v>954</v>
      </c>
      <c r="B1382" s="30">
        <v>1</v>
      </c>
    </row>
    <row r="1383" spans="1:2" hidden="1" x14ac:dyDescent="0.25">
      <c r="A1383" s="29" t="s">
        <v>903</v>
      </c>
      <c r="B1383" s="30">
        <v>1</v>
      </c>
    </row>
    <row r="1384" spans="1:2" hidden="1" x14ac:dyDescent="0.25">
      <c r="A1384" s="29" t="s">
        <v>966</v>
      </c>
      <c r="B1384" s="30">
        <v>1</v>
      </c>
    </row>
    <row r="1385" spans="1:2" hidden="1" x14ac:dyDescent="0.25">
      <c r="A1385" s="29" t="s">
        <v>18</v>
      </c>
      <c r="B1385" s="30">
        <v>1</v>
      </c>
    </row>
    <row r="1386" spans="1:2" hidden="1" x14ac:dyDescent="0.25">
      <c r="A1386" s="29" t="s">
        <v>905</v>
      </c>
      <c r="B1386" s="30">
        <v>1</v>
      </c>
    </row>
    <row r="1387" spans="1:2" x14ac:dyDescent="0.25">
      <c r="A1387" s="26" t="s">
        <v>797</v>
      </c>
      <c r="B1387" s="30">
        <v>6</v>
      </c>
    </row>
    <row r="1388" spans="1:2" hidden="1" x14ac:dyDescent="0.25">
      <c r="A1388" s="29" t="s">
        <v>1557</v>
      </c>
      <c r="B1388" s="30">
        <v>1</v>
      </c>
    </row>
    <row r="1389" spans="1:2" hidden="1" x14ac:dyDescent="0.25">
      <c r="A1389" s="29" t="s">
        <v>916</v>
      </c>
      <c r="B1389" s="30">
        <v>1</v>
      </c>
    </row>
    <row r="1390" spans="1:2" hidden="1" x14ac:dyDescent="0.25">
      <c r="A1390" s="29" t="s">
        <v>22</v>
      </c>
      <c r="B1390" s="30">
        <v>1</v>
      </c>
    </row>
    <row r="1391" spans="1:2" hidden="1" x14ac:dyDescent="0.25">
      <c r="A1391" s="29" t="s">
        <v>698</v>
      </c>
      <c r="B1391" s="30">
        <v>1</v>
      </c>
    </row>
    <row r="1392" spans="1:2" hidden="1" x14ac:dyDescent="0.25">
      <c r="A1392" s="29" t="s">
        <v>18</v>
      </c>
      <c r="B1392" s="30">
        <v>1</v>
      </c>
    </row>
    <row r="1393" spans="1:2" hidden="1" x14ac:dyDescent="0.25">
      <c r="A1393" s="29" t="s">
        <v>21</v>
      </c>
      <c r="B1393" s="30">
        <v>1</v>
      </c>
    </row>
    <row r="1394" spans="1:2" x14ac:dyDescent="0.25">
      <c r="A1394" s="26" t="s">
        <v>736</v>
      </c>
      <c r="B1394" s="30">
        <v>5</v>
      </c>
    </row>
    <row r="1395" spans="1:2" hidden="1" x14ac:dyDescent="0.25">
      <c r="A1395" s="29" t="s">
        <v>1033</v>
      </c>
      <c r="B1395" s="30">
        <v>1</v>
      </c>
    </row>
    <row r="1396" spans="1:2" hidden="1" x14ac:dyDescent="0.25">
      <c r="A1396" s="29" t="s">
        <v>1557</v>
      </c>
      <c r="B1396" s="30">
        <v>1</v>
      </c>
    </row>
    <row r="1397" spans="1:2" x14ac:dyDescent="0.25">
      <c r="A1397" s="29" t="s">
        <v>1138</v>
      </c>
      <c r="B1397" s="30">
        <v>2</v>
      </c>
    </row>
    <row r="1398" spans="1:2" hidden="1" x14ac:dyDescent="0.25">
      <c r="A1398" s="29" t="s">
        <v>941</v>
      </c>
      <c r="B1398" s="30">
        <v>1</v>
      </c>
    </row>
    <row r="1399" spans="1:2" x14ac:dyDescent="0.25">
      <c r="A1399" s="26" t="s">
        <v>738</v>
      </c>
      <c r="B1399" s="30">
        <v>4</v>
      </c>
    </row>
    <row r="1400" spans="1:2" hidden="1" x14ac:dyDescent="0.25">
      <c r="A1400" s="29" t="s">
        <v>1033</v>
      </c>
      <c r="B1400" s="30">
        <v>1</v>
      </c>
    </row>
    <row r="1401" spans="1:2" hidden="1" x14ac:dyDescent="0.25">
      <c r="A1401" s="29" t="s">
        <v>1557</v>
      </c>
      <c r="B1401" s="30">
        <v>1</v>
      </c>
    </row>
    <row r="1402" spans="1:2" hidden="1" x14ac:dyDescent="0.25">
      <c r="A1402" s="29" t="s">
        <v>1138</v>
      </c>
      <c r="B1402" s="30">
        <v>1</v>
      </c>
    </row>
    <row r="1403" spans="1:2" hidden="1" x14ac:dyDescent="0.25">
      <c r="A1403" s="29" t="s">
        <v>941</v>
      </c>
      <c r="B1403" s="30">
        <v>1</v>
      </c>
    </row>
    <row r="1404" spans="1:2" x14ac:dyDescent="0.25">
      <c r="A1404" s="26" t="s">
        <v>2368</v>
      </c>
      <c r="B1404" s="30"/>
    </row>
    <row r="1405" spans="1:2" x14ac:dyDescent="0.25">
      <c r="A1405" s="29" t="s">
        <v>2368</v>
      </c>
      <c r="B1405" s="30"/>
    </row>
    <row r="1406" spans="1:2" x14ac:dyDescent="0.25">
      <c r="A1406" s="26" t="s">
        <v>2369</v>
      </c>
      <c r="B1406" s="30">
        <v>1272</v>
      </c>
    </row>
  </sheetData>
  <autoFilter ref="A3:B1406" xr:uid="{55B6E3AE-1D3C-4CF3-8932-6D66E168440E}">
    <filterColumn colId="1">
      <filters blank="1">
        <filter val="10"/>
        <filter val="1272"/>
        <filter val="13"/>
        <filter val="15"/>
        <filter val="2"/>
        <filter val="3"/>
        <filter val="4"/>
        <filter val="5"/>
        <filter val="6"/>
        <filter val="7"/>
        <filter val="8"/>
        <filter val="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849E-C97E-434F-B9AB-C8A17903239B}">
  <dimension ref="A1:B1273"/>
  <sheetViews>
    <sheetView workbookViewId="0">
      <selection sqref="A1:B1048576"/>
    </sheetView>
  </sheetViews>
  <sheetFormatPr defaultRowHeight="15" x14ac:dyDescent="0.25"/>
  <cols>
    <col min="1" max="1" width="30.5703125" customWidth="1"/>
    <col min="2" max="2" width="23" customWidth="1"/>
  </cols>
  <sheetData>
    <row r="1" spans="1:2" x14ac:dyDescent="0.25">
      <c r="A1" s="17" t="s">
        <v>740</v>
      </c>
      <c r="B1" s="17" t="s">
        <v>894</v>
      </c>
    </row>
    <row r="2" spans="1:2" x14ac:dyDescent="0.25">
      <c r="A2" s="19" t="s">
        <v>504</v>
      </c>
      <c r="B2" t="s">
        <v>899</v>
      </c>
    </row>
    <row r="3" spans="1:2" x14ac:dyDescent="0.25">
      <c r="A3" s="19" t="s">
        <v>504</v>
      </c>
      <c r="B3" t="s">
        <v>903</v>
      </c>
    </row>
    <row r="4" spans="1:2" x14ac:dyDescent="0.25">
      <c r="A4" s="19" t="s">
        <v>504</v>
      </c>
      <c r="B4" t="s">
        <v>905</v>
      </c>
    </row>
    <row r="5" spans="1:2" x14ac:dyDescent="0.25">
      <c r="A5" s="19" t="s">
        <v>524</v>
      </c>
      <c r="B5" t="s">
        <v>899</v>
      </c>
    </row>
    <row r="6" spans="1:2" x14ac:dyDescent="0.25">
      <c r="A6" s="19" t="s">
        <v>524</v>
      </c>
      <c r="B6" t="s">
        <v>903</v>
      </c>
    </row>
    <row r="7" spans="1:2" x14ac:dyDescent="0.25">
      <c r="A7" s="19" t="s">
        <v>524</v>
      </c>
      <c r="B7" t="s">
        <v>23</v>
      </c>
    </row>
    <row r="8" spans="1:2" x14ac:dyDescent="0.25">
      <c r="A8" s="19" t="s">
        <v>524</v>
      </c>
      <c r="B8" t="s">
        <v>18</v>
      </c>
    </row>
    <row r="9" spans="1:2" x14ac:dyDescent="0.25">
      <c r="A9" s="19" t="s">
        <v>524</v>
      </c>
      <c r="B9" t="s">
        <v>21</v>
      </c>
    </row>
    <row r="10" spans="1:2" x14ac:dyDescent="0.25">
      <c r="A10" s="19" t="s">
        <v>524</v>
      </c>
      <c r="B10" t="s">
        <v>916</v>
      </c>
    </row>
    <row r="11" spans="1:2" x14ac:dyDescent="0.25">
      <c r="A11" s="19" t="s">
        <v>524</v>
      </c>
      <c r="B11" t="s">
        <v>905</v>
      </c>
    </row>
    <row r="12" spans="1:2" x14ac:dyDescent="0.25">
      <c r="A12" s="19" t="s">
        <v>536</v>
      </c>
      <c r="B12" t="s">
        <v>899</v>
      </c>
    </row>
    <row r="13" spans="1:2" x14ac:dyDescent="0.25">
      <c r="A13" s="19" t="s">
        <v>536</v>
      </c>
      <c r="B13" t="s">
        <v>903</v>
      </c>
    </row>
    <row r="14" spans="1:2" x14ac:dyDescent="0.25">
      <c r="A14" s="19" t="s">
        <v>536</v>
      </c>
      <c r="B14" t="s">
        <v>908</v>
      </c>
    </row>
    <row r="15" spans="1:2" x14ac:dyDescent="0.25">
      <c r="A15" s="19" t="s">
        <v>536</v>
      </c>
      <c r="B15" t="s">
        <v>923</v>
      </c>
    </row>
    <row r="16" spans="1:2" x14ac:dyDescent="0.25">
      <c r="A16" s="19" t="s">
        <v>536</v>
      </c>
      <c r="B16" t="s">
        <v>18</v>
      </c>
    </row>
    <row r="17" spans="1:2" x14ac:dyDescent="0.25">
      <c r="A17" s="19" t="s">
        <v>536</v>
      </c>
      <c r="B17" t="s">
        <v>23</v>
      </c>
    </row>
    <row r="18" spans="1:2" x14ac:dyDescent="0.25">
      <c r="A18" s="19" t="s">
        <v>536</v>
      </c>
      <c r="B18" t="s">
        <v>916</v>
      </c>
    </row>
    <row r="19" spans="1:2" x14ac:dyDescent="0.25">
      <c r="A19" s="19" t="s">
        <v>536</v>
      </c>
      <c r="B19" t="s">
        <v>905</v>
      </c>
    </row>
    <row r="20" spans="1:2" x14ac:dyDescent="0.25">
      <c r="A20" s="19" t="s">
        <v>484</v>
      </c>
      <c r="B20" t="s">
        <v>899</v>
      </c>
    </row>
    <row r="21" spans="1:2" x14ac:dyDescent="0.25">
      <c r="A21" s="19" t="s">
        <v>484</v>
      </c>
      <c r="B21" t="s">
        <v>903</v>
      </c>
    </row>
    <row r="22" spans="1:2" x14ac:dyDescent="0.25">
      <c r="A22" s="19" t="s">
        <v>484</v>
      </c>
      <c r="B22" t="s">
        <v>23</v>
      </c>
    </row>
    <row r="23" spans="1:2" x14ac:dyDescent="0.25">
      <c r="A23" s="19" t="s">
        <v>484</v>
      </c>
      <c r="B23" t="s">
        <v>18</v>
      </c>
    </row>
    <row r="24" spans="1:2" x14ac:dyDescent="0.25">
      <c r="A24" s="19" t="s">
        <v>484</v>
      </c>
      <c r="B24" t="s">
        <v>916</v>
      </c>
    </row>
    <row r="25" spans="1:2" x14ac:dyDescent="0.25">
      <c r="A25" s="19" t="s">
        <v>484</v>
      </c>
      <c r="B25" t="s">
        <v>941</v>
      </c>
    </row>
    <row r="26" spans="1:2" x14ac:dyDescent="0.25">
      <c r="A26" s="19" t="s">
        <v>484</v>
      </c>
      <c r="B26" t="s">
        <v>923</v>
      </c>
    </row>
    <row r="27" spans="1:2" x14ac:dyDescent="0.25">
      <c r="A27" s="19" t="s">
        <v>484</v>
      </c>
      <c r="B27" t="s">
        <v>905</v>
      </c>
    </row>
    <row r="28" spans="1:2" x14ac:dyDescent="0.25">
      <c r="A28" s="19" t="s">
        <v>490</v>
      </c>
      <c r="B28" t="s">
        <v>908</v>
      </c>
    </row>
    <row r="29" spans="1:2" x14ac:dyDescent="0.25">
      <c r="A29" s="19" t="s">
        <v>490</v>
      </c>
      <c r="B29" t="s">
        <v>903</v>
      </c>
    </row>
    <row r="30" spans="1:2" x14ac:dyDescent="0.25">
      <c r="A30" s="19" t="s">
        <v>490</v>
      </c>
      <c r="B30" t="s">
        <v>899</v>
      </c>
    </row>
    <row r="31" spans="1:2" x14ac:dyDescent="0.25">
      <c r="A31" s="19" t="s">
        <v>490</v>
      </c>
      <c r="B31" t="s">
        <v>950</v>
      </c>
    </row>
    <row r="32" spans="1:2" x14ac:dyDescent="0.25">
      <c r="A32" s="19" t="s">
        <v>490</v>
      </c>
      <c r="B32" t="s">
        <v>916</v>
      </c>
    </row>
    <row r="33" spans="1:2" x14ac:dyDescent="0.25">
      <c r="A33" s="19" t="s">
        <v>953</v>
      </c>
      <c r="B33" t="s">
        <v>954</v>
      </c>
    </row>
    <row r="34" spans="1:2" x14ac:dyDescent="0.25">
      <c r="A34" s="19" t="s">
        <v>953</v>
      </c>
      <c r="B34" t="s">
        <v>903</v>
      </c>
    </row>
    <row r="35" spans="1:2" x14ac:dyDescent="0.25">
      <c r="A35" s="19" t="s">
        <v>953</v>
      </c>
      <c r="B35" t="s">
        <v>941</v>
      </c>
    </row>
    <row r="36" spans="1:2" x14ac:dyDescent="0.25">
      <c r="A36" s="19" t="s">
        <v>953</v>
      </c>
      <c r="B36" t="s">
        <v>960</v>
      </c>
    </row>
    <row r="37" spans="1:2" x14ac:dyDescent="0.25">
      <c r="A37" s="19" t="s">
        <v>953</v>
      </c>
      <c r="B37" t="s">
        <v>2374</v>
      </c>
    </row>
    <row r="38" spans="1:2" x14ac:dyDescent="0.25">
      <c r="A38" s="19" t="s">
        <v>953</v>
      </c>
      <c r="B38" t="s">
        <v>23</v>
      </c>
    </row>
    <row r="39" spans="1:2" x14ac:dyDescent="0.25">
      <c r="A39" s="19" t="s">
        <v>953</v>
      </c>
      <c r="B39" t="s">
        <v>966</v>
      </c>
    </row>
    <row r="40" spans="1:2" x14ac:dyDescent="0.25">
      <c r="A40" s="19" t="s">
        <v>953</v>
      </c>
      <c r="B40" t="s">
        <v>950</v>
      </c>
    </row>
    <row r="41" spans="1:2" x14ac:dyDescent="0.25">
      <c r="A41" s="19" t="s">
        <v>953</v>
      </c>
      <c r="B41" t="s">
        <v>905</v>
      </c>
    </row>
    <row r="42" spans="1:2" x14ac:dyDescent="0.25">
      <c r="A42" s="19" t="s">
        <v>975</v>
      </c>
      <c r="B42" t="s">
        <v>954</v>
      </c>
    </row>
    <row r="43" spans="1:2" x14ac:dyDescent="0.25">
      <c r="A43" s="19" t="s">
        <v>975</v>
      </c>
      <c r="B43" t="s">
        <v>903</v>
      </c>
    </row>
    <row r="44" spans="1:2" x14ac:dyDescent="0.25">
      <c r="A44" s="19" t="s">
        <v>975</v>
      </c>
      <c r="B44" t="s">
        <v>941</v>
      </c>
    </row>
    <row r="45" spans="1:2" x14ac:dyDescent="0.25">
      <c r="A45" s="19" t="s">
        <v>975</v>
      </c>
      <c r="B45" t="s">
        <v>960</v>
      </c>
    </row>
    <row r="46" spans="1:2" x14ac:dyDescent="0.25">
      <c r="A46" s="19" t="s">
        <v>975</v>
      </c>
      <c r="B46" t="s">
        <v>966</v>
      </c>
    </row>
    <row r="47" spans="1:2" x14ac:dyDescent="0.25">
      <c r="A47" s="19" t="s">
        <v>975</v>
      </c>
      <c r="B47" t="s">
        <v>18</v>
      </c>
    </row>
    <row r="48" spans="1:2" x14ac:dyDescent="0.25">
      <c r="A48" s="19" t="s">
        <v>975</v>
      </c>
      <c r="B48" t="s">
        <v>950</v>
      </c>
    </row>
    <row r="49" spans="1:2" x14ac:dyDescent="0.25">
      <c r="A49" s="19" t="s">
        <v>975</v>
      </c>
      <c r="B49" t="s">
        <v>905</v>
      </c>
    </row>
    <row r="50" spans="1:2" x14ac:dyDescent="0.25">
      <c r="A50" s="19" t="s">
        <v>987</v>
      </c>
      <c r="B50" t="s">
        <v>954</v>
      </c>
    </row>
    <row r="51" spans="1:2" x14ac:dyDescent="0.25">
      <c r="A51" s="19" t="s">
        <v>987</v>
      </c>
      <c r="B51" t="s">
        <v>903</v>
      </c>
    </row>
    <row r="52" spans="1:2" x14ac:dyDescent="0.25">
      <c r="A52" s="19" t="s">
        <v>987</v>
      </c>
      <c r="B52" t="s">
        <v>941</v>
      </c>
    </row>
    <row r="53" spans="1:2" x14ac:dyDescent="0.25">
      <c r="A53" s="19" t="s">
        <v>987</v>
      </c>
      <c r="B53" t="s">
        <v>960</v>
      </c>
    </row>
    <row r="54" spans="1:2" x14ac:dyDescent="0.25">
      <c r="A54" s="19" t="s">
        <v>987</v>
      </c>
      <c r="B54" t="s">
        <v>966</v>
      </c>
    </row>
    <row r="55" spans="1:2" x14ac:dyDescent="0.25">
      <c r="A55" s="19" t="s">
        <v>987</v>
      </c>
      <c r="B55" t="s">
        <v>18</v>
      </c>
    </row>
    <row r="56" spans="1:2" x14ac:dyDescent="0.25">
      <c r="A56" s="19" t="s">
        <v>987</v>
      </c>
      <c r="B56" t="s">
        <v>905</v>
      </c>
    </row>
    <row r="57" spans="1:2" x14ac:dyDescent="0.25">
      <c r="A57" s="19" t="s">
        <v>997</v>
      </c>
      <c r="B57" t="s">
        <v>954</v>
      </c>
    </row>
    <row r="58" spans="1:2" x14ac:dyDescent="0.25">
      <c r="A58" s="19" t="s">
        <v>997</v>
      </c>
      <c r="B58" t="s">
        <v>903</v>
      </c>
    </row>
    <row r="59" spans="1:2" x14ac:dyDescent="0.25">
      <c r="A59" s="19" t="s">
        <v>997</v>
      </c>
      <c r="B59" t="s">
        <v>941</v>
      </c>
    </row>
    <row r="60" spans="1:2" x14ac:dyDescent="0.25">
      <c r="A60" s="19" t="s">
        <v>997</v>
      </c>
      <c r="B60" t="s">
        <v>966</v>
      </c>
    </row>
    <row r="61" spans="1:2" x14ac:dyDescent="0.25">
      <c r="A61" s="19" t="s">
        <v>997</v>
      </c>
      <c r="B61" t="s">
        <v>905</v>
      </c>
    </row>
    <row r="62" spans="1:2" x14ac:dyDescent="0.25">
      <c r="A62" s="19" t="s">
        <v>502</v>
      </c>
      <c r="B62" t="s">
        <v>954</v>
      </c>
    </row>
    <row r="63" spans="1:2" x14ac:dyDescent="0.25">
      <c r="A63" s="19" t="s">
        <v>502</v>
      </c>
      <c r="B63" t="s">
        <v>903</v>
      </c>
    </row>
    <row r="64" spans="1:2" x14ac:dyDescent="0.25">
      <c r="A64" s="19" t="s">
        <v>502</v>
      </c>
      <c r="B64" t="s">
        <v>941</v>
      </c>
    </row>
    <row r="65" spans="1:2" x14ac:dyDescent="0.25">
      <c r="A65" s="19" t="s">
        <v>502</v>
      </c>
      <c r="B65" t="s">
        <v>960</v>
      </c>
    </row>
    <row r="66" spans="1:2" x14ac:dyDescent="0.25">
      <c r="A66" s="19" t="s">
        <v>502</v>
      </c>
      <c r="B66" t="s">
        <v>950</v>
      </c>
    </row>
    <row r="67" spans="1:2" x14ac:dyDescent="0.25">
      <c r="A67" s="19" t="s">
        <v>502</v>
      </c>
      <c r="B67" t="s">
        <v>970</v>
      </c>
    </row>
    <row r="68" spans="1:2" x14ac:dyDescent="0.25">
      <c r="A68" s="19" t="s">
        <v>502</v>
      </c>
      <c r="B68" t="s">
        <v>905</v>
      </c>
    </row>
    <row r="69" spans="1:2" x14ac:dyDescent="0.25">
      <c r="A69" s="19" t="s">
        <v>492</v>
      </c>
      <c r="B69" t="s">
        <v>1025</v>
      </c>
    </row>
    <row r="70" spans="1:2" x14ac:dyDescent="0.25">
      <c r="A70" s="19" t="s">
        <v>492</v>
      </c>
      <c r="B70" t="s">
        <v>1028</v>
      </c>
    </row>
    <row r="71" spans="1:2" x14ac:dyDescent="0.25">
      <c r="A71" s="19" t="s">
        <v>492</v>
      </c>
      <c r="B71" t="s">
        <v>941</v>
      </c>
    </row>
    <row r="72" spans="1:2" x14ac:dyDescent="0.25">
      <c r="A72" s="19" t="s">
        <v>492</v>
      </c>
      <c r="B72" t="s">
        <v>1033</v>
      </c>
    </row>
    <row r="73" spans="1:2" x14ac:dyDescent="0.25">
      <c r="A73" s="19" t="s">
        <v>492</v>
      </c>
      <c r="B73" t="s">
        <v>960</v>
      </c>
    </row>
    <row r="74" spans="1:2" x14ac:dyDescent="0.25">
      <c r="A74" s="19" t="s">
        <v>492</v>
      </c>
      <c r="B74" t="s">
        <v>2374</v>
      </c>
    </row>
    <row r="75" spans="1:2" x14ac:dyDescent="0.25">
      <c r="A75" s="19" t="s">
        <v>492</v>
      </c>
      <c r="B75" t="s">
        <v>23</v>
      </c>
    </row>
    <row r="76" spans="1:2" x14ac:dyDescent="0.25">
      <c r="A76" s="19" t="s">
        <v>492</v>
      </c>
      <c r="B76" t="s">
        <v>1042</v>
      </c>
    </row>
    <row r="77" spans="1:2" x14ac:dyDescent="0.25">
      <c r="A77" s="19" t="s">
        <v>470</v>
      </c>
      <c r="B77" t="s">
        <v>1025</v>
      </c>
    </row>
    <row r="78" spans="1:2" x14ac:dyDescent="0.25">
      <c r="A78" s="19" t="s">
        <v>470</v>
      </c>
      <c r="B78" t="s">
        <v>2374</v>
      </c>
    </row>
    <row r="79" spans="1:2" x14ac:dyDescent="0.25">
      <c r="A79" s="19" t="s">
        <v>470</v>
      </c>
      <c r="B79" t="s">
        <v>1033</v>
      </c>
    </row>
    <row r="80" spans="1:2" x14ac:dyDescent="0.25">
      <c r="A80" s="19" t="s">
        <v>470</v>
      </c>
      <c r="B80" t="s">
        <v>941</v>
      </c>
    </row>
    <row r="81" spans="1:2" x14ac:dyDescent="0.25">
      <c r="A81" s="19" t="s">
        <v>470</v>
      </c>
      <c r="B81" t="s">
        <v>23</v>
      </c>
    </row>
    <row r="82" spans="1:2" x14ac:dyDescent="0.25">
      <c r="A82" s="19" t="s">
        <v>470</v>
      </c>
      <c r="B82" t="s">
        <v>950</v>
      </c>
    </row>
    <row r="83" spans="1:2" x14ac:dyDescent="0.25">
      <c r="A83" s="19" t="s">
        <v>470</v>
      </c>
      <c r="B83" t="s">
        <v>923</v>
      </c>
    </row>
    <row r="84" spans="1:2" x14ac:dyDescent="0.25">
      <c r="A84" s="19" t="s">
        <v>470</v>
      </c>
      <c r="B84" t="s">
        <v>18</v>
      </c>
    </row>
    <row r="85" spans="1:2" x14ac:dyDescent="0.25">
      <c r="A85" s="19" t="s">
        <v>522</v>
      </c>
      <c r="B85" t="s">
        <v>1025</v>
      </c>
    </row>
    <row r="86" spans="1:2" x14ac:dyDescent="0.25">
      <c r="A86" s="19" t="s">
        <v>522</v>
      </c>
      <c r="B86" t="s">
        <v>903</v>
      </c>
    </row>
    <row r="87" spans="1:2" x14ac:dyDescent="0.25">
      <c r="A87" s="19" t="s">
        <v>522</v>
      </c>
      <c r="B87" t="s">
        <v>2374</v>
      </c>
    </row>
    <row r="88" spans="1:2" x14ac:dyDescent="0.25">
      <c r="A88" s="19" t="s">
        <v>522</v>
      </c>
      <c r="B88" t="s">
        <v>960</v>
      </c>
    </row>
    <row r="89" spans="1:2" x14ac:dyDescent="0.25">
      <c r="A89" s="19" t="s">
        <v>522</v>
      </c>
      <c r="B89" t="s">
        <v>23</v>
      </c>
    </row>
    <row r="90" spans="1:2" x14ac:dyDescent="0.25">
      <c r="A90" s="19" t="s">
        <v>522</v>
      </c>
      <c r="B90" t="s">
        <v>923</v>
      </c>
    </row>
    <row r="91" spans="1:2" x14ac:dyDescent="0.25">
      <c r="A91" s="19" t="s">
        <v>522</v>
      </c>
      <c r="B91" t="s">
        <v>950</v>
      </c>
    </row>
    <row r="92" spans="1:2" x14ac:dyDescent="0.25">
      <c r="A92" s="19" t="s">
        <v>522</v>
      </c>
      <c r="B92" t="s">
        <v>970</v>
      </c>
    </row>
    <row r="93" spans="1:2" x14ac:dyDescent="0.25">
      <c r="A93" s="19" t="s">
        <v>522</v>
      </c>
      <c r="B93" t="s">
        <v>905</v>
      </c>
    </row>
    <row r="94" spans="1:2" x14ac:dyDescent="0.25">
      <c r="A94" s="19" t="s">
        <v>482</v>
      </c>
      <c r="B94" t="s">
        <v>1025</v>
      </c>
    </row>
    <row r="95" spans="1:2" x14ac:dyDescent="0.25">
      <c r="A95" s="19" t="s">
        <v>482</v>
      </c>
      <c r="B95" t="s">
        <v>903</v>
      </c>
    </row>
    <row r="96" spans="1:2" x14ac:dyDescent="0.25">
      <c r="A96" s="19" t="s">
        <v>482</v>
      </c>
      <c r="B96" t="s">
        <v>950</v>
      </c>
    </row>
    <row r="97" spans="1:2" x14ac:dyDescent="0.25">
      <c r="A97" s="19" t="s">
        <v>482</v>
      </c>
      <c r="B97" t="s">
        <v>923</v>
      </c>
    </row>
    <row r="98" spans="1:2" x14ac:dyDescent="0.25">
      <c r="A98" s="19" t="s">
        <v>482</v>
      </c>
      <c r="B98" t="s">
        <v>23</v>
      </c>
    </row>
    <row r="99" spans="1:2" x14ac:dyDescent="0.25">
      <c r="A99" s="19" t="s">
        <v>482</v>
      </c>
      <c r="B99" t="s">
        <v>941</v>
      </c>
    </row>
    <row r="100" spans="1:2" x14ac:dyDescent="0.25">
      <c r="A100" s="19" t="s">
        <v>482</v>
      </c>
      <c r="B100" t="s">
        <v>18</v>
      </c>
    </row>
    <row r="101" spans="1:2" x14ac:dyDescent="0.25">
      <c r="A101" s="19" t="s">
        <v>482</v>
      </c>
      <c r="B101" t="s">
        <v>2374</v>
      </c>
    </row>
    <row r="102" spans="1:2" x14ac:dyDescent="0.25">
      <c r="A102" s="19" t="s">
        <v>482</v>
      </c>
      <c r="B102" t="s">
        <v>905</v>
      </c>
    </row>
    <row r="103" spans="1:2" x14ac:dyDescent="0.25">
      <c r="A103" s="19" t="s">
        <v>466</v>
      </c>
      <c r="B103" t="s">
        <v>1025</v>
      </c>
    </row>
    <row r="104" spans="1:2" x14ac:dyDescent="0.25">
      <c r="A104" s="19" t="s">
        <v>466</v>
      </c>
      <c r="B104" t="s">
        <v>950</v>
      </c>
    </row>
    <row r="105" spans="1:2" x14ac:dyDescent="0.25">
      <c r="A105" s="19" t="s">
        <v>466</v>
      </c>
      <c r="B105" t="s">
        <v>923</v>
      </c>
    </row>
    <row r="106" spans="1:2" x14ac:dyDescent="0.25">
      <c r="A106" s="19" t="s">
        <v>466</v>
      </c>
      <c r="B106" t="s">
        <v>23</v>
      </c>
    </row>
    <row r="107" spans="1:2" x14ac:dyDescent="0.25">
      <c r="A107" s="19" t="s">
        <v>466</v>
      </c>
      <c r="B107" t="s">
        <v>941</v>
      </c>
    </row>
    <row r="108" spans="1:2" x14ac:dyDescent="0.25">
      <c r="A108" s="19" t="s">
        <v>466</v>
      </c>
      <c r="B108" t="s">
        <v>18</v>
      </c>
    </row>
    <row r="109" spans="1:2" x14ac:dyDescent="0.25">
      <c r="A109" s="19" t="s">
        <v>476</v>
      </c>
      <c r="B109" t="s">
        <v>1025</v>
      </c>
    </row>
    <row r="110" spans="1:2" x14ac:dyDescent="0.25">
      <c r="A110" s="19" t="s">
        <v>476</v>
      </c>
      <c r="B110" t="s">
        <v>1028</v>
      </c>
    </row>
    <row r="111" spans="1:2" x14ac:dyDescent="0.25">
      <c r="A111" s="19" t="s">
        <v>476</v>
      </c>
      <c r="B111" t="s">
        <v>923</v>
      </c>
    </row>
    <row r="112" spans="1:2" x14ac:dyDescent="0.25">
      <c r="A112" s="19" t="s">
        <v>476</v>
      </c>
      <c r="B112" t="s">
        <v>23</v>
      </c>
    </row>
    <row r="113" spans="1:2" x14ac:dyDescent="0.25">
      <c r="A113" s="19" t="s">
        <v>476</v>
      </c>
      <c r="B113" t="s">
        <v>941</v>
      </c>
    </row>
    <row r="114" spans="1:2" x14ac:dyDescent="0.25">
      <c r="A114" s="19" t="s">
        <v>476</v>
      </c>
      <c r="B114" t="s">
        <v>2374</v>
      </c>
    </row>
    <row r="115" spans="1:2" x14ac:dyDescent="0.25">
      <c r="A115" s="19" t="s">
        <v>476</v>
      </c>
      <c r="B115" t="s">
        <v>950</v>
      </c>
    </row>
    <row r="116" spans="1:2" x14ac:dyDescent="0.25">
      <c r="A116" s="19" t="s">
        <v>488</v>
      </c>
      <c r="B116" t="s">
        <v>1042</v>
      </c>
    </row>
    <row r="117" spans="1:2" x14ac:dyDescent="0.25">
      <c r="A117" s="19" t="s">
        <v>488</v>
      </c>
      <c r="B117" t="s">
        <v>1028</v>
      </c>
    </row>
    <row r="118" spans="1:2" x14ac:dyDescent="0.25">
      <c r="A118" s="19" t="s">
        <v>488</v>
      </c>
      <c r="B118" t="s">
        <v>2374</v>
      </c>
    </row>
    <row r="119" spans="1:2" x14ac:dyDescent="0.25">
      <c r="A119" s="19" t="s">
        <v>488</v>
      </c>
      <c r="B119" t="s">
        <v>1123</v>
      </c>
    </row>
    <row r="120" spans="1:2" x14ac:dyDescent="0.25">
      <c r="A120" s="19" t="s">
        <v>488</v>
      </c>
      <c r="B120" t="s">
        <v>1126</v>
      </c>
    </row>
    <row r="121" spans="1:2" x14ac:dyDescent="0.25">
      <c r="A121" s="19" t="s">
        <v>488</v>
      </c>
      <c r="B121" t="s">
        <v>1129</v>
      </c>
    </row>
    <row r="122" spans="1:2" x14ac:dyDescent="0.25">
      <c r="A122" s="19" t="s">
        <v>488</v>
      </c>
      <c r="B122" t="s">
        <v>941</v>
      </c>
    </row>
    <row r="123" spans="1:2" x14ac:dyDescent="0.25">
      <c r="A123" s="19" t="s">
        <v>488</v>
      </c>
      <c r="B123" t="s">
        <v>960</v>
      </c>
    </row>
    <row r="124" spans="1:2" x14ac:dyDescent="0.25">
      <c r="A124" s="19" t="s">
        <v>528</v>
      </c>
      <c r="B124" t="s">
        <v>1042</v>
      </c>
    </row>
    <row r="125" spans="1:2" x14ac:dyDescent="0.25">
      <c r="A125" s="19" t="s">
        <v>528</v>
      </c>
      <c r="B125" t="s">
        <v>941</v>
      </c>
    </row>
    <row r="126" spans="1:2" x14ac:dyDescent="0.25">
      <c r="A126" s="19" t="s">
        <v>528</v>
      </c>
      <c r="B126" t="s">
        <v>1138</v>
      </c>
    </row>
    <row r="127" spans="1:2" x14ac:dyDescent="0.25">
      <c r="A127" s="19" t="s">
        <v>528</v>
      </c>
      <c r="B127" t="s">
        <v>960</v>
      </c>
    </row>
    <row r="128" spans="1:2" x14ac:dyDescent="0.25">
      <c r="A128" s="19" t="s">
        <v>528</v>
      </c>
      <c r="B128" t="s">
        <v>1142</v>
      </c>
    </row>
    <row r="129" spans="1:2" x14ac:dyDescent="0.25">
      <c r="A129" s="19" t="s">
        <v>528</v>
      </c>
      <c r="B129" t="s">
        <v>2374</v>
      </c>
    </row>
    <row r="130" spans="1:2" x14ac:dyDescent="0.25">
      <c r="A130" s="19" t="s">
        <v>528</v>
      </c>
      <c r="B130" t="s">
        <v>1123</v>
      </c>
    </row>
    <row r="131" spans="1:2" x14ac:dyDescent="0.25">
      <c r="A131" s="19" t="s">
        <v>506</v>
      </c>
      <c r="B131" t="s">
        <v>1028</v>
      </c>
    </row>
    <row r="132" spans="1:2" x14ac:dyDescent="0.25">
      <c r="A132" s="19" t="s">
        <v>506</v>
      </c>
      <c r="B132" t="s">
        <v>1025</v>
      </c>
    </row>
    <row r="133" spans="1:2" x14ac:dyDescent="0.25">
      <c r="A133" s="19" t="s">
        <v>506</v>
      </c>
      <c r="B133" t="s">
        <v>2374</v>
      </c>
    </row>
    <row r="134" spans="1:2" x14ac:dyDescent="0.25">
      <c r="A134" s="19" t="s">
        <v>506</v>
      </c>
      <c r="B134" t="s">
        <v>923</v>
      </c>
    </row>
    <row r="135" spans="1:2" x14ac:dyDescent="0.25">
      <c r="A135" s="19" t="s">
        <v>506</v>
      </c>
      <c r="B135" t="s">
        <v>941</v>
      </c>
    </row>
    <row r="136" spans="1:2" x14ac:dyDescent="0.25">
      <c r="A136" s="19" t="s">
        <v>506</v>
      </c>
      <c r="B136" t="s">
        <v>18</v>
      </c>
    </row>
    <row r="137" spans="1:2" x14ac:dyDescent="0.25">
      <c r="A137" s="19" t="s">
        <v>506</v>
      </c>
      <c r="B137" t="s">
        <v>23</v>
      </c>
    </row>
    <row r="138" spans="1:2" x14ac:dyDescent="0.25">
      <c r="A138" s="19" t="s">
        <v>506</v>
      </c>
      <c r="B138" t="s">
        <v>1123</v>
      </c>
    </row>
    <row r="139" spans="1:2" x14ac:dyDescent="0.25">
      <c r="A139" s="19" t="s">
        <v>526</v>
      </c>
      <c r="B139" t="s">
        <v>950</v>
      </c>
    </row>
    <row r="140" spans="1:2" x14ac:dyDescent="0.25">
      <c r="A140" s="19" t="s">
        <v>526</v>
      </c>
      <c r="B140" t="s">
        <v>1025</v>
      </c>
    </row>
    <row r="141" spans="1:2" x14ac:dyDescent="0.25">
      <c r="A141" s="19" t="s">
        <v>526</v>
      </c>
      <c r="B141" t="s">
        <v>903</v>
      </c>
    </row>
    <row r="142" spans="1:2" x14ac:dyDescent="0.25">
      <c r="A142" s="19" t="s">
        <v>526</v>
      </c>
      <c r="B142" t="s">
        <v>923</v>
      </c>
    </row>
    <row r="143" spans="1:2" x14ac:dyDescent="0.25">
      <c r="A143" s="19" t="s">
        <v>526</v>
      </c>
      <c r="B143" t="s">
        <v>941</v>
      </c>
    </row>
    <row r="144" spans="1:2" x14ac:dyDescent="0.25">
      <c r="A144" s="19" t="s">
        <v>480</v>
      </c>
      <c r="B144" t="s">
        <v>1025</v>
      </c>
    </row>
    <row r="145" spans="1:2" x14ac:dyDescent="0.25">
      <c r="A145" s="19" t="s">
        <v>480</v>
      </c>
      <c r="B145" t="s">
        <v>950</v>
      </c>
    </row>
    <row r="146" spans="1:2" x14ac:dyDescent="0.25">
      <c r="A146" s="19" t="s">
        <v>480</v>
      </c>
      <c r="B146" t="s">
        <v>903</v>
      </c>
    </row>
    <row r="147" spans="1:2" x14ac:dyDescent="0.25">
      <c r="A147" s="19" t="s">
        <v>480</v>
      </c>
      <c r="B147" t="s">
        <v>923</v>
      </c>
    </row>
    <row r="148" spans="1:2" x14ac:dyDescent="0.25">
      <c r="A148" s="19" t="s">
        <v>480</v>
      </c>
      <c r="B148" t="s">
        <v>1202</v>
      </c>
    </row>
    <row r="149" spans="1:2" x14ac:dyDescent="0.25">
      <c r="A149" s="19" t="s">
        <v>480</v>
      </c>
      <c r="B149" t="s">
        <v>1025</v>
      </c>
    </row>
    <row r="150" spans="1:2" x14ac:dyDescent="0.25">
      <c r="A150" s="19" t="s">
        <v>540</v>
      </c>
      <c r="B150" t="s">
        <v>950</v>
      </c>
    </row>
    <row r="151" spans="1:2" x14ac:dyDescent="0.25">
      <c r="A151" s="19" t="s">
        <v>540</v>
      </c>
      <c r="B151" t="s">
        <v>1025</v>
      </c>
    </row>
    <row r="152" spans="1:2" x14ac:dyDescent="0.25">
      <c r="A152" s="19" t="s">
        <v>540</v>
      </c>
      <c r="B152" t="s">
        <v>923</v>
      </c>
    </row>
    <row r="153" spans="1:2" x14ac:dyDescent="0.25">
      <c r="A153" s="19" t="s">
        <v>540</v>
      </c>
      <c r="B153" t="s">
        <v>903</v>
      </c>
    </row>
    <row r="154" spans="1:2" x14ac:dyDescent="0.25">
      <c r="A154" s="19" t="s">
        <v>540</v>
      </c>
      <c r="B154" t="s">
        <v>941</v>
      </c>
    </row>
    <row r="155" spans="1:2" x14ac:dyDescent="0.25">
      <c r="A155" s="19" t="s">
        <v>540</v>
      </c>
      <c r="B155" t="s">
        <v>23</v>
      </c>
    </row>
    <row r="156" spans="1:2" x14ac:dyDescent="0.25">
      <c r="A156" s="19" t="s">
        <v>500</v>
      </c>
      <c r="B156" t="s">
        <v>950</v>
      </c>
    </row>
    <row r="157" spans="1:2" x14ac:dyDescent="0.25">
      <c r="A157" s="19" t="s">
        <v>500</v>
      </c>
      <c r="B157" t="s">
        <v>1025</v>
      </c>
    </row>
    <row r="158" spans="1:2" x14ac:dyDescent="0.25">
      <c r="A158" s="19" t="s">
        <v>500</v>
      </c>
      <c r="B158" t="s">
        <v>923</v>
      </c>
    </row>
    <row r="159" spans="1:2" x14ac:dyDescent="0.25">
      <c r="A159" s="19" t="s">
        <v>500</v>
      </c>
      <c r="B159" t="s">
        <v>23</v>
      </c>
    </row>
    <row r="160" spans="1:2" x14ac:dyDescent="0.25">
      <c r="A160" s="19" t="s">
        <v>500</v>
      </c>
      <c r="B160" t="s">
        <v>18</v>
      </c>
    </row>
    <row r="161" spans="1:2" x14ac:dyDescent="0.25">
      <c r="A161" s="19" t="s">
        <v>500</v>
      </c>
      <c r="B161" t="s">
        <v>941</v>
      </c>
    </row>
    <row r="162" spans="1:2" x14ac:dyDescent="0.25">
      <c r="A162" s="19" t="s">
        <v>500</v>
      </c>
      <c r="B162" t="s">
        <v>1225</v>
      </c>
    </row>
    <row r="163" spans="1:2" x14ac:dyDescent="0.25">
      <c r="A163" s="19" t="s">
        <v>530</v>
      </c>
      <c r="B163" t="s">
        <v>950</v>
      </c>
    </row>
    <row r="164" spans="1:2" x14ac:dyDescent="0.25">
      <c r="A164" s="19" t="s">
        <v>530</v>
      </c>
      <c r="B164" t="s">
        <v>923</v>
      </c>
    </row>
    <row r="165" spans="1:2" x14ac:dyDescent="0.25">
      <c r="A165" s="19" t="s">
        <v>530</v>
      </c>
      <c r="B165" t="s">
        <v>1025</v>
      </c>
    </row>
    <row r="166" spans="1:2" x14ac:dyDescent="0.25">
      <c r="A166" s="19" t="s">
        <v>530</v>
      </c>
      <c r="B166" t="s">
        <v>23</v>
      </c>
    </row>
    <row r="167" spans="1:2" x14ac:dyDescent="0.25">
      <c r="A167" s="19" t="s">
        <v>530</v>
      </c>
      <c r="B167" t="s">
        <v>18</v>
      </c>
    </row>
    <row r="168" spans="1:2" x14ac:dyDescent="0.25">
      <c r="A168" s="19" t="s">
        <v>530</v>
      </c>
      <c r="B168" t="s">
        <v>1225</v>
      </c>
    </row>
    <row r="169" spans="1:2" x14ac:dyDescent="0.25">
      <c r="A169" s="19" t="s">
        <v>530</v>
      </c>
      <c r="B169" t="s">
        <v>941</v>
      </c>
    </row>
    <row r="170" spans="1:2" x14ac:dyDescent="0.25">
      <c r="A170" s="19" t="s">
        <v>530</v>
      </c>
      <c r="B170" t="s">
        <v>903</v>
      </c>
    </row>
    <row r="171" spans="1:2" x14ac:dyDescent="0.25">
      <c r="A171" s="19" t="s">
        <v>538</v>
      </c>
      <c r="B171" t="s">
        <v>1025</v>
      </c>
    </row>
    <row r="172" spans="1:2" x14ac:dyDescent="0.25">
      <c r="A172" s="19" t="s">
        <v>538</v>
      </c>
      <c r="B172" t="s">
        <v>923</v>
      </c>
    </row>
    <row r="173" spans="1:2" x14ac:dyDescent="0.25">
      <c r="A173" s="19" t="s">
        <v>538</v>
      </c>
      <c r="B173" t="s">
        <v>1028</v>
      </c>
    </row>
    <row r="174" spans="1:2" x14ac:dyDescent="0.25">
      <c r="A174" s="19" t="s">
        <v>538</v>
      </c>
      <c r="B174" t="s">
        <v>950</v>
      </c>
    </row>
    <row r="175" spans="1:2" x14ac:dyDescent="0.25">
      <c r="A175" s="19" t="s">
        <v>538</v>
      </c>
      <c r="B175" t="s">
        <v>941</v>
      </c>
    </row>
    <row r="176" spans="1:2" x14ac:dyDescent="0.25">
      <c r="A176" s="19" t="s">
        <v>538</v>
      </c>
      <c r="B176" t="s">
        <v>923</v>
      </c>
    </row>
    <row r="177" spans="1:2" x14ac:dyDescent="0.25">
      <c r="A177" s="19" t="s">
        <v>538</v>
      </c>
      <c r="B177" t="s">
        <v>1025</v>
      </c>
    </row>
    <row r="178" spans="1:2" x14ac:dyDescent="0.25">
      <c r="A178" s="19" t="s">
        <v>542</v>
      </c>
      <c r="B178" t="s">
        <v>950</v>
      </c>
    </row>
    <row r="179" spans="1:2" x14ac:dyDescent="0.25">
      <c r="A179" s="19" t="s">
        <v>542</v>
      </c>
      <c r="B179" t="s">
        <v>1025</v>
      </c>
    </row>
    <row r="180" spans="1:2" x14ac:dyDescent="0.25">
      <c r="A180" s="19" t="s">
        <v>542</v>
      </c>
      <c r="B180" t="s">
        <v>903</v>
      </c>
    </row>
    <row r="181" spans="1:2" x14ac:dyDescent="0.25">
      <c r="A181" s="19" t="s">
        <v>542</v>
      </c>
      <c r="B181" t="s">
        <v>923</v>
      </c>
    </row>
    <row r="182" spans="1:2" x14ac:dyDescent="0.25">
      <c r="A182" s="19" t="s">
        <v>542</v>
      </c>
      <c r="B182" t="s">
        <v>23</v>
      </c>
    </row>
    <row r="183" spans="1:2" x14ac:dyDescent="0.25">
      <c r="A183" s="19" t="s">
        <v>542</v>
      </c>
      <c r="B183" t="s">
        <v>1225</v>
      </c>
    </row>
    <row r="184" spans="1:2" x14ac:dyDescent="0.25">
      <c r="A184" s="19" t="s">
        <v>542</v>
      </c>
      <c r="B184" t="s">
        <v>941</v>
      </c>
    </row>
    <row r="185" spans="1:2" x14ac:dyDescent="0.25">
      <c r="A185" s="19" t="s">
        <v>542</v>
      </c>
      <c r="B185" t="s">
        <v>18</v>
      </c>
    </row>
    <row r="186" spans="1:2" x14ac:dyDescent="0.25">
      <c r="A186" s="19" t="s">
        <v>498</v>
      </c>
      <c r="B186" t="s">
        <v>923</v>
      </c>
    </row>
    <row r="187" spans="1:2" x14ac:dyDescent="0.25">
      <c r="A187" s="19" t="s">
        <v>498</v>
      </c>
      <c r="B187" t="s">
        <v>1028</v>
      </c>
    </row>
    <row r="188" spans="1:2" x14ac:dyDescent="0.25">
      <c r="A188" s="19" t="s">
        <v>498</v>
      </c>
      <c r="B188" t="s">
        <v>1025</v>
      </c>
    </row>
    <row r="189" spans="1:2" x14ac:dyDescent="0.25">
      <c r="A189" s="19" t="s">
        <v>498</v>
      </c>
      <c r="B189" t="s">
        <v>950</v>
      </c>
    </row>
    <row r="190" spans="1:2" x14ac:dyDescent="0.25">
      <c r="A190" s="19" t="s">
        <v>498</v>
      </c>
      <c r="B190" t="s">
        <v>941</v>
      </c>
    </row>
    <row r="191" spans="1:2" x14ac:dyDescent="0.25">
      <c r="A191" s="19" t="s">
        <v>498</v>
      </c>
      <c r="B191" t="s">
        <v>23</v>
      </c>
    </row>
    <row r="192" spans="1:2" x14ac:dyDescent="0.25">
      <c r="A192" s="19" t="s">
        <v>498</v>
      </c>
      <c r="B192" t="s">
        <v>923</v>
      </c>
    </row>
    <row r="193" spans="1:2" x14ac:dyDescent="0.25">
      <c r="A193" s="19" t="s">
        <v>532</v>
      </c>
      <c r="B193" t="s">
        <v>923</v>
      </c>
    </row>
    <row r="194" spans="1:2" x14ac:dyDescent="0.25">
      <c r="A194" s="19" t="s">
        <v>532</v>
      </c>
      <c r="B194" t="s">
        <v>950</v>
      </c>
    </row>
    <row r="195" spans="1:2" x14ac:dyDescent="0.25">
      <c r="A195" s="19" t="s">
        <v>532</v>
      </c>
      <c r="B195" t="s">
        <v>1025</v>
      </c>
    </row>
    <row r="196" spans="1:2" x14ac:dyDescent="0.25">
      <c r="A196" s="19" t="s">
        <v>532</v>
      </c>
      <c r="B196" t="s">
        <v>23</v>
      </c>
    </row>
    <row r="197" spans="1:2" x14ac:dyDescent="0.25">
      <c r="A197" s="19" t="s">
        <v>532</v>
      </c>
      <c r="B197" t="s">
        <v>923</v>
      </c>
    </row>
    <row r="198" spans="1:2" x14ac:dyDescent="0.25">
      <c r="A198" s="19" t="s">
        <v>532</v>
      </c>
      <c r="B198" t="s">
        <v>941</v>
      </c>
    </row>
    <row r="199" spans="1:2" x14ac:dyDescent="0.25">
      <c r="A199" s="19" t="s">
        <v>532</v>
      </c>
      <c r="B199" t="s">
        <v>18</v>
      </c>
    </row>
    <row r="200" spans="1:2" x14ac:dyDescent="0.25">
      <c r="A200" s="19" t="s">
        <v>468</v>
      </c>
      <c r="B200" t="s">
        <v>923</v>
      </c>
    </row>
    <row r="201" spans="1:2" x14ac:dyDescent="0.25">
      <c r="A201" s="19" t="s">
        <v>468</v>
      </c>
      <c r="B201" t="s">
        <v>950</v>
      </c>
    </row>
    <row r="202" spans="1:2" x14ac:dyDescent="0.25">
      <c r="A202" s="19" t="s">
        <v>468</v>
      </c>
      <c r="B202" t="s">
        <v>1028</v>
      </c>
    </row>
    <row r="203" spans="1:2" x14ac:dyDescent="0.25">
      <c r="A203" s="19" t="s">
        <v>468</v>
      </c>
      <c r="B203" t="s">
        <v>18</v>
      </c>
    </row>
    <row r="204" spans="1:2" x14ac:dyDescent="0.25">
      <c r="A204" s="19" t="s">
        <v>468</v>
      </c>
      <c r="B204" t="s">
        <v>941</v>
      </c>
    </row>
    <row r="205" spans="1:2" x14ac:dyDescent="0.25">
      <c r="A205" s="19" t="s">
        <v>468</v>
      </c>
      <c r="B205" t="s">
        <v>23</v>
      </c>
    </row>
    <row r="206" spans="1:2" x14ac:dyDescent="0.25">
      <c r="A206" s="19" t="s">
        <v>468</v>
      </c>
      <c r="B206" t="s">
        <v>923</v>
      </c>
    </row>
    <row r="207" spans="1:2" x14ac:dyDescent="0.25">
      <c r="A207" s="19" t="s">
        <v>472</v>
      </c>
      <c r="B207" t="s">
        <v>923</v>
      </c>
    </row>
    <row r="208" spans="1:2" x14ac:dyDescent="0.25">
      <c r="A208" s="19" t="s">
        <v>472</v>
      </c>
      <c r="B208" t="s">
        <v>950</v>
      </c>
    </row>
    <row r="209" spans="1:2" x14ac:dyDescent="0.25">
      <c r="A209" s="19" t="s">
        <v>472</v>
      </c>
      <c r="B209" t="s">
        <v>23</v>
      </c>
    </row>
    <row r="210" spans="1:2" x14ac:dyDescent="0.25">
      <c r="A210" s="19" t="s">
        <v>472</v>
      </c>
      <c r="B210" t="s">
        <v>1025</v>
      </c>
    </row>
    <row r="211" spans="1:2" x14ac:dyDescent="0.25">
      <c r="A211" s="19" t="s">
        <v>472</v>
      </c>
      <c r="B211" t="s">
        <v>18</v>
      </c>
    </row>
    <row r="212" spans="1:2" x14ac:dyDescent="0.25">
      <c r="A212" s="19" t="s">
        <v>472</v>
      </c>
      <c r="B212" t="s">
        <v>941</v>
      </c>
    </row>
    <row r="213" spans="1:2" x14ac:dyDescent="0.25">
      <c r="A213" s="19" t="s">
        <v>472</v>
      </c>
      <c r="B213" t="s">
        <v>923</v>
      </c>
    </row>
    <row r="214" spans="1:2" x14ac:dyDescent="0.25">
      <c r="A214" s="19" t="s">
        <v>472</v>
      </c>
      <c r="B214" t="s">
        <v>1225</v>
      </c>
    </row>
    <row r="215" spans="1:2" x14ac:dyDescent="0.25">
      <c r="A215" s="19" t="s">
        <v>496</v>
      </c>
      <c r="B215" t="s">
        <v>1028</v>
      </c>
    </row>
    <row r="216" spans="1:2" x14ac:dyDescent="0.25">
      <c r="A216" s="19" t="s">
        <v>496</v>
      </c>
      <c r="B216" t="s">
        <v>923</v>
      </c>
    </row>
    <row r="217" spans="1:2" x14ac:dyDescent="0.25">
      <c r="A217" s="19" t="s">
        <v>496</v>
      </c>
      <c r="B217" t="s">
        <v>18</v>
      </c>
    </row>
    <row r="218" spans="1:2" x14ac:dyDescent="0.25">
      <c r="A218" s="19" t="s">
        <v>496</v>
      </c>
      <c r="B218" t="s">
        <v>23</v>
      </c>
    </row>
    <row r="219" spans="1:2" x14ac:dyDescent="0.25">
      <c r="A219" s="19" t="s">
        <v>496</v>
      </c>
      <c r="B219" t="s">
        <v>950</v>
      </c>
    </row>
    <row r="220" spans="1:2" x14ac:dyDescent="0.25">
      <c r="A220" s="19" t="s">
        <v>496</v>
      </c>
      <c r="B220" t="s">
        <v>2374</v>
      </c>
    </row>
    <row r="221" spans="1:2" x14ac:dyDescent="0.25">
      <c r="A221" s="19" t="s">
        <v>496</v>
      </c>
      <c r="B221" t="s">
        <v>941</v>
      </c>
    </row>
    <row r="222" spans="1:2" x14ac:dyDescent="0.25">
      <c r="A222" s="19" t="s">
        <v>19</v>
      </c>
      <c r="B222" t="s">
        <v>23</v>
      </c>
    </row>
    <row r="223" spans="1:2" x14ac:dyDescent="0.25">
      <c r="A223" s="19" t="s">
        <v>19</v>
      </c>
      <c r="B223" t="s">
        <v>923</v>
      </c>
    </row>
    <row r="224" spans="1:2" x14ac:dyDescent="0.25">
      <c r="A224" s="19" t="s">
        <v>19</v>
      </c>
      <c r="B224" t="s">
        <v>1225</v>
      </c>
    </row>
    <row r="225" spans="1:2" x14ac:dyDescent="0.25">
      <c r="A225" s="19" t="s">
        <v>19</v>
      </c>
      <c r="B225" t="s">
        <v>18</v>
      </c>
    </row>
    <row r="226" spans="1:2" x14ac:dyDescent="0.25">
      <c r="A226" s="19" t="s">
        <v>19</v>
      </c>
      <c r="B226" t="s">
        <v>21</v>
      </c>
    </row>
    <row r="227" spans="1:2" x14ac:dyDescent="0.25">
      <c r="A227" s="19" t="s">
        <v>19</v>
      </c>
      <c r="B227" t="s">
        <v>1028</v>
      </c>
    </row>
    <row r="228" spans="1:2" x14ac:dyDescent="0.25">
      <c r="A228" s="19" t="s">
        <v>19</v>
      </c>
      <c r="B228" t="s">
        <v>941</v>
      </c>
    </row>
    <row r="229" spans="1:2" x14ac:dyDescent="0.25">
      <c r="A229" s="19" t="s">
        <v>486</v>
      </c>
      <c r="B229" t="s">
        <v>908</v>
      </c>
    </row>
    <row r="230" spans="1:2" x14ac:dyDescent="0.25">
      <c r="A230" s="19" t="s">
        <v>486</v>
      </c>
      <c r="B230" t="s">
        <v>903</v>
      </c>
    </row>
    <row r="231" spans="1:2" x14ac:dyDescent="0.25">
      <c r="A231" s="19" t="s">
        <v>486</v>
      </c>
      <c r="B231" t="s">
        <v>950</v>
      </c>
    </row>
    <row r="232" spans="1:2" x14ac:dyDescent="0.25">
      <c r="A232" s="19" t="s">
        <v>486</v>
      </c>
      <c r="B232" t="s">
        <v>899</v>
      </c>
    </row>
    <row r="233" spans="1:2" x14ac:dyDescent="0.25">
      <c r="A233" s="19" t="s">
        <v>486</v>
      </c>
      <c r="B233" t="s">
        <v>1025</v>
      </c>
    </row>
    <row r="234" spans="1:2" x14ac:dyDescent="0.25">
      <c r="A234" s="19" t="s">
        <v>486</v>
      </c>
      <c r="B234" t="s">
        <v>941</v>
      </c>
    </row>
    <row r="235" spans="1:2" x14ac:dyDescent="0.25">
      <c r="A235" s="19" t="s">
        <v>486</v>
      </c>
      <c r="B235" t="s">
        <v>18</v>
      </c>
    </row>
    <row r="236" spans="1:2" x14ac:dyDescent="0.25">
      <c r="A236" s="19" t="s">
        <v>514</v>
      </c>
      <c r="B236" t="s">
        <v>950</v>
      </c>
    </row>
    <row r="237" spans="1:2" x14ac:dyDescent="0.25">
      <c r="A237" s="19" t="s">
        <v>514</v>
      </c>
      <c r="B237" t="s">
        <v>903</v>
      </c>
    </row>
    <row r="238" spans="1:2" x14ac:dyDescent="0.25">
      <c r="A238" s="19" t="s">
        <v>514</v>
      </c>
      <c r="B238" t="s">
        <v>908</v>
      </c>
    </row>
    <row r="239" spans="1:2" x14ac:dyDescent="0.25">
      <c r="A239" s="19" t="s">
        <v>514</v>
      </c>
      <c r="B239" t="s">
        <v>1025</v>
      </c>
    </row>
    <row r="240" spans="1:2" x14ac:dyDescent="0.25">
      <c r="A240" s="19" t="s">
        <v>514</v>
      </c>
      <c r="B240" t="s">
        <v>899</v>
      </c>
    </row>
    <row r="241" spans="1:2" x14ac:dyDescent="0.25">
      <c r="A241" s="19" t="s">
        <v>514</v>
      </c>
      <c r="B241" t="s">
        <v>941</v>
      </c>
    </row>
    <row r="242" spans="1:2" x14ac:dyDescent="0.25">
      <c r="A242" s="19" t="s">
        <v>514</v>
      </c>
      <c r="B242" t="s">
        <v>18</v>
      </c>
    </row>
    <row r="243" spans="1:2" x14ac:dyDescent="0.25">
      <c r="A243" s="19" t="s">
        <v>514</v>
      </c>
      <c r="B243" t="s">
        <v>923</v>
      </c>
    </row>
    <row r="244" spans="1:2" x14ac:dyDescent="0.25">
      <c r="A244" s="19" t="s">
        <v>514</v>
      </c>
      <c r="B244" t="s">
        <v>950</v>
      </c>
    </row>
    <row r="245" spans="1:2" x14ac:dyDescent="0.25">
      <c r="A245" s="19" t="s">
        <v>510</v>
      </c>
      <c r="B245" t="s">
        <v>950</v>
      </c>
    </row>
    <row r="246" spans="1:2" x14ac:dyDescent="0.25">
      <c r="A246" s="19" t="s">
        <v>510</v>
      </c>
      <c r="B246" t="s">
        <v>903</v>
      </c>
    </row>
    <row r="247" spans="1:2" x14ac:dyDescent="0.25">
      <c r="A247" s="19" t="s">
        <v>510</v>
      </c>
      <c r="B247" t="s">
        <v>1025</v>
      </c>
    </row>
    <row r="248" spans="1:2" x14ac:dyDescent="0.25">
      <c r="A248" s="19" t="s">
        <v>510</v>
      </c>
      <c r="B248" t="s">
        <v>908</v>
      </c>
    </row>
    <row r="249" spans="1:2" x14ac:dyDescent="0.25">
      <c r="A249" s="19" t="s">
        <v>510</v>
      </c>
      <c r="B249" t="s">
        <v>899</v>
      </c>
    </row>
    <row r="250" spans="1:2" x14ac:dyDescent="0.25">
      <c r="A250" s="19" t="s">
        <v>510</v>
      </c>
      <c r="B250" t="s">
        <v>923</v>
      </c>
    </row>
    <row r="251" spans="1:2" x14ac:dyDescent="0.25">
      <c r="A251" s="19" t="s">
        <v>510</v>
      </c>
      <c r="B251" t="s">
        <v>941</v>
      </c>
    </row>
    <row r="252" spans="1:2" x14ac:dyDescent="0.25">
      <c r="A252" s="19" t="s">
        <v>510</v>
      </c>
      <c r="B252" t="s">
        <v>18</v>
      </c>
    </row>
    <row r="253" spans="1:2" x14ac:dyDescent="0.25">
      <c r="A253" s="19" t="s">
        <v>619</v>
      </c>
      <c r="B253" t="s">
        <v>1225</v>
      </c>
    </row>
    <row r="254" spans="1:2" x14ac:dyDescent="0.25">
      <c r="A254" s="19" t="s">
        <v>619</v>
      </c>
      <c r="B254" t="s">
        <v>950</v>
      </c>
    </row>
    <row r="255" spans="1:2" x14ac:dyDescent="0.25">
      <c r="A255" s="19" t="s">
        <v>619</v>
      </c>
      <c r="B255" t="s">
        <v>23</v>
      </c>
    </row>
    <row r="256" spans="1:2" x14ac:dyDescent="0.25">
      <c r="A256" s="19" t="s">
        <v>619</v>
      </c>
      <c r="B256" t="s">
        <v>21</v>
      </c>
    </row>
    <row r="257" spans="1:2" x14ac:dyDescent="0.25">
      <c r="A257" s="19" t="s">
        <v>619</v>
      </c>
      <c r="B257" t="s">
        <v>923</v>
      </c>
    </row>
    <row r="258" spans="1:2" x14ac:dyDescent="0.25">
      <c r="A258" s="19" t="s">
        <v>619</v>
      </c>
      <c r="B258" t="s">
        <v>941</v>
      </c>
    </row>
    <row r="259" spans="1:2" x14ac:dyDescent="0.25">
      <c r="A259" s="19" t="s">
        <v>619</v>
      </c>
      <c r="B259" t="s">
        <v>18</v>
      </c>
    </row>
    <row r="260" spans="1:2" x14ac:dyDescent="0.25">
      <c r="A260" s="22" t="s">
        <v>625</v>
      </c>
      <c r="B260" t="s">
        <v>18</v>
      </c>
    </row>
    <row r="261" spans="1:2" x14ac:dyDescent="0.25">
      <c r="A261" s="22" t="s">
        <v>625</v>
      </c>
      <c r="B261" t="s">
        <v>1025</v>
      </c>
    </row>
    <row r="262" spans="1:2" x14ac:dyDescent="0.25">
      <c r="A262" s="22" t="s">
        <v>625</v>
      </c>
      <c r="B262" t="s">
        <v>903</v>
      </c>
    </row>
    <row r="263" spans="1:2" x14ac:dyDescent="0.25">
      <c r="A263" s="22" t="s">
        <v>625</v>
      </c>
      <c r="B263" t="s">
        <v>22</v>
      </c>
    </row>
    <row r="264" spans="1:2" x14ac:dyDescent="0.25">
      <c r="A264" s="22" t="s">
        <v>625</v>
      </c>
      <c r="B264" t="s">
        <v>21</v>
      </c>
    </row>
    <row r="265" spans="1:2" x14ac:dyDescent="0.25">
      <c r="A265" s="22" t="s">
        <v>625</v>
      </c>
      <c r="B265" t="s">
        <v>1225</v>
      </c>
    </row>
    <row r="266" spans="1:2" x14ac:dyDescent="0.25">
      <c r="A266" s="22" t="s">
        <v>625</v>
      </c>
      <c r="B266" t="s">
        <v>698</v>
      </c>
    </row>
    <row r="267" spans="1:2" x14ac:dyDescent="0.25">
      <c r="A267" s="22" t="s">
        <v>625</v>
      </c>
      <c r="B267" t="s">
        <v>950</v>
      </c>
    </row>
    <row r="268" spans="1:2" x14ac:dyDescent="0.25">
      <c r="A268" s="22" t="s">
        <v>625</v>
      </c>
      <c r="B268" t="s">
        <v>2374</v>
      </c>
    </row>
    <row r="269" spans="1:2" x14ac:dyDescent="0.25">
      <c r="A269" s="22" t="s">
        <v>625</v>
      </c>
      <c r="B269" t="s">
        <v>18</v>
      </c>
    </row>
    <row r="270" spans="1:2" x14ac:dyDescent="0.25">
      <c r="A270" t="s">
        <v>512</v>
      </c>
      <c r="B270" t="s">
        <v>1025</v>
      </c>
    </row>
    <row r="271" spans="1:2" x14ac:dyDescent="0.25">
      <c r="A271" t="s">
        <v>512</v>
      </c>
      <c r="B271" t="s">
        <v>1042</v>
      </c>
    </row>
    <row r="272" spans="1:2" x14ac:dyDescent="0.25">
      <c r="A272" t="s">
        <v>512</v>
      </c>
      <c r="B272" t="s">
        <v>2374</v>
      </c>
    </row>
    <row r="273" spans="1:2" x14ac:dyDescent="0.25">
      <c r="A273" t="s">
        <v>512</v>
      </c>
      <c r="B273" t="s">
        <v>941</v>
      </c>
    </row>
    <row r="274" spans="1:2" x14ac:dyDescent="0.25">
      <c r="A274" t="s">
        <v>512</v>
      </c>
      <c r="B274" t="s">
        <v>923</v>
      </c>
    </row>
    <row r="275" spans="1:2" x14ac:dyDescent="0.25">
      <c r="A275" t="s">
        <v>512</v>
      </c>
      <c r="B275" t="s">
        <v>23</v>
      </c>
    </row>
    <row r="276" spans="1:2" x14ac:dyDescent="0.25">
      <c r="A276" t="s">
        <v>478</v>
      </c>
      <c r="B276" t="s">
        <v>18</v>
      </c>
    </row>
    <row r="277" spans="1:2" x14ac:dyDescent="0.25">
      <c r="A277" t="s">
        <v>478</v>
      </c>
      <c r="B277" t="s">
        <v>1028</v>
      </c>
    </row>
    <row r="278" spans="1:2" x14ac:dyDescent="0.25">
      <c r="A278" t="s">
        <v>478</v>
      </c>
      <c r="B278" t="s">
        <v>23</v>
      </c>
    </row>
    <row r="279" spans="1:2" x14ac:dyDescent="0.25">
      <c r="A279" t="s">
        <v>478</v>
      </c>
      <c r="B279" t="s">
        <v>923</v>
      </c>
    </row>
    <row r="280" spans="1:2" x14ac:dyDescent="0.25">
      <c r="A280" t="s">
        <v>478</v>
      </c>
      <c r="B280" t="s">
        <v>2374</v>
      </c>
    </row>
    <row r="281" spans="1:2" x14ac:dyDescent="0.25">
      <c r="A281" t="s">
        <v>478</v>
      </c>
      <c r="B281" t="s">
        <v>941</v>
      </c>
    </row>
    <row r="282" spans="1:2" x14ac:dyDescent="0.25">
      <c r="A282" t="s">
        <v>478</v>
      </c>
      <c r="B282" t="s">
        <v>18</v>
      </c>
    </row>
    <row r="283" spans="1:2" x14ac:dyDescent="0.25">
      <c r="A283" t="s">
        <v>609</v>
      </c>
      <c r="B283" t="s">
        <v>1225</v>
      </c>
    </row>
    <row r="284" spans="1:2" x14ac:dyDescent="0.25">
      <c r="A284" t="s">
        <v>609</v>
      </c>
      <c r="B284" t="s">
        <v>21</v>
      </c>
    </row>
    <row r="285" spans="1:2" x14ac:dyDescent="0.25">
      <c r="A285" t="s">
        <v>609</v>
      </c>
      <c r="B285" t="s">
        <v>23</v>
      </c>
    </row>
    <row r="286" spans="1:2" x14ac:dyDescent="0.25">
      <c r="A286" t="s">
        <v>609</v>
      </c>
      <c r="B286" t="s">
        <v>950</v>
      </c>
    </row>
    <row r="287" spans="1:2" x14ac:dyDescent="0.25">
      <c r="A287" t="s">
        <v>609</v>
      </c>
      <c r="B287" t="s">
        <v>18</v>
      </c>
    </row>
    <row r="288" spans="1:2" x14ac:dyDescent="0.25">
      <c r="A288" t="s">
        <v>609</v>
      </c>
      <c r="B288" t="s">
        <v>941</v>
      </c>
    </row>
    <row r="289" spans="1:2" x14ac:dyDescent="0.25">
      <c r="A289" t="s">
        <v>611</v>
      </c>
      <c r="B289" t="s">
        <v>1225</v>
      </c>
    </row>
    <row r="290" spans="1:2" x14ac:dyDescent="0.25">
      <c r="A290" t="s">
        <v>611</v>
      </c>
      <c r="B290" t="s">
        <v>23</v>
      </c>
    </row>
    <row r="291" spans="1:2" x14ac:dyDescent="0.25">
      <c r="A291" t="s">
        <v>611</v>
      </c>
      <c r="B291" t="s">
        <v>21</v>
      </c>
    </row>
    <row r="292" spans="1:2" x14ac:dyDescent="0.25">
      <c r="A292" t="s">
        <v>611</v>
      </c>
      <c r="B292" t="s">
        <v>950</v>
      </c>
    </row>
    <row r="293" spans="1:2" x14ac:dyDescent="0.25">
      <c r="A293" t="s">
        <v>611</v>
      </c>
      <c r="B293" t="s">
        <v>18</v>
      </c>
    </row>
    <row r="294" spans="1:2" x14ac:dyDescent="0.25">
      <c r="A294" t="s">
        <v>611</v>
      </c>
      <c r="B294" t="s">
        <v>941</v>
      </c>
    </row>
    <row r="295" spans="1:2" x14ac:dyDescent="0.25">
      <c r="A295" t="s">
        <v>534</v>
      </c>
      <c r="B295" t="s">
        <v>950</v>
      </c>
    </row>
    <row r="296" spans="1:2" x14ac:dyDescent="0.25">
      <c r="A296" t="s">
        <v>534</v>
      </c>
      <c r="B296" t="s">
        <v>903</v>
      </c>
    </row>
    <row r="297" spans="1:2" x14ac:dyDescent="0.25">
      <c r="A297" t="s">
        <v>534</v>
      </c>
      <c r="B297" t="s">
        <v>908</v>
      </c>
    </row>
    <row r="298" spans="1:2" x14ac:dyDescent="0.25">
      <c r="A298" t="s">
        <v>534</v>
      </c>
      <c r="B298" t="s">
        <v>1225</v>
      </c>
    </row>
    <row r="299" spans="1:2" x14ac:dyDescent="0.25">
      <c r="A299" t="s">
        <v>534</v>
      </c>
      <c r="B299" t="s">
        <v>23</v>
      </c>
    </row>
    <row r="300" spans="1:2" x14ac:dyDescent="0.25">
      <c r="A300" t="s">
        <v>534</v>
      </c>
      <c r="B300" t="s">
        <v>1452</v>
      </c>
    </row>
    <row r="301" spans="1:2" x14ac:dyDescent="0.25">
      <c r="A301" t="s">
        <v>534</v>
      </c>
      <c r="B301" t="s">
        <v>1455</v>
      </c>
    </row>
    <row r="302" spans="1:2" x14ac:dyDescent="0.25">
      <c r="A302" t="s">
        <v>534</v>
      </c>
      <c r="B302" t="s">
        <v>18</v>
      </c>
    </row>
    <row r="303" spans="1:2" x14ac:dyDescent="0.25">
      <c r="A303" t="s">
        <v>534</v>
      </c>
      <c r="B303" t="s">
        <v>941</v>
      </c>
    </row>
    <row r="304" spans="1:2" x14ac:dyDescent="0.25">
      <c r="A304" s="20" t="s">
        <v>756</v>
      </c>
      <c r="B304" t="s">
        <v>1042</v>
      </c>
    </row>
    <row r="305" spans="1:2" x14ac:dyDescent="0.25">
      <c r="A305" s="20" t="s">
        <v>756</v>
      </c>
      <c r="B305" t="s">
        <v>1025</v>
      </c>
    </row>
    <row r="306" spans="1:2" x14ac:dyDescent="0.25">
      <c r="A306" s="20" t="s">
        <v>756</v>
      </c>
      <c r="B306" t="s">
        <v>2374</v>
      </c>
    </row>
    <row r="307" spans="1:2" x14ac:dyDescent="0.25">
      <c r="A307" s="20" t="s">
        <v>756</v>
      </c>
      <c r="B307" t="s">
        <v>1123</v>
      </c>
    </row>
    <row r="308" spans="1:2" x14ac:dyDescent="0.25">
      <c r="A308" s="20" t="s">
        <v>759</v>
      </c>
      <c r="B308" t="s">
        <v>1028</v>
      </c>
    </row>
    <row r="309" spans="1:2" x14ac:dyDescent="0.25">
      <c r="A309" s="20" t="s">
        <v>759</v>
      </c>
      <c r="B309" t="s">
        <v>1025</v>
      </c>
    </row>
    <row r="310" spans="1:2" x14ac:dyDescent="0.25">
      <c r="A310" s="20" t="s">
        <v>759</v>
      </c>
      <c r="B310" t="s">
        <v>2374</v>
      </c>
    </row>
    <row r="311" spans="1:2" x14ac:dyDescent="0.25">
      <c r="A311" s="20" t="s">
        <v>759</v>
      </c>
      <c r="B311" t="s">
        <v>923</v>
      </c>
    </row>
    <row r="312" spans="1:2" x14ac:dyDescent="0.25">
      <c r="A312" s="20" t="s">
        <v>520</v>
      </c>
      <c r="B312" t="s">
        <v>1028</v>
      </c>
    </row>
    <row r="313" spans="1:2" x14ac:dyDescent="0.25">
      <c r="A313" s="20" t="s">
        <v>520</v>
      </c>
      <c r="B313" t="s">
        <v>18</v>
      </c>
    </row>
    <row r="314" spans="1:2" x14ac:dyDescent="0.25">
      <c r="A314" s="20" t="s">
        <v>520</v>
      </c>
      <c r="B314" t="s">
        <v>2374</v>
      </c>
    </row>
    <row r="315" spans="1:2" x14ac:dyDescent="0.25">
      <c r="A315" s="20" t="s">
        <v>520</v>
      </c>
      <c r="B315" t="s">
        <v>954</v>
      </c>
    </row>
    <row r="316" spans="1:2" x14ac:dyDescent="0.25">
      <c r="A316" s="20" t="s">
        <v>520</v>
      </c>
      <c r="B316" t="s">
        <v>941</v>
      </c>
    </row>
    <row r="317" spans="1:2" x14ac:dyDescent="0.25">
      <c r="A317" s="20" t="s">
        <v>520</v>
      </c>
      <c r="B317" t="s">
        <v>23</v>
      </c>
    </row>
    <row r="318" spans="1:2" x14ac:dyDescent="0.25">
      <c r="A318" s="20" t="s">
        <v>516</v>
      </c>
      <c r="B318" t="s">
        <v>950</v>
      </c>
    </row>
    <row r="319" spans="1:2" x14ac:dyDescent="0.25">
      <c r="A319" s="20" t="s">
        <v>516</v>
      </c>
      <c r="B319" t="s">
        <v>923</v>
      </c>
    </row>
    <row r="320" spans="1:2" x14ac:dyDescent="0.25">
      <c r="A320" s="20" t="s">
        <v>516</v>
      </c>
      <c r="B320" t="s">
        <v>1025</v>
      </c>
    </row>
    <row r="321" spans="1:2" x14ac:dyDescent="0.25">
      <c r="A321" s="20" t="s">
        <v>516</v>
      </c>
      <c r="B321" t="s">
        <v>23</v>
      </c>
    </row>
    <row r="322" spans="1:2" x14ac:dyDescent="0.25">
      <c r="A322" s="20" t="s">
        <v>516</v>
      </c>
      <c r="B322" t="s">
        <v>1225</v>
      </c>
    </row>
    <row r="323" spans="1:2" x14ac:dyDescent="0.25">
      <c r="A323" s="20" t="s">
        <v>516</v>
      </c>
      <c r="B323" t="s">
        <v>941</v>
      </c>
    </row>
    <row r="324" spans="1:2" x14ac:dyDescent="0.25">
      <c r="A324" s="20" t="s">
        <v>516</v>
      </c>
      <c r="B324" t="s">
        <v>903</v>
      </c>
    </row>
    <row r="325" spans="1:2" x14ac:dyDescent="0.25">
      <c r="A325" s="20" t="s">
        <v>474</v>
      </c>
      <c r="B325" t="s">
        <v>950</v>
      </c>
    </row>
    <row r="326" spans="1:2" x14ac:dyDescent="0.25">
      <c r="A326" s="20" t="s">
        <v>474</v>
      </c>
      <c r="B326" t="s">
        <v>1025</v>
      </c>
    </row>
    <row r="327" spans="1:2" x14ac:dyDescent="0.25">
      <c r="A327" s="20" t="s">
        <v>474</v>
      </c>
      <c r="B327" t="s">
        <v>903</v>
      </c>
    </row>
    <row r="328" spans="1:2" x14ac:dyDescent="0.25">
      <c r="A328" s="20" t="s">
        <v>474</v>
      </c>
      <c r="B328" t="s">
        <v>923</v>
      </c>
    </row>
    <row r="329" spans="1:2" x14ac:dyDescent="0.25">
      <c r="A329" s="20" t="s">
        <v>474</v>
      </c>
      <c r="B329" t="s">
        <v>941</v>
      </c>
    </row>
    <row r="330" spans="1:2" x14ac:dyDescent="0.25">
      <c r="A330" s="20" t="s">
        <v>474</v>
      </c>
      <c r="B330" t="s">
        <v>1225</v>
      </c>
    </row>
    <row r="331" spans="1:2" x14ac:dyDescent="0.25">
      <c r="A331" s="20" t="s">
        <v>762</v>
      </c>
      <c r="B331" t="s">
        <v>923</v>
      </c>
    </row>
    <row r="332" spans="1:2" x14ac:dyDescent="0.25">
      <c r="A332" s="20" t="s">
        <v>762</v>
      </c>
      <c r="B332" t="s">
        <v>950</v>
      </c>
    </row>
    <row r="333" spans="1:2" x14ac:dyDescent="0.25">
      <c r="A333" s="20" t="s">
        <v>762</v>
      </c>
      <c r="B333" t="s">
        <v>1028</v>
      </c>
    </row>
    <row r="334" spans="1:2" x14ac:dyDescent="0.25">
      <c r="A334" s="20" t="s">
        <v>762</v>
      </c>
      <c r="B334" t="s">
        <v>923</v>
      </c>
    </row>
    <row r="335" spans="1:2" x14ac:dyDescent="0.25">
      <c r="A335" s="20" t="s">
        <v>762</v>
      </c>
      <c r="B335" t="s">
        <v>941</v>
      </c>
    </row>
    <row r="336" spans="1:2" x14ac:dyDescent="0.25">
      <c r="A336" s="20" t="s">
        <v>762</v>
      </c>
      <c r="B336" t="s">
        <v>23</v>
      </c>
    </row>
    <row r="337" spans="1:2" x14ac:dyDescent="0.25">
      <c r="A337" s="20" t="s">
        <v>678</v>
      </c>
      <c r="B337" t="s">
        <v>923</v>
      </c>
    </row>
    <row r="338" spans="1:2" x14ac:dyDescent="0.25">
      <c r="A338" s="20" t="s">
        <v>678</v>
      </c>
      <c r="B338" t="s">
        <v>950</v>
      </c>
    </row>
    <row r="339" spans="1:2" x14ac:dyDescent="0.25">
      <c r="A339" s="20" t="s">
        <v>678</v>
      </c>
      <c r="B339" t="s">
        <v>23</v>
      </c>
    </row>
    <row r="340" spans="1:2" x14ac:dyDescent="0.25">
      <c r="A340" s="20" t="s">
        <v>678</v>
      </c>
      <c r="B340" t="s">
        <v>923</v>
      </c>
    </row>
    <row r="341" spans="1:2" x14ac:dyDescent="0.25">
      <c r="A341" s="20" t="s">
        <v>678</v>
      </c>
      <c r="B341" t="s">
        <v>941</v>
      </c>
    </row>
    <row r="342" spans="1:2" x14ac:dyDescent="0.25">
      <c r="A342" s="20" t="s">
        <v>678</v>
      </c>
      <c r="B342" t="s">
        <v>18</v>
      </c>
    </row>
    <row r="343" spans="1:2" x14ac:dyDescent="0.25">
      <c r="A343" s="20" t="s">
        <v>678</v>
      </c>
      <c r="B343" t="s">
        <v>923</v>
      </c>
    </row>
    <row r="344" spans="1:2" x14ac:dyDescent="0.25">
      <c r="A344" s="20" t="s">
        <v>464</v>
      </c>
      <c r="B344" t="s">
        <v>923</v>
      </c>
    </row>
    <row r="345" spans="1:2" x14ac:dyDescent="0.25">
      <c r="A345" s="20" t="s">
        <v>464</v>
      </c>
      <c r="B345" t="s">
        <v>1028</v>
      </c>
    </row>
    <row r="346" spans="1:2" x14ac:dyDescent="0.25">
      <c r="A346" s="20" t="s">
        <v>464</v>
      </c>
      <c r="B346" t="s">
        <v>23</v>
      </c>
    </row>
    <row r="347" spans="1:2" x14ac:dyDescent="0.25">
      <c r="A347" s="20" t="s">
        <v>464</v>
      </c>
      <c r="B347" t="s">
        <v>950</v>
      </c>
    </row>
    <row r="348" spans="1:2" x14ac:dyDescent="0.25">
      <c r="A348" s="20" t="s">
        <v>464</v>
      </c>
      <c r="B348" t="s">
        <v>18</v>
      </c>
    </row>
    <row r="349" spans="1:2" x14ac:dyDescent="0.25">
      <c r="A349" s="20" t="s">
        <v>464</v>
      </c>
      <c r="B349" t="s">
        <v>941</v>
      </c>
    </row>
    <row r="350" spans="1:2" x14ac:dyDescent="0.25">
      <c r="A350" s="20" t="s">
        <v>464</v>
      </c>
      <c r="B350" t="s">
        <v>923</v>
      </c>
    </row>
    <row r="351" spans="1:2" x14ac:dyDescent="0.25">
      <c r="A351" s="20" t="s">
        <v>1364</v>
      </c>
      <c r="B351" t="s">
        <v>923</v>
      </c>
    </row>
    <row r="352" spans="1:2" x14ac:dyDescent="0.25">
      <c r="A352" s="20" t="s">
        <v>1364</v>
      </c>
      <c r="B352" t="s">
        <v>950</v>
      </c>
    </row>
    <row r="353" spans="1:2" x14ac:dyDescent="0.25">
      <c r="A353" s="20" t="s">
        <v>1364</v>
      </c>
      <c r="B353" t="s">
        <v>23</v>
      </c>
    </row>
    <row r="354" spans="1:2" x14ac:dyDescent="0.25">
      <c r="A354" s="20" t="s">
        <v>1364</v>
      </c>
      <c r="B354" t="s">
        <v>923</v>
      </c>
    </row>
    <row r="355" spans="1:2" x14ac:dyDescent="0.25">
      <c r="A355" s="20" t="s">
        <v>1364</v>
      </c>
      <c r="B355" t="s">
        <v>1028</v>
      </c>
    </row>
    <row r="356" spans="1:2" x14ac:dyDescent="0.25">
      <c r="A356" s="20" t="s">
        <v>1364</v>
      </c>
      <c r="B356" t="s">
        <v>941</v>
      </c>
    </row>
    <row r="357" spans="1:2" x14ac:dyDescent="0.25">
      <c r="A357" s="20" t="s">
        <v>1364</v>
      </c>
      <c r="B357" t="s">
        <v>18</v>
      </c>
    </row>
    <row r="358" spans="1:2" x14ac:dyDescent="0.25">
      <c r="A358" t="s">
        <v>2582</v>
      </c>
      <c r="B358" t="s">
        <v>899</v>
      </c>
    </row>
    <row r="359" spans="1:2" x14ac:dyDescent="0.25">
      <c r="A359" t="s">
        <v>2582</v>
      </c>
      <c r="B359" t="s">
        <v>903</v>
      </c>
    </row>
    <row r="360" spans="1:2" x14ac:dyDescent="0.25">
      <c r="A360" t="s">
        <v>2582</v>
      </c>
      <c r="B360" t="s">
        <v>905</v>
      </c>
    </row>
    <row r="361" spans="1:2" x14ac:dyDescent="0.25">
      <c r="A361" t="s">
        <v>2583</v>
      </c>
      <c r="B361" t="s">
        <v>1042</v>
      </c>
    </row>
    <row r="362" spans="1:2" x14ac:dyDescent="0.25">
      <c r="A362" t="s">
        <v>2583</v>
      </c>
      <c r="B362" t="s">
        <v>954</v>
      </c>
    </row>
    <row r="363" spans="1:2" x14ac:dyDescent="0.25">
      <c r="A363" t="s">
        <v>2583</v>
      </c>
      <c r="B363" t="s">
        <v>2374</v>
      </c>
    </row>
    <row r="364" spans="1:2" x14ac:dyDescent="0.25">
      <c r="A364" s="15" t="s">
        <v>2638</v>
      </c>
      <c r="B364" s="28" t="s">
        <v>1025</v>
      </c>
    </row>
    <row r="365" spans="1:2" x14ac:dyDescent="0.25">
      <c r="A365" s="15" t="s">
        <v>2638</v>
      </c>
      <c r="B365" s="28" t="s">
        <v>903</v>
      </c>
    </row>
    <row r="366" spans="1:2" x14ac:dyDescent="0.25">
      <c r="A366" t="s">
        <v>581</v>
      </c>
      <c r="B366" t="s">
        <v>903</v>
      </c>
    </row>
    <row r="367" spans="1:2" x14ac:dyDescent="0.25">
      <c r="A367" t="s">
        <v>581</v>
      </c>
      <c r="B367" t="s">
        <v>954</v>
      </c>
    </row>
    <row r="368" spans="1:2" x14ac:dyDescent="0.25">
      <c r="A368" t="s">
        <v>581</v>
      </c>
      <c r="B368" t="s">
        <v>1025</v>
      </c>
    </row>
    <row r="369" spans="1:2" x14ac:dyDescent="0.25">
      <c r="A369" t="s">
        <v>581</v>
      </c>
      <c r="B369" t="s">
        <v>941</v>
      </c>
    </row>
    <row r="370" spans="1:2" x14ac:dyDescent="0.25">
      <c r="A370" t="s">
        <v>581</v>
      </c>
      <c r="B370" t="s">
        <v>960</v>
      </c>
    </row>
    <row r="371" spans="1:2" x14ac:dyDescent="0.25">
      <c r="A371" t="s">
        <v>581</v>
      </c>
      <c r="B371" t="s">
        <v>1129</v>
      </c>
    </row>
    <row r="372" spans="1:2" x14ac:dyDescent="0.25">
      <c r="A372" t="s">
        <v>581</v>
      </c>
      <c r="B372" t="s">
        <v>1123</v>
      </c>
    </row>
    <row r="373" spans="1:2" x14ac:dyDescent="0.25">
      <c r="A373" t="s">
        <v>581</v>
      </c>
      <c r="B373" t="s">
        <v>1565</v>
      </c>
    </row>
    <row r="374" spans="1:2" x14ac:dyDescent="0.25">
      <c r="A374" t="s">
        <v>581</v>
      </c>
      <c r="B374" t="s">
        <v>18</v>
      </c>
    </row>
    <row r="375" spans="1:2" x14ac:dyDescent="0.25">
      <c r="A375" t="s">
        <v>581</v>
      </c>
      <c r="B375" t="s">
        <v>617</v>
      </c>
    </row>
    <row r="376" spans="1:2" x14ac:dyDescent="0.25">
      <c r="A376" t="s">
        <v>581</v>
      </c>
      <c r="B376" t="s">
        <v>2002</v>
      </c>
    </row>
    <row r="377" spans="1:2" x14ac:dyDescent="0.25">
      <c r="A377" t="s">
        <v>581</v>
      </c>
      <c r="B377" t="s">
        <v>905</v>
      </c>
    </row>
    <row r="378" spans="1:2" x14ac:dyDescent="0.25">
      <c r="A378" t="s">
        <v>581</v>
      </c>
      <c r="B378" t="s">
        <v>899</v>
      </c>
    </row>
    <row r="379" spans="1:2" x14ac:dyDescent="0.25">
      <c r="A379" t="s">
        <v>555</v>
      </c>
      <c r="B379" t="s">
        <v>954</v>
      </c>
    </row>
    <row r="380" spans="1:2" x14ac:dyDescent="0.25">
      <c r="A380" t="s">
        <v>555</v>
      </c>
      <c r="B380" t="s">
        <v>903</v>
      </c>
    </row>
    <row r="381" spans="1:2" x14ac:dyDescent="0.25">
      <c r="A381" t="s">
        <v>555</v>
      </c>
      <c r="B381" t="s">
        <v>1025</v>
      </c>
    </row>
    <row r="382" spans="1:2" x14ac:dyDescent="0.25">
      <c r="A382" t="s">
        <v>555</v>
      </c>
      <c r="B382" t="s">
        <v>1025</v>
      </c>
    </row>
    <row r="383" spans="1:2" x14ac:dyDescent="0.25">
      <c r="A383" t="s">
        <v>555</v>
      </c>
      <c r="B383" t="s">
        <v>941</v>
      </c>
    </row>
    <row r="384" spans="1:2" x14ac:dyDescent="0.25">
      <c r="A384" t="s">
        <v>555</v>
      </c>
      <c r="B384" t="s">
        <v>960</v>
      </c>
    </row>
    <row r="385" spans="1:2" x14ac:dyDescent="0.25">
      <c r="A385" t="s">
        <v>555</v>
      </c>
      <c r="B385" t="s">
        <v>1129</v>
      </c>
    </row>
    <row r="386" spans="1:2" x14ac:dyDescent="0.25">
      <c r="A386" t="s">
        <v>555</v>
      </c>
      <c r="B386" t="s">
        <v>1123</v>
      </c>
    </row>
    <row r="387" spans="1:2" x14ac:dyDescent="0.25">
      <c r="A387" t="s">
        <v>555</v>
      </c>
      <c r="B387" t="s">
        <v>18</v>
      </c>
    </row>
    <row r="388" spans="1:2" x14ac:dyDescent="0.25">
      <c r="A388" t="s">
        <v>555</v>
      </c>
      <c r="B388" t="s">
        <v>1565</v>
      </c>
    </row>
    <row r="389" spans="1:2" x14ac:dyDescent="0.25">
      <c r="A389" t="s">
        <v>555</v>
      </c>
      <c r="B389" t="s">
        <v>617</v>
      </c>
    </row>
    <row r="390" spans="1:2" x14ac:dyDescent="0.25">
      <c r="A390" t="s">
        <v>555</v>
      </c>
      <c r="B390" t="s">
        <v>2009</v>
      </c>
    </row>
    <row r="391" spans="1:2" x14ac:dyDescent="0.25">
      <c r="A391" t="s">
        <v>555</v>
      </c>
      <c r="B391" t="s">
        <v>1557</v>
      </c>
    </row>
    <row r="392" spans="1:2" x14ac:dyDescent="0.25">
      <c r="A392" t="s">
        <v>555</v>
      </c>
      <c r="B392" t="s">
        <v>905</v>
      </c>
    </row>
    <row r="393" spans="1:2" x14ac:dyDescent="0.25">
      <c r="A393" t="s">
        <v>555</v>
      </c>
      <c r="B393" t="s">
        <v>899</v>
      </c>
    </row>
    <row r="394" spans="1:2" x14ac:dyDescent="0.25">
      <c r="A394" t="s">
        <v>571</v>
      </c>
      <c r="B394" t="s">
        <v>1129</v>
      </c>
    </row>
    <row r="395" spans="1:2" x14ac:dyDescent="0.25">
      <c r="A395" t="s">
        <v>571</v>
      </c>
      <c r="B395" t="s">
        <v>1828</v>
      </c>
    </row>
    <row r="396" spans="1:2" x14ac:dyDescent="0.25">
      <c r="A396" t="s">
        <v>571</v>
      </c>
      <c r="B396" t="s">
        <v>1123</v>
      </c>
    </row>
    <row r="397" spans="1:2" x14ac:dyDescent="0.25">
      <c r="A397" t="s">
        <v>571</v>
      </c>
      <c r="B397" t="s">
        <v>960</v>
      </c>
    </row>
    <row r="398" spans="1:2" x14ac:dyDescent="0.25">
      <c r="A398" t="s">
        <v>571</v>
      </c>
      <c r="B398" t="s">
        <v>1126</v>
      </c>
    </row>
    <row r="399" spans="1:2" x14ac:dyDescent="0.25">
      <c r="A399" t="s">
        <v>571</v>
      </c>
      <c r="B399" t="s">
        <v>1042</v>
      </c>
    </row>
    <row r="400" spans="1:2" x14ac:dyDescent="0.25">
      <c r="A400" t="s">
        <v>571</v>
      </c>
      <c r="B400" t="s">
        <v>941</v>
      </c>
    </row>
    <row r="401" spans="1:2" x14ac:dyDescent="0.25">
      <c r="A401" t="s">
        <v>569</v>
      </c>
      <c r="B401" t="s">
        <v>960</v>
      </c>
    </row>
    <row r="402" spans="1:2" x14ac:dyDescent="0.25">
      <c r="A402" t="s">
        <v>569</v>
      </c>
      <c r="B402" t="s">
        <v>941</v>
      </c>
    </row>
    <row r="403" spans="1:2" x14ac:dyDescent="0.25">
      <c r="A403" t="s">
        <v>569</v>
      </c>
      <c r="B403" t="s">
        <v>1123</v>
      </c>
    </row>
    <row r="404" spans="1:2" x14ac:dyDescent="0.25">
      <c r="A404" t="s">
        <v>569</v>
      </c>
      <c r="B404" t="s">
        <v>1129</v>
      </c>
    </row>
    <row r="405" spans="1:2" x14ac:dyDescent="0.25">
      <c r="A405" t="s">
        <v>569</v>
      </c>
      <c r="B405" t="s">
        <v>1042</v>
      </c>
    </row>
    <row r="406" spans="1:2" x14ac:dyDescent="0.25">
      <c r="A406" t="s">
        <v>569</v>
      </c>
      <c r="B406" t="s">
        <v>960</v>
      </c>
    </row>
    <row r="407" spans="1:2" x14ac:dyDescent="0.25">
      <c r="A407" t="s">
        <v>559</v>
      </c>
      <c r="B407" t="s">
        <v>960</v>
      </c>
    </row>
    <row r="408" spans="1:2" x14ac:dyDescent="0.25">
      <c r="A408" t="s">
        <v>559</v>
      </c>
      <c r="B408" t="s">
        <v>1129</v>
      </c>
    </row>
    <row r="409" spans="1:2" x14ac:dyDescent="0.25">
      <c r="A409" t="s">
        <v>559</v>
      </c>
      <c r="B409" t="s">
        <v>1123</v>
      </c>
    </row>
    <row r="410" spans="1:2" x14ac:dyDescent="0.25">
      <c r="A410" t="s">
        <v>559</v>
      </c>
      <c r="B410" t="s">
        <v>941</v>
      </c>
    </row>
    <row r="411" spans="1:2" x14ac:dyDescent="0.25">
      <c r="A411" t="s">
        <v>559</v>
      </c>
      <c r="B411" t="s">
        <v>1042</v>
      </c>
    </row>
    <row r="412" spans="1:2" x14ac:dyDescent="0.25">
      <c r="A412" t="s">
        <v>559</v>
      </c>
      <c r="B412" t="s">
        <v>1142</v>
      </c>
    </row>
    <row r="413" spans="1:2" x14ac:dyDescent="0.25">
      <c r="A413" t="s">
        <v>559</v>
      </c>
      <c r="B413" t="s">
        <v>960</v>
      </c>
    </row>
    <row r="414" spans="1:2" x14ac:dyDescent="0.25">
      <c r="A414" t="s">
        <v>561</v>
      </c>
      <c r="B414" t="s">
        <v>960</v>
      </c>
    </row>
    <row r="415" spans="1:2" x14ac:dyDescent="0.25">
      <c r="A415" t="s">
        <v>561</v>
      </c>
      <c r="B415" t="s">
        <v>1123</v>
      </c>
    </row>
    <row r="416" spans="1:2" x14ac:dyDescent="0.25">
      <c r="A416" t="s">
        <v>561</v>
      </c>
      <c r="B416" t="s">
        <v>1129</v>
      </c>
    </row>
    <row r="417" spans="1:2" x14ac:dyDescent="0.25">
      <c r="A417" t="s">
        <v>561</v>
      </c>
      <c r="B417" t="s">
        <v>941</v>
      </c>
    </row>
    <row r="418" spans="1:2" x14ac:dyDescent="0.25">
      <c r="A418" t="s">
        <v>561</v>
      </c>
      <c r="B418" t="s">
        <v>1042</v>
      </c>
    </row>
    <row r="419" spans="1:2" x14ac:dyDescent="0.25">
      <c r="A419" t="s">
        <v>561</v>
      </c>
      <c r="B419" t="s">
        <v>1142</v>
      </c>
    </row>
    <row r="420" spans="1:2" x14ac:dyDescent="0.25">
      <c r="A420" t="s">
        <v>561</v>
      </c>
      <c r="B420" t="s">
        <v>960</v>
      </c>
    </row>
    <row r="421" spans="1:2" x14ac:dyDescent="0.25">
      <c r="A421" t="s">
        <v>557</v>
      </c>
      <c r="B421" t="s">
        <v>1129</v>
      </c>
    </row>
    <row r="422" spans="1:2" x14ac:dyDescent="0.25">
      <c r="A422" t="s">
        <v>557</v>
      </c>
      <c r="B422" t="s">
        <v>960</v>
      </c>
    </row>
    <row r="423" spans="1:2" x14ac:dyDescent="0.25">
      <c r="A423" t="s">
        <v>557</v>
      </c>
      <c r="B423" t="s">
        <v>1828</v>
      </c>
    </row>
    <row r="424" spans="1:2" x14ac:dyDescent="0.25">
      <c r="A424" t="s">
        <v>557</v>
      </c>
      <c r="B424" t="s">
        <v>1123</v>
      </c>
    </row>
    <row r="425" spans="1:2" x14ac:dyDescent="0.25">
      <c r="A425" t="s">
        <v>557</v>
      </c>
      <c r="B425" t="s">
        <v>1042</v>
      </c>
    </row>
    <row r="426" spans="1:2" x14ac:dyDescent="0.25">
      <c r="A426" t="s">
        <v>557</v>
      </c>
      <c r="B426" t="s">
        <v>941</v>
      </c>
    </row>
    <row r="427" spans="1:2" x14ac:dyDescent="0.25">
      <c r="A427" t="s">
        <v>579</v>
      </c>
      <c r="B427" t="s">
        <v>960</v>
      </c>
    </row>
    <row r="428" spans="1:2" x14ac:dyDescent="0.25">
      <c r="A428" t="s">
        <v>579</v>
      </c>
      <c r="B428" t="s">
        <v>1565</v>
      </c>
    </row>
    <row r="429" spans="1:2" x14ac:dyDescent="0.25">
      <c r="A429" t="s">
        <v>579</v>
      </c>
      <c r="B429" t="s">
        <v>1123</v>
      </c>
    </row>
    <row r="430" spans="1:2" x14ac:dyDescent="0.25">
      <c r="A430" t="s">
        <v>579</v>
      </c>
      <c r="B430" t="s">
        <v>941</v>
      </c>
    </row>
    <row r="431" spans="1:2" x14ac:dyDescent="0.25">
      <c r="A431" t="s">
        <v>579</v>
      </c>
      <c r="B431" t="s">
        <v>1042</v>
      </c>
    </row>
    <row r="432" spans="1:2" x14ac:dyDescent="0.25">
      <c r="A432" t="s">
        <v>579</v>
      </c>
      <c r="B432" t="s">
        <v>1129</v>
      </c>
    </row>
    <row r="433" spans="1:2" x14ac:dyDescent="0.25">
      <c r="A433" t="s">
        <v>579</v>
      </c>
      <c r="B433" t="s">
        <v>960</v>
      </c>
    </row>
    <row r="434" spans="1:2" x14ac:dyDescent="0.25">
      <c r="A434" t="s">
        <v>567</v>
      </c>
      <c r="B434" t="s">
        <v>960</v>
      </c>
    </row>
    <row r="435" spans="1:2" x14ac:dyDescent="0.25">
      <c r="A435" t="s">
        <v>567</v>
      </c>
      <c r="B435" t="s">
        <v>941</v>
      </c>
    </row>
    <row r="436" spans="1:2" x14ac:dyDescent="0.25">
      <c r="A436" t="s">
        <v>567</v>
      </c>
      <c r="B436" t="s">
        <v>1123</v>
      </c>
    </row>
    <row r="437" spans="1:2" x14ac:dyDescent="0.25">
      <c r="A437" t="s">
        <v>567</v>
      </c>
      <c r="B437" t="s">
        <v>1042</v>
      </c>
    </row>
    <row r="438" spans="1:2" x14ac:dyDescent="0.25">
      <c r="A438" t="s">
        <v>567</v>
      </c>
      <c r="B438" t="s">
        <v>960</v>
      </c>
    </row>
    <row r="439" spans="1:2" x14ac:dyDescent="0.25">
      <c r="A439" t="s">
        <v>785</v>
      </c>
      <c r="B439" t="s">
        <v>960</v>
      </c>
    </row>
    <row r="440" spans="1:2" x14ac:dyDescent="0.25">
      <c r="A440" t="s">
        <v>785</v>
      </c>
      <c r="B440" t="s">
        <v>1123</v>
      </c>
    </row>
    <row r="441" spans="1:2" x14ac:dyDescent="0.25">
      <c r="A441" t="s">
        <v>785</v>
      </c>
      <c r="B441" t="s">
        <v>970</v>
      </c>
    </row>
    <row r="442" spans="1:2" x14ac:dyDescent="0.25">
      <c r="A442" t="s">
        <v>785</v>
      </c>
      <c r="B442" t="s">
        <v>2059</v>
      </c>
    </row>
    <row r="443" spans="1:2" x14ac:dyDescent="0.25">
      <c r="A443" t="s">
        <v>785</v>
      </c>
      <c r="B443" t="s">
        <v>1142</v>
      </c>
    </row>
    <row r="444" spans="1:2" x14ac:dyDescent="0.25">
      <c r="A444" t="s">
        <v>785</v>
      </c>
      <c r="B444" t="s">
        <v>1591</v>
      </c>
    </row>
    <row r="445" spans="1:2" x14ac:dyDescent="0.25">
      <c r="A445" t="s">
        <v>785</v>
      </c>
      <c r="B445" t="s">
        <v>1042</v>
      </c>
    </row>
    <row r="446" spans="1:2" x14ac:dyDescent="0.25">
      <c r="A446" t="s">
        <v>788</v>
      </c>
      <c r="B446" t="s">
        <v>1123</v>
      </c>
    </row>
    <row r="447" spans="1:2" x14ac:dyDescent="0.25">
      <c r="A447" t="s">
        <v>788</v>
      </c>
      <c r="B447" t="s">
        <v>960</v>
      </c>
    </row>
    <row r="448" spans="1:2" x14ac:dyDescent="0.25">
      <c r="A448" t="s">
        <v>788</v>
      </c>
      <c r="B448" t="s">
        <v>970</v>
      </c>
    </row>
    <row r="449" spans="1:2" x14ac:dyDescent="0.25">
      <c r="A449" t="s">
        <v>788</v>
      </c>
      <c r="B449" t="s">
        <v>1142</v>
      </c>
    </row>
    <row r="450" spans="1:2" x14ac:dyDescent="0.25">
      <c r="A450" t="s">
        <v>788</v>
      </c>
      <c r="B450" t="s">
        <v>1129</v>
      </c>
    </row>
    <row r="451" spans="1:2" x14ac:dyDescent="0.25">
      <c r="A451" t="s">
        <v>788</v>
      </c>
      <c r="B451" t="s">
        <v>941</v>
      </c>
    </row>
    <row r="452" spans="1:2" x14ac:dyDescent="0.25">
      <c r="A452" t="s">
        <v>788</v>
      </c>
      <c r="B452" t="s">
        <v>1042</v>
      </c>
    </row>
    <row r="453" spans="1:2" x14ac:dyDescent="0.25">
      <c r="A453" t="s">
        <v>788</v>
      </c>
      <c r="B453" t="s">
        <v>1123</v>
      </c>
    </row>
    <row r="454" spans="1:2" x14ac:dyDescent="0.25">
      <c r="A454" t="s">
        <v>791</v>
      </c>
      <c r="B454" t="s">
        <v>960</v>
      </c>
    </row>
    <row r="455" spans="1:2" x14ac:dyDescent="0.25">
      <c r="A455" t="s">
        <v>791</v>
      </c>
      <c r="B455" t="s">
        <v>1123</v>
      </c>
    </row>
    <row r="456" spans="1:2" x14ac:dyDescent="0.25">
      <c r="A456" t="s">
        <v>791</v>
      </c>
      <c r="B456" t="s">
        <v>941</v>
      </c>
    </row>
    <row r="457" spans="1:2" x14ac:dyDescent="0.25">
      <c r="A457" t="s">
        <v>791</v>
      </c>
      <c r="B457" t="s">
        <v>1129</v>
      </c>
    </row>
    <row r="458" spans="1:2" x14ac:dyDescent="0.25">
      <c r="A458" t="s">
        <v>791</v>
      </c>
      <c r="B458" t="s">
        <v>1042</v>
      </c>
    </row>
    <row r="459" spans="1:2" x14ac:dyDescent="0.25">
      <c r="A459" t="s">
        <v>791</v>
      </c>
      <c r="B459" t="s">
        <v>1142</v>
      </c>
    </row>
    <row r="460" spans="1:2" x14ac:dyDescent="0.25">
      <c r="A460" t="s">
        <v>791</v>
      </c>
      <c r="B460" t="s">
        <v>960</v>
      </c>
    </row>
    <row r="461" spans="1:2" x14ac:dyDescent="0.25">
      <c r="A461" t="s">
        <v>794</v>
      </c>
      <c r="B461" t="s">
        <v>960</v>
      </c>
    </row>
    <row r="462" spans="1:2" x14ac:dyDescent="0.25">
      <c r="A462" t="s">
        <v>794</v>
      </c>
      <c r="B462" t="s">
        <v>1123</v>
      </c>
    </row>
    <row r="463" spans="1:2" x14ac:dyDescent="0.25">
      <c r="A463" t="s">
        <v>794</v>
      </c>
      <c r="B463" t="s">
        <v>941</v>
      </c>
    </row>
    <row r="464" spans="1:2" x14ac:dyDescent="0.25">
      <c r="A464" t="s">
        <v>794</v>
      </c>
      <c r="B464" t="s">
        <v>1129</v>
      </c>
    </row>
    <row r="465" spans="1:2" x14ac:dyDescent="0.25">
      <c r="A465" t="s">
        <v>794</v>
      </c>
      <c r="B465" t="s">
        <v>1042</v>
      </c>
    </row>
    <row r="466" spans="1:2" x14ac:dyDescent="0.25">
      <c r="A466" t="s">
        <v>794</v>
      </c>
      <c r="B466" t="s">
        <v>1142</v>
      </c>
    </row>
    <row r="467" spans="1:2" x14ac:dyDescent="0.25">
      <c r="A467" t="s">
        <v>794</v>
      </c>
      <c r="B467" t="s">
        <v>960</v>
      </c>
    </row>
    <row r="468" spans="1:2" x14ac:dyDescent="0.25">
      <c r="A468" t="s">
        <v>777</v>
      </c>
      <c r="B468" t="s">
        <v>960</v>
      </c>
    </row>
    <row r="469" spans="1:2" x14ac:dyDescent="0.25">
      <c r="A469" t="s">
        <v>777</v>
      </c>
      <c r="B469" t="s">
        <v>941</v>
      </c>
    </row>
    <row r="470" spans="1:2" x14ac:dyDescent="0.25">
      <c r="A470" t="s">
        <v>777</v>
      </c>
      <c r="B470" t="s">
        <v>1123</v>
      </c>
    </row>
    <row r="471" spans="1:2" x14ac:dyDescent="0.25">
      <c r="A471" t="s">
        <v>777</v>
      </c>
      <c r="B471" t="s">
        <v>1042</v>
      </c>
    </row>
    <row r="472" spans="1:2" x14ac:dyDescent="0.25">
      <c r="A472" t="s">
        <v>777</v>
      </c>
      <c r="B472" t="s">
        <v>960</v>
      </c>
    </row>
    <row r="473" spans="1:2" x14ac:dyDescent="0.25">
      <c r="A473" t="s">
        <v>780</v>
      </c>
      <c r="B473" t="s">
        <v>960</v>
      </c>
    </row>
    <row r="474" spans="1:2" x14ac:dyDescent="0.25">
      <c r="A474" t="s">
        <v>780</v>
      </c>
      <c r="B474" t="s">
        <v>941</v>
      </c>
    </row>
    <row r="475" spans="1:2" x14ac:dyDescent="0.25">
      <c r="A475" t="s">
        <v>780</v>
      </c>
      <c r="B475" t="s">
        <v>1123</v>
      </c>
    </row>
    <row r="476" spans="1:2" x14ac:dyDescent="0.25">
      <c r="A476" t="s">
        <v>780</v>
      </c>
      <c r="B476" t="s">
        <v>1042</v>
      </c>
    </row>
    <row r="477" spans="1:2" x14ac:dyDescent="0.25">
      <c r="A477" t="s">
        <v>780</v>
      </c>
      <c r="B477" t="s">
        <v>960</v>
      </c>
    </row>
    <row r="478" spans="1:2" x14ac:dyDescent="0.25">
      <c r="A478" t="s">
        <v>782</v>
      </c>
      <c r="B478" t="s">
        <v>1123</v>
      </c>
    </row>
    <row r="479" spans="1:2" x14ac:dyDescent="0.25">
      <c r="A479" t="s">
        <v>782</v>
      </c>
      <c r="B479" t="s">
        <v>960</v>
      </c>
    </row>
    <row r="480" spans="1:2" x14ac:dyDescent="0.25">
      <c r="A480" t="s">
        <v>782</v>
      </c>
      <c r="B480" t="s">
        <v>1142</v>
      </c>
    </row>
    <row r="481" spans="1:2" x14ac:dyDescent="0.25">
      <c r="A481" t="s">
        <v>782</v>
      </c>
      <c r="B481" t="s">
        <v>1126</v>
      </c>
    </row>
    <row r="482" spans="1:2" x14ac:dyDescent="0.25">
      <c r="A482" t="s">
        <v>782</v>
      </c>
      <c r="B482" t="s">
        <v>941</v>
      </c>
    </row>
    <row r="483" spans="1:2" x14ac:dyDescent="0.25">
      <c r="A483" t="s">
        <v>782</v>
      </c>
      <c r="B483" t="s">
        <v>1042</v>
      </c>
    </row>
    <row r="484" spans="1:2" x14ac:dyDescent="0.25">
      <c r="A484" t="s">
        <v>782</v>
      </c>
      <c r="B484" t="s">
        <v>1123</v>
      </c>
    </row>
    <row r="485" spans="1:2" x14ac:dyDescent="0.25">
      <c r="A485" t="s">
        <v>767</v>
      </c>
      <c r="B485" t="s">
        <v>960</v>
      </c>
    </row>
    <row r="486" spans="1:2" x14ac:dyDescent="0.25">
      <c r="A486" t="s">
        <v>767</v>
      </c>
      <c r="B486" t="s">
        <v>941</v>
      </c>
    </row>
    <row r="487" spans="1:2" x14ac:dyDescent="0.25">
      <c r="A487" t="s">
        <v>767</v>
      </c>
      <c r="B487" t="s">
        <v>1123</v>
      </c>
    </row>
    <row r="488" spans="1:2" x14ac:dyDescent="0.25">
      <c r="A488" t="s">
        <v>767</v>
      </c>
      <c r="B488" t="s">
        <v>1042</v>
      </c>
    </row>
    <row r="489" spans="1:2" x14ac:dyDescent="0.25">
      <c r="A489" t="s">
        <v>767</v>
      </c>
      <c r="B489" t="s">
        <v>960</v>
      </c>
    </row>
    <row r="490" spans="1:2" x14ac:dyDescent="0.25">
      <c r="A490" t="s">
        <v>770</v>
      </c>
      <c r="B490" t="s">
        <v>960</v>
      </c>
    </row>
    <row r="491" spans="1:2" x14ac:dyDescent="0.25">
      <c r="A491" t="s">
        <v>770</v>
      </c>
      <c r="B491" t="s">
        <v>941</v>
      </c>
    </row>
    <row r="492" spans="1:2" x14ac:dyDescent="0.25">
      <c r="A492" t="s">
        <v>770</v>
      </c>
      <c r="B492" t="s">
        <v>1123</v>
      </c>
    </row>
    <row r="493" spans="1:2" x14ac:dyDescent="0.25">
      <c r="A493" t="s">
        <v>770</v>
      </c>
      <c r="B493" t="s">
        <v>1042</v>
      </c>
    </row>
    <row r="494" spans="1:2" x14ac:dyDescent="0.25">
      <c r="A494" t="s">
        <v>770</v>
      </c>
      <c r="B494" t="s">
        <v>960</v>
      </c>
    </row>
    <row r="495" spans="1:2" x14ac:dyDescent="0.25">
      <c r="A495" t="s">
        <v>774</v>
      </c>
      <c r="B495" t="s">
        <v>960</v>
      </c>
    </row>
    <row r="496" spans="1:2" x14ac:dyDescent="0.25">
      <c r="A496" t="s">
        <v>774</v>
      </c>
      <c r="B496" t="s">
        <v>941</v>
      </c>
    </row>
    <row r="497" spans="1:2" x14ac:dyDescent="0.25">
      <c r="A497" t="s">
        <v>774</v>
      </c>
      <c r="B497" t="s">
        <v>1123</v>
      </c>
    </row>
    <row r="498" spans="1:2" x14ac:dyDescent="0.25">
      <c r="A498" t="s">
        <v>774</v>
      </c>
      <c r="B498" t="s">
        <v>1042</v>
      </c>
    </row>
    <row r="499" spans="1:2" x14ac:dyDescent="0.25">
      <c r="A499" t="s">
        <v>774</v>
      </c>
      <c r="B499" t="s">
        <v>960</v>
      </c>
    </row>
    <row r="500" spans="1:2" x14ac:dyDescent="0.25">
      <c r="A500" t="s">
        <v>575</v>
      </c>
      <c r="B500" t="s">
        <v>1129</v>
      </c>
    </row>
    <row r="501" spans="1:2" x14ac:dyDescent="0.25">
      <c r="A501" t="s">
        <v>575</v>
      </c>
      <c r="B501" t="s">
        <v>960</v>
      </c>
    </row>
    <row r="502" spans="1:2" x14ac:dyDescent="0.25">
      <c r="A502" t="s">
        <v>575</v>
      </c>
      <c r="B502" t="s">
        <v>1123</v>
      </c>
    </row>
    <row r="503" spans="1:2" x14ac:dyDescent="0.25">
      <c r="A503" t="s">
        <v>575</v>
      </c>
      <c r="B503" t="s">
        <v>1828</v>
      </c>
    </row>
    <row r="504" spans="1:2" x14ac:dyDescent="0.25">
      <c r="A504" t="s">
        <v>575</v>
      </c>
      <c r="B504" t="s">
        <v>1042</v>
      </c>
    </row>
    <row r="505" spans="1:2" x14ac:dyDescent="0.25">
      <c r="A505" t="s">
        <v>575</v>
      </c>
      <c r="B505" t="s">
        <v>941</v>
      </c>
    </row>
    <row r="506" spans="1:2" x14ac:dyDescent="0.25">
      <c r="A506" t="s">
        <v>575</v>
      </c>
      <c r="B506" t="s">
        <v>1126</v>
      </c>
    </row>
    <row r="507" spans="1:2" x14ac:dyDescent="0.25">
      <c r="A507" t="s">
        <v>563</v>
      </c>
      <c r="B507" t="s">
        <v>1129</v>
      </c>
    </row>
    <row r="508" spans="1:2" x14ac:dyDescent="0.25">
      <c r="A508" t="s">
        <v>563</v>
      </c>
      <c r="B508" t="s">
        <v>1828</v>
      </c>
    </row>
    <row r="509" spans="1:2" x14ac:dyDescent="0.25">
      <c r="A509" t="s">
        <v>563</v>
      </c>
      <c r="B509" t="s">
        <v>1123</v>
      </c>
    </row>
    <row r="510" spans="1:2" x14ac:dyDescent="0.25">
      <c r="A510" t="s">
        <v>563</v>
      </c>
      <c r="B510" t="s">
        <v>960</v>
      </c>
    </row>
    <row r="511" spans="1:2" x14ac:dyDescent="0.25">
      <c r="A511" t="s">
        <v>563</v>
      </c>
      <c r="B511" t="s">
        <v>1126</v>
      </c>
    </row>
    <row r="512" spans="1:2" x14ac:dyDescent="0.25">
      <c r="A512" t="s">
        <v>563</v>
      </c>
      <c r="B512" t="s">
        <v>1042</v>
      </c>
    </row>
    <row r="513" spans="1:2" x14ac:dyDescent="0.25">
      <c r="A513" t="s">
        <v>563</v>
      </c>
      <c r="B513" t="s">
        <v>1129</v>
      </c>
    </row>
    <row r="514" spans="1:2" x14ac:dyDescent="0.25">
      <c r="A514" t="s">
        <v>565</v>
      </c>
      <c r="B514" t="s">
        <v>1129</v>
      </c>
    </row>
    <row r="515" spans="1:2" x14ac:dyDescent="0.25">
      <c r="A515" t="s">
        <v>565</v>
      </c>
      <c r="B515" t="s">
        <v>1828</v>
      </c>
    </row>
    <row r="516" spans="1:2" x14ac:dyDescent="0.25">
      <c r="A516" t="s">
        <v>565</v>
      </c>
      <c r="B516" t="s">
        <v>960</v>
      </c>
    </row>
    <row r="517" spans="1:2" x14ac:dyDescent="0.25">
      <c r="A517" t="s">
        <v>565</v>
      </c>
      <c r="B517" t="s">
        <v>1123</v>
      </c>
    </row>
    <row r="518" spans="1:2" x14ac:dyDescent="0.25">
      <c r="A518" t="s">
        <v>565</v>
      </c>
      <c r="B518" t="s">
        <v>1042</v>
      </c>
    </row>
    <row r="519" spans="1:2" x14ac:dyDescent="0.25">
      <c r="A519" t="s">
        <v>565</v>
      </c>
      <c r="B519" t="s">
        <v>941</v>
      </c>
    </row>
    <row r="520" spans="1:2" x14ac:dyDescent="0.25">
      <c r="A520" t="s">
        <v>577</v>
      </c>
      <c r="B520" t="s">
        <v>1129</v>
      </c>
    </row>
    <row r="521" spans="1:2" x14ac:dyDescent="0.25">
      <c r="A521" t="s">
        <v>577</v>
      </c>
      <c r="B521" t="s">
        <v>1828</v>
      </c>
    </row>
    <row r="522" spans="1:2" x14ac:dyDescent="0.25">
      <c r="A522" t="s">
        <v>577</v>
      </c>
      <c r="B522" t="s">
        <v>960</v>
      </c>
    </row>
    <row r="523" spans="1:2" x14ac:dyDescent="0.25">
      <c r="A523" t="s">
        <v>577</v>
      </c>
      <c r="B523" t="s">
        <v>1123</v>
      </c>
    </row>
    <row r="524" spans="1:2" x14ac:dyDescent="0.25">
      <c r="A524" t="s">
        <v>577</v>
      </c>
      <c r="B524" t="s">
        <v>1042</v>
      </c>
    </row>
    <row r="525" spans="1:2" x14ac:dyDescent="0.25">
      <c r="A525" t="s">
        <v>577</v>
      </c>
      <c r="B525" t="s">
        <v>941</v>
      </c>
    </row>
    <row r="526" spans="1:2" x14ac:dyDescent="0.25">
      <c r="A526" t="s">
        <v>573</v>
      </c>
      <c r="B526" t="s">
        <v>1129</v>
      </c>
    </row>
    <row r="527" spans="1:2" x14ac:dyDescent="0.25">
      <c r="A527" t="s">
        <v>573</v>
      </c>
      <c r="B527" t="s">
        <v>1828</v>
      </c>
    </row>
    <row r="528" spans="1:2" x14ac:dyDescent="0.25">
      <c r="A528" t="s">
        <v>573</v>
      </c>
      <c r="B528" t="s">
        <v>960</v>
      </c>
    </row>
    <row r="529" spans="1:2" x14ac:dyDescent="0.25">
      <c r="A529" t="s">
        <v>573</v>
      </c>
      <c r="B529" t="s">
        <v>1123</v>
      </c>
    </row>
    <row r="530" spans="1:2" x14ac:dyDescent="0.25">
      <c r="A530" t="s">
        <v>573</v>
      </c>
      <c r="B530" t="s">
        <v>1042</v>
      </c>
    </row>
    <row r="531" spans="1:2" x14ac:dyDescent="0.25">
      <c r="A531" t="s">
        <v>573</v>
      </c>
      <c r="B531" t="s">
        <v>941</v>
      </c>
    </row>
    <row r="532" spans="1:2" x14ac:dyDescent="0.25">
      <c r="A532" t="s">
        <v>764</v>
      </c>
      <c r="B532" t="s">
        <v>1129</v>
      </c>
    </row>
    <row r="533" spans="1:2" x14ac:dyDescent="0.25">
      <c r="A533" t="s">
        <v>764</v>
      </c>
      <c r="B533" t="s">
        <v>960</v>
      </c>
    </row>
    <row r="534" spans="1:2" x14ac:dyDescent="0.25">
      <c r="A534" t="s">
        <v>764</v>
      </c>
      <c r="B534" t="s">
        <v>1042</v>
      </c>
    </row>
    <row r="535" spans="1:2" x14ac:dyDescent="0.25">
      <c r="A535" t="s">
        <v>764</v>
      </c>
      <c r="B535" t="s">
        <v>1123</v>
      </c>
    </row>
    <row r="536" spans="1:2" x14ac:dyDescent="0.25">
      <c r="A536" t="s">
        <v>2586</v>
      </c>
      <c r="B536" t="s">
        <v>960</v>
      </c>
    </row>
    <row r="537" spans="1:2" x14ac:dyDescent="0.25">
      <c r="A537" t="s">
        <v>2586</v>
      </c>
      <c r="B537" t="s">
        <v>954</v>
      </c>
    </row>
    <row r="538" spans="1:2" x14ac:dyDescent="0.25">
      <c r="A538" t="s">
        <v>2586</v>
      </c>
      <c r="B538" t="s">
        <v>1129</v>
      </c>
    </row>
    <row r="539" spans="1:2" x14ac:dyDescent="0.25">
      <c r="A539" t="s">
        <v>2586</v>
      </c>
      <c r="B539" t="s">
        <v>1042</v>
      </c>
    </row>
    <row r="540" spans="1:2" x14ac:dyDescent="0.25">
      <c r="A540" t="s">
        <v>2587</v>
      </c>
      <c r="B540" t="s">
        <v>960</v>
      </c>
    </row>
    <row r="541" spans="1:2" x14ac:dyDescent="0.25">
      <c r="A541" t="s">
        <v>2587</v>
      </c>
      <c r="B541" t="s">
        <v>1129</v>
      </c>
    </row>
    <row r="542" spans="1:2" x14ac:dyDescent="0.25">
      <c r="A542" t="s">
        <v>2587</v>
      </c>
      <c r="B542" t="s">
        <v>954</v>
      </c>
    </row>
    <row r="543" spans="1:2" x14ac:dyDescent="0.25">
      <c r="A543" t="s">
        <v>2587</v>
      </c>
      <c r="B543" t="s">
        <v>1042</v>
      </c>
    </row>
    <row r="544" spans="1:2" x14ac:dyDescent="0.25">
      <c r="A544" t="s">
        <v>2588</v>
      </c>
      <c r="B544" t="s">
        <v>960</v>
      </c>
    </row>
    <row r="545" spans="1:2" x14ac:dyDescent="0.25">
      <c r="A545" t="s">
        <v>2588</v>
      </c>
      <c r="B545" t="s">
        <v>954</v>
      </c>
    </row>
    <row r="546" spans="1:2" x14ac:dyDescent="0.25">
      <c r="A546" t="s">
        <v>2588</v>
      </c>
      <c r="B546" t="s">
        <v>1129</v>
      </c>
    </row>
    <row r="547" spans="1:2" x14ac:dyDescent="0.25">
      <c r="A547" t="s">
        <v>2588</v>
      </c>
      <c r="B547" t="s">
        <v>903</v>
      </c>
    </row>
    <row r="548" spans="1:2" x14ac:dyDescent="0.25">
      <c r="A548" t="s">
        <v>549</v>
      </c>
      <c r="B548" t="s">
        <v>960</v>
      </c>
    </row>
    <row r="549" spans="1:2" x14ac:dyDescent="0.25">
      <c r="A549" t="s">
        <v>549</v>
      </c>
      <c r="B549" t="s">
        <v>954</v>
      </c>
    </row>
    <row r="550" spans="1:2" x14ac:dyDescent="0.25">
      <c r="A550" t="s">
        <v>549</v>
      </c>
      <c r="B550" t="s">
        <v>903</v>
      </c>
    </row>
    <row r="551" spans="1:2" x14ac:dyDescent="0.25">
      <c r="A551" t="s">
        <v>549</v>
      </c>
      <c r="B551" t="s">
        <v>1129</v>
      </c>
    </row>
    <row r="552" spans="1:2" x14ac:dyDescent="0.25">
      <c r="A552" s="15" t="s">
        <v>2620</v>
      </c>
      <c r="B552" s="13" t="s">
        <v>960</v>
      </c>
    </row>
    <row r="553" spans="1:2" x14ac:dyDescent="0.25">
      <c r="A553" s="15" t="s">
        <v>2620</v>
      </c>
      <c r="B553" s="13" t="s">
        <v>954</v>
      </c>
    </row>
    <row r="554" spans="1:2" x14ac:dyDescent="0.25">
      <c r="A554" s="15" t="s">
        <v>2620</v>
      </c>
      <c r="B554" s="13" t="s">
        <v>1129</v>
      </c>
    </row>
    <row r="555" spans="1:2" x14ac:dyDescent="0.25">
      <c r="A555" s="15" t="s">
        <v>551</v>
      </c>
      <c r="B555" s="13" t="s">
        <v>960</v>
      </c>
    </row>
    <row r="556" spans="1:2" x14ac:dyDescent="0.25">
      <c r="A556" s="15" t="s">
        <v>551</v>
      </c>
      <c r="B556" s="13" t="s">
        <v>954</v>
      </c>
    </row>
    <row r="557" spans="1:2" x14ac:dyDescent="0.25">
      <c r="A557" s="15" t="s">
        <v>551</v>
      </c>
      <c r="B557" s="13" t="s">
        <v>1129</v>
      </c>
    </row>
    <row r="558" spans="1:2" x14ac:dyDescent="0.25">
      <c r="A558" s="15" t="s">
        <v>553</v>
      </c>
      <c r="B558" s="13" t="s">
        <v>1129</v>
      </c>
    </row>
    <row r="559" spans="1:2" x14ac:dyDescent="0.25">
      <c r="A559" s="15" t="s">
        <v>553</v>
      </c>
      <c r="B559" s="13" t="s">
        <v>960</v>
      </c>
    </row>
    <row r="560" spans="1:2" ht="30" x14ac:dyDescent="0.25">
      <c r="A560" s="15" t="s">
        <v>553</v>
      </c>
      <c r="B560" s="13" t="s">
        <v>1828</v>
      </c>
    </row>
    <row r="561" spans="1:2" x14ac:dyDescent="0.25">
      <c r="A561" s="15" t="s">
        <v>553</v>
      </c>
      <c r="B561" s="13" t="s">
        <v>954</v>
      </c>
    </row>
    <row r="562" spans="1:2" x14ac:dyDescent="0.25">
      <c r="A562" s="15" t="s">
        <v>2629</v>
      </c>
      <c r="B562" s="13" t="s">
        <v>960</v>
      </c>
    </row>
    <row r="563" spans="1:2" x14ac:dyDescent="0.25">
      <c r="A563" s="15" t="s">
        <v>2629</v>
      </c>
      <c r="B563" s="13" t="s">
        <v>954</v>
      </c>
    </row>
    <row r="564" spans="1:2" x14ac:dyDescent="0.25">
      <c r="A564" s="15" t="s">
        <v>2629</v>
      </c>
      <c r="B564" s="13" t="s">
        <v>1129</v>
      </c>
    </row>
    <row r="565" spans="1:2" ht="30" x14ac:dyDescent="0.25">
      <c r="A565" s="15" t="s">
        <v>2667</v>
      </c>
      <c r="B565" s="13" t="s">
        <v>960</v>
      </c>
    </row>
    <row r="566" spans="1:2" ht="30" x14ac:dyDescent="0.25">
      <c r="A566" s="15" t="s">
        <v>2667</v>
      </c>
      <c r="B566" s="13" t="s">
        <v>954</v>
      </c>
    </row>
    <row r="567" spans="1:2" ht="30" x14ac:dyDescent="0.25">
      <c r="A567" s="15" t="s">
        <v>2667</v>
      </c>
      <c r="B567" s="13" t="s">
        <v>1129</v>
      </c>
    </row>
    <row r="568" spans="1:2" x14ac:dyDescent="0.25">
      <c r="A568" s="15" t="s">
        <v>2664</v>
      </c>
      <c r="B568" s="13" t="s">
        <v>960</v>
      </c>
    </row>
    <row r="569" spans="1:2" x14ac:dyDescent="0.25">
      <c r="A569" s="15" t="s">
        <v>2664</v>
      </c>
      <c r="B569" s="13" t="s">
        <v>954</v>
      </c>
    </row>
    <row r="570" spans="1:2" x14ac:dyDescent="0.25">
      <c r="A570" s="15" t="s">
        <v>2664</v>
      </c>
      <c r="B570" s="13" t="s">
        <v>1129</v>
      </c>
    </row>
    <row r="571" spans="1:2" x14ac:dyDescent="0.25">
      <c r="A571" t="s">
        <v>593</v>
      </c>
      <c r="B571" t="s">
        <v>1123</v>
      </c>
    </row>
    <row r="572" spans="1:2" x14ac:dyDescent="0.25">
      <c r="A572" t="s">
        <v>593</v>
      </c>
      <c r="B572" t="s">
        <v>1126</v>
      </c>
    </row>
    <row r="573" spans="1:2" x14ac:dyDescent="0.25">
      <c r="A573" t="s">
        <v>593</v>
      </c>
      <c r="B573" t="s">
        <v>960</v>
      </c>
    </row>
    <row r="574" spans="1:2" x14ac:dyDescent="0.25">
      <c r="A574" t="s">
        <v>593</v>
      </c>
      <c r="B574" t="s">
        <v>1142</v>
      </c>
    </row>
    <row r="575" spans="1:2" x14ac:dyDescent="0.25">
      <c r="A575" t="s">
        <v>593</v>
      </c>
      <c r="B575" t="s">
        <v>1129</v>
      </c>
    </row>
    <row r="576" spans="1:2" x14ac:dyDescent="0.25">
      <c r="A576" t="s">
        <v>593</v>
      </c>
      <c r="B576" t="s">
        <v>1042</v>
      </c>
    </row>
    <row r="577" spans="1:2" x14ac:dyDescent="0.25">
      <c r="A577" t="s">
        <v>593</v>
      </c>
      <c r="B577" t="s">
        <v>941</v>
      </c>
    </row>
    <row r="578" spans="1:2" x14ac:dyDescent="0.25">
      <c r="A578" t="s">
        <v>591</v>
      </c>
      <c r="B578" t="s">
        <v>1936</v>
      </c>
    </row>
    <row r="579" spans="1:2" x14ac:dyDescent="0.25">
      <c r="A579" t="s">
        <v>591</v>
      </c>
      <c r="B579" t="s">
        <v>1126</v>
      </c>
    </row>
    <row r="580" spans="1:2" x14ac:dyDescent="0.25">
      <c r="A580" t="s">
        <v>591</v>
      </c>
      <c r="B580" t="s">
        <v>1828</v>
      </c>
    </row>
    <row r="581" spans="1:2" x14ac:dyDescent="0.25">
      <c r="A581" t="s">
        <v>591</v>
      </c>
      <c r="B581" t="s">
        <v>1123</v>
      </c>
    </row>
    <row r="582" spans="1:2" x14ac:dyDescent="0.25">
      <c r="A582" t="s">
        <v>591</v>
      </c>
      <c r="B582" t="s">
        <v>1042</v>
      </c>
    </row>
    <row r="583" spans="1:2" x14ac:dyDescent="0.25">
      <c r="A583" t="s">
        <v>591</v>
      </c>
      <c r="B583" t="s">
        <v>941</v>
      </c>
    </row>
    <row r="584" spans="1:2" x14ac:dyDescent="0.25">
      <c r="A584" t="s">
        <v>585</v>
      </c>
      <c r="B584" t="s">
        <v>1936</v>
      </c>
    </row>
    <row r="585" spans="1:2" x14ac:dyDescent="0.25">
      <c r="A585" t="s">
        <v>585</v>
      </c>
      <c r="B585" t="s">
        <v>1123</v>
      </c>
    </row>
    <row r="586" spans="1:2" x14ac:dyDescent="0.25">
      <c r="A586" t="s">
        <v>585</v>
      </c>
      <c r="B586" t="s">
        <v>1126</v>
      </c>
    </row>
    <row r="587" spans="1:2" x14ac:dyDescent="0.25">
      <c r="A587" t="s">
        <v>585</v>
      </c>
      <c r="B587" t="s">
        <v>1042</v>
      </c>
    </row>
    <row r="588" spans="1:2" x14ac:dyDescent="0.25">
      <c r="A588" t="s">
        <v>585</v>
      </c>
      <c r="B588" t="s">
        <v>1142</v>
      </c>
    </row>
    <row r="589" spans="1:2" x14ac:dyDescent="0.25">
      <c r="A589" t="s">
        <v>585</v>
      </c>
      <c r="B589" t="s">
        <v>941</v>
      </c>
    </row>
    <row r="590" spans="1:2" x14ac:dyDescent="0.25">
      <c r="A590" t="s">
        <v>601</v>
      </c>
      <c r="B590" t="s">
        <v>1936</v>
      </c>
    </row>
    <row r="591" spans="1:2" x14ac:dyDescent="0.25">
      <c r="A591" t="s">
        <v>601</v>
      </c>
      <c r="B591" t="s">
        <v>1142</v>
      </c>
    </row>
    <row r="592" spans="1:2" x14ac:dyDescent="0.25">
      <c r="A592" t="s">
        <v>601</v>
      </c>
      <c r="B592" t="s">
        <v>1123</v>
      </c>
    </row>
    <row r="593" spans="1:2" x14ac:dyDescent="0.25">
      <c r="A593" t="s">
        <v>601</v>
      </c>
      <c r="B593" t="s">
        <v>1042</v>
      </c>
    </row>
    <row r="594" spans="1:2" x14ac:dyDescent="0.25">
      <c r="A594" t="s">
        <v>601</v>
      </c>
      <c r="B594" t="s">
        <v>941</v>
      </c>
    </row>
    <row r="595" spans="1:2" x14ac:dyDescent="0.25">
      <c r="A595" t="s">
        <v>601</v>
      </c>
      <c r="B595" t="s">
        <v>1126</v>
      </c>
    </row>
    <row r="596" spans="1:2" x14ac:dyDescent="0.25">
      <c r="A596" t="s">
        <v>589</v>
      </c>
      <c r="B596" t="s">
        <v>1142</v>
      </c>
    </row>
    <row r="597" spans="1:2" x14ac:dyDescent="0.25">
      <c r="A597" t="s">
        <v>589</v>
      </c>
      <c r="B597" t="s">
        <v>1591</v>
      </c>
    </row>
    <row r="598" spans="1:2" x14ac:dyDescent="0.25">
      <c r="A598" t="s">
        <v>589</v>
      </c>
      <c r="B598" t="s">
        <v>1936</v>
      </c>
    </row>
    <row r="599" spans="1:2" x14ac:dyDescent="0.25">
      <c r="A599" t="s">
        <v>589</v>
      </c>
      <c r="B599" t="s">
        <v>1123</v>
      </c>
    </row>
    <row r="600" spans="1:2" x14ac:dyDescent="0.25">
      <c r="A600" t="s">
        <v>589</v>
      </c>
      <c r="B600" t="s">
        <v>1126</v>
      </c>
    </row>
    <row r="601" spans="1:2" x14ac:dyDescent="0.25">
      <c r="A601" t="s">
        <v>589</v>
      </c>
      <c r="B601" t="s">
        <v>941</v>
      </c>
    </row>
    <row r="602" spans="1:2" x14ac:dyDescent="0.25">
      <c r="A602" t="s">
        <v>589</v>
      </c>
      <c r="B602" t="s">
        <v>1042</v>
      </c>
    </row>
    <row r="603" spans="1:2" x14ac:dyDescent="0.25">
      <c r="A603" t="s">
        <v>589</v>
      </c>
      <c r="B603" t="s">
        <v>960</v>
      </c>
    </row>
    <row r="604" spans="1:2" x14ac:dyDescent="0.25">
      <c r="A604" t="s">
        <v>589</v>
      </c>
      <c r="B604" t="s">
        <v>1129</v>
      </c>
    </row>
    <row r="605" spans="1:2" x14ac:dyDescent="0.25">
      <c r="A605" t="s">
        <v>603</v>
      </c>
      <c r="B605" t="s">
        <v>1123</v>
      </c>
    </row>
    <row r="606" spans="1:2" x14ac:dyDescent="0.25">
      <c r="A606" t="s">
        <v>603</v>
      </c>
      <c r="B606" t="s">
        <v>1126</v>
      </c>
    </row>
    <row r="607" spans="1:2" x14ac:dyDescent="0.25">
      <c r="A607" t="s">
        <v>603</v>
      </c>
      <c r="B607" t="s">
        <v>960</v>
      </c>
    </row>
    <row r="608" spans="1:2" x14ac:dyDescent="0.25">
      <c r="A608" t="s">
        <v>603</v>
      </c>
      <c r="B608" t="s">
        <v>1142</v>
      </c>
    </row>
    <row r="609" spans="1:2" x14ac:dyDescent="0.25">
      <c r="A609" t="s">
        <v>603</v>
      </c>
      <c r="B609" t="s">
        <v>1129</v>
      </c>
    </row>
    <row r="610" spans="1:2" x14ac:dyDescent="0.25">
      <c r="A610" t="s">
        <v>603</v>
      </c>
      <c r="B610" t="s">
        <v>1042</v>
      </c>
    </row>
    <row r="611" spans="1:2" x14ac:dyDescent="0.25">
      <c r="A611" t="s">
        <v>603</v>
      </c>
      <c r="B611" t="s">
        <v>941</v>
      </c>
    </row>
    <row r="612" spans="1:2" x14ac:dyDescent="0.25">
      <c r="A612" t="s">
        <v>595</v>
      </c>
      <c r="B612" t="s">
        <v>1126</v>
      </c>
    </row>
    <row r="613" spans="1:2" x14ac:dyDescent="0.25">
      <c r="A613" t="s">
        <v>595</v>
      </c>
      <c r="B613" t="s">
        <v>1123</v>
      </c>
    </row>
    <row r="614" spans="1:2" x14ac:dyDescent="0.25">
      <c r="A614" t="s">
        <v>595</v>
      </c>
      <c r="B614" t="s">
        <v>960</v>
      </c>
    </row>
    <row r="615" spans="1:2" x14ac:dyDescent="0.25">
      <c r="A615" t="s">
        <v>595</v>
      </c>
      <c r="B615" t="s">
        <v>1828</v>
      </c>
    </row>
    <row r="616" spans="1:2" x14ac:dyDescent="0.25">
      <c r="A616" t="s">
        <v>595</v>
      </c>
      <c r="B616" t="s">
        <v>1142</v>
      </c>
    </row>
    <row r="617" spans="1:2" x14ac:dyDescent="0.25">
      <c r="A617" t="s">
        <v>595</v>
      </c>
      <c r="B617" t="s">
        <v>1042</v>
      </c>
    </row>
    <row r="618" spans="1:2" x14ac:dyDescent="0.25">
      <c r="A618" t="s">
        <v>595</v>
      </c>
      <c r="B618" t="s">
        <v>941</v>
      </c>
    </row>
    <row r="619" spans="1:2" x14ac:dyDescent="0.25">
      <c r="A619" t="s">
        <v>595</v>
      </c>
      <c r="B619" t="s">
        <v>1126</v>
      </c>
    </row>
    <row r="620" spans="1:2" x14ac:dyDescent="0.25">
      <c r="A620" t="s">
        <v>597</v>
      </c>
      <c r="B620" t="s">
        <v>1126</v>
      </c>
    </row>
    <row r="621" spans="1:2" x14ac:dyDescent="0.25">
      <c r="A621" t="s">
        <v>597</v>
      </c>
      <c r="B621" t="s">
        <v>1828</v>
      </c>
    </row>
    <row r="622" spans="1:2" x14ac:dyDescent="0.25">
      <c r="A622" t="s">
        <v>597</v>
      </c>
      <c r="B622" t="s">
        <v>1123</v>
      </c>
    </row>
    <row r="623" spans="1:2" x14ac:dyDescent="0.25">
      <c r="A623" t="s">
        <v>597</v>
      </c>
      <c r="B623" t="s">
        <v>1936</v>
      </c>
    </row>
    <row r="624" spans="1:2" x14ac:dyDescent="0.25">
      <c r="A624" t="s">
        <v>597</v>
      </c>
      <c r="B624" t="s">
        <v>960</v>
      </c>
    </row>
    <row r="625" spans="1:2" x14ac:dyDescent="0.25">
      <c r="A625" t="s">
        <v>597</v>
      </c>
      <c r="B625" t="s">
        <v>1042</v>
      </c>
    </row>
    <row r="626" spans="1:2" x14ac:dyDescent="0.25">
      <c r="A626" t="s">
        <v>597</v>
      </c>
      <c r="B626" t="s">
        <v>1142</v>
      </c>
    </row>
    <row r="627" spans="1:2" x14ac:dyDescent="0.25">
      <c r="A627" t="s">
        <v>587</v>
      </c>
      <c r="B627" t="s">
        <v>1126</v>
      </c>
    </row>
    <row r="628" spans="1:2" x14ac:dyDescent="0.25">
      <c r="A628" t="s">
        <v>587</v>
      </c>
      <c r="B628" t="s">
        <v>1828</v>
      </c>
    </row>
    <row r="629" spans="1:2" x14ac:dyDescent="0.25">
      <c r="A629" t="s">
        <v>587</v>
      </c>
      <c r="B629" t="s">
        <v>1936</v>
      </c>
    </row>
    <row r="630" spans="1:2" x14ac:dyDescent="0.25">
      <c r="A630" t="s">
        <v>587</v>
      </c>
      <c r="B630" t="s">
        <v>1123</v>
      </c>
    </row>
    <row r="631" spans="1:2" x14ac:dyDescent="0.25">
      <c r="A631" t="s">
        <v>587</v>
      </c>
      <c r="B631" t="s">
        <v>960</v>
      </c>
    </row>
    <row r="632" spans="1:2" x14ac:dyDescent="0.25">
      <c r="A632" t="s">
        <v>587</v>
      </c>
      <c r="B632" t="s">
        <v>1042</v>
      </c>
    </row>
    <row r="633" spans="1:2" x14ac:dyDescent="0.25">
      <c r="A633" t="s">
        <v>587</v>
      </c>
      <c r="B633" t="s">
        <v>1142</v>
      </c>
    </row>
    <row r="634" spans="1:2" x14ac:dyDescent="0.25">
      <c r="A634" t="s">
        <v>587</v>
      </c>
      <c r="B634" t="s">
        <v>1126</v>
      </c>
    </row>
    <row r="635" spans="1:2" x14ac:dyDescent="0.25">
      <c r="A635" t="s">
        <v>599</v>
      </c>
      <c r="B635" t="s">
        <v>1936</v>
      </c>
    </row>
    <row r="636" spans="1:2" x14ac:dyDescent="0.25">
      <c r="A636" t="s">
        <v>599</v>
      </c>
      <c r="B636" t="s">
        <v>1142</v>
      </c>
    </row>
    <row r="637" spans="1:2" x14ac:dyDescent="0.25">
      <c r="A637" t="s">
        <v>599</v>
      </c>
      <c r="B637" t="s">
        <v>1828</v>
      </c>
    </row>
    <row r="638" spans="1:2" x14ac:dyDescent="0.25">
      <c r="A638" t="s">
        <v>599</v>
      </c>
      <c r="B638" t="s">
        <v>1126</v>
      </c>
    </row>
    <row r="639" spans="1:2" x14ac:dyDescent="0.25">
      <c r="A639" t="s">
        <v>599</v>
      </c>
      <c r="B639" t="s">
        <v>1123</v>
      </c>
    </row>
    <row r="640" spans="1:2" x14ac:dyDescent="0.25">
      <c r="A640" t="s">
        <v>599</v>
      </c>
      <c r="B640" t="s">
        <v>1042</v>
      </c>
    </row>
    <row r="641" spans="1:2" x14ac:dyDescent="0.25">
      <c r="A641" t="s">
        <v>599</v>
      </c>
      <c r="B641" t="s">
        <v>941</v>
      </c>
    </row>
    <row r="642" spans="1:2" x14ac:dyDescent="0.25">
      <c r="A642" t="s">
        <v>599</v>
      </c>
      <c r="B642" t="s">
        <v>1936</v>
      </c>
    </row>
    <row r="643" spans="1:2" x14ac:dyDescent="0.25">
      <c r="A643" t="s">
        <v>712</v>
      </c>
      <c r="B643" t="s">
        <v>2374</v>
      </c>
    </row>
    <row r="644" spans="1:2" x14ac:dyDescent="0.25">
      <c r="A644" t="s">
        <v>712</v>
      </c>
      <c r="B644" t="s">
        <v>941</v>
      </c>
    </row>
    <row r="645" spans="1:2" x14ac:dyDescent="0.25">
      <c r="A645" t="s">
        <v>712</v>
      </c>
      <c r="B645" t="s">
        <v>1042</v>
      </c>
    </row>
    <row r="646" spans="1:2" x14ac:dyDescent="0.25">
      <c r="A646" t="s">
        <v>712</v>
      </c>
      <c r="B646" t="s">
        <v>698</v>
      </c>
    </row>
    <row r="647" spans="1:2" x14ac:dyDescent="0.25">
      <c r="A647" t="s">
        <v>696</v>
      </c>
      <c r="B647" t="s">
        <v>2374</v>
      </c>
    </row>
    <row r="648" spans="1:2" x14ac:dyDescent="0.25">
      <c r="A648" t="s">
        <v>696</v>
      </c>
      <c r="B648" t="s">
        <v>941</v>
      </c>
    </row>
    <row r="649" spans="1:2" x14ac:dyDescent="0.25">
      <c r="A649" t="s">
        <v>696</v>
      </c>
      <c r="B649" t="s">
        <v>18</v>
      </c>
    </row>
    <row r="650" spans="1:2" x14ac:dyDescent="0.25">
      <c r="A650" t="s">
        <v>696</v>
      </c>
      <c r="B650" t="s">
        <v>1042</v>
      </c>
    </row>
    <row r="651" spans="1:2" x14ac:dyDescent="0.25">
      <c r="A651" t="s">
        <v>696</v>
      </c>
      <c r="B651" t="s">
        <v>698</v>
      </c>
    </row>
    <row r="652" spans="1:2" x14ac:dyDescent="0.25">
      <c r="A652" t="s">
        <v>728</v>
      </c>
      <c r="B652" t="s">
        <v>2374</v>
      </c>
    </row>
    <row r="653" spans="1:2" x14ac:dyDescent="0.25">
      <c r="A653" t="s">
        <v>728</v>
      </c>
      <c r="B653" t="s">
        <v>18</v>
      </c>
    </row>
    <row r="654" spans="1:2" x14ac:dyDescent="0.25">
      <c r="A654" t="s">
        <v>728</v>
      </c>
      <c r="B654" t="s">
        <v>941</v>
      </c>
    </row>
    <row r="655" spans="1:2" x14ac:dyDescent="0.25">
      <c r="A655" t="s">
        <v>728</v>
      </c>
      <c r="B655" t="s">
        <v>1028</v>
      </c>
    </row>
    <row r="656" spans="1:2" x14ac:dyDescent="0.25">
      <c r="A656" t="s">
        <v>728</v>
      </c>
      <c r="B656" t="s">
        <v>698</v>
      </c>
    </row>
    <row r="657" spans="1:2" x14ac:dyDescent="0.25">
      <c r="A657" t="s">
        <v>698</v>
      </c>
      <c r="B657" t="s">
        <v>698</v>
      </c>
    </row>
    <row r="658" spans="1:2" x14ac:dyDescent="0.25">
      <c r="A658" t="s">
        <v>698</v>
      </c>
      <c r="B658" t="s">
        <v>18</v>
      </c>
    </row>
    <row r="659" spans="1:2" x14ac:dyDescent="0.25">
      <c r="A659" t="s">
        <v>698</v>
      </c>
      <c r="B659" t="s">
        <v>2374</v>
      </c>
    </row>
    <row r="660" spans="1:2" x14ac:dyDescent="0.25">
      <c r="A660" t="s">
        <v>698</v>
      </c>
      <c r="B660" t="s">
        <v>916</v>
      </c>
    </row>
    <row r="661" spans="1:2" x14ac:dyDescent="0.25">
      <c r="A661" t="s">
        <v>698</v>
      </c>
      <c r="B661" t="s">
        <v>1483</v>
      </c>
    </row>
    <row r="662" spans="1:2" x14ac:dyDescent="0.25">
      <c r="A662" t="s">
        <v>718</v>
      </c>
      <c r="B662" t="s">
        <v>941</v>
      </c>
    </row>
    <row r="663" spans="1:2" x14ac:dyDescent="0.25">
      <c r="A663" t="s">
        <v>718</v>
      </c>
      <c r="B663" t="s">
        <v>1483</v>
      </c>
    </row>
    <row r="664" spans="1:2" x14ac:dyDescent="0.25">
      <c r="A664" t="s">
        <v>718</v>
      </c>
      <c r="B664" t="s">
        <v>1033</v>
      </c>
    </row>
    <row r="665" spans="1:2" x14ac:dyDescent="0.25">
      <c r="A665" t="s">
        <v>718</v>
      </c>
      <c r="B665" t="s">
        <v>2374</v>
      </c>
    </row>
    <row r="666" spans="1:2" x14ac:dyDescent="0.25">
      <c r="A666" t="s">
        <v>702</v>
      </c>
      <c r="B666" t="s">
        <v>941</v>
      </c>
    </row>
    <row r="667" spans="1:2" x14ac:dyDescent="0.25">
      <c r="A667" t="s">
        <v>702</v>
      </c>
      <c r="B667" t="s">
        <v>1483</v>
      </c>
    </row>
    <row r="668" spans="1:2" x14ac:dyDescent="0.25">
      <c r="A668" t="s">
        <v>702</v>
      </c>
      <c r="B668" t="s">
        <v>1033</v>
      </c>
    </row>
    <row r="669" spans="1:2" x14ac:dyDescent="0.25">
      <c r="A669" t="s">
        <v>702</v>
      </c>
      <c r="B669" t="s">
        <v>941</v>
      </c>
    </row>
    <row r="670" spans="1:2" x14ac:dyDescent="0.25">
      <c r="A670" t="s">
        <v>724</v>
      </c>
      <c r="B670" t="s">
        <v>941</v>
      </c>
    </row>
    <row r="671" spans="1:2" x14ac:dyDescent="0.25">
      <c r="A671" t="s">
        <v>724</v>
      </c>
      <c r="B671" t="s">
        <v>1483</v>
      </c>
    </row>
    <row r="672" spans="1:2" x14ac:dyDescent="0.25">
      <c r="A672" t="s">
        <v>724</v>
      </c>
      <c r="B672" t="s">
        <v>2374</v>
      </c>
    </row>
    <row r="673" spans="1:2" x14ac:dyDescent="0.25">
      <c r="A673" t="s">
        <v>724</v>
      </c>
      <c r="B673" t="s">
        <v>1033</v>
      </c>
    </row>
    <row r="674" spans="1:2" x14ac:dyDescent="0.25">
      <c r="A674" t="s">
        <v>714</v>
      </c>
      <c r="B674" t="s">
        <v>1483</v>
      </c>
    </row>
    <row r="675" spans="1:2" x14ac:dyDescent="0.25">
      <c r="A675" t="s">
        <v>714</v>
      </c>
      <c r="B675" t="s">
        <v>941</v>
      </c>
    </row>
    <row r="676" spans="1:2" x14ac:dyDescent="0.25">
      <c r="A676" t="s">
        <v>714</v>
      </c>
      <c r="B676" t="s">
        <v>2374</v>
      </c>
    </row>
    <row r="677" spans="1:2" x14ac:dyDescent="0.25">
      <c r="A677" t="s">
        <v>714</v>
      </c>
      <c r="B677" t="s">
        <v>1033</v>
      </c>
    </row>
    <row r="678" spans="1:2" x14ac:dyDescent="0.25">
      <c r="A678" t="s">
        <v>714</v>
      </c>
      <c r="B678" t="s">
        <v>941</v>
      </c>
    </row>
    <row r="679" spans="1:2" x14ac:dyDescent="0.25">
      <c r="A679" t="s">
        <v>690</v>
      </c>
      <c r="B679" t="s">
        <v>941</v>
      </c>
    </row>
    <row r="680" spans="1:2" x14ac:dyDescent="0.25">
      <c r="A680" t="s">
        <v>690</v>
      </c>
      <c r="B680" t="s">
        <v>1483</v>
      </c>
    </row>
    <row r="681" spans="1:2" x14ac:dyDescent="0.25">
      <c r="A681" t="s">
        <v>690</v>
      </c>
      <c r="B681" t="s">
        <v>1033</v>
      </c>
    </row>
    <row r="682" spans="1:2" x14ac:dyDescent="0.25">
      <c r="A682" t="s">
        <v>690</v>
      </c>
      <c r="B682" t="s">
        <v>941</v>
      </c>
    </row>
    <row r="683" spans="1:2" x14ac:dyDescent="0.25">
      <c r="A683" t="s">
        <v>692</v>
      </c>
      <c r="B683" t="s">
        <v>1033</v>
      </c>
    </row>
    <row r="684" spans="1:2" x14ac:dyDescent="0.25">
      <c r="A684" t="s">
        <v>692</v>
      </c>
      <c r="B684" t="s">
        <v>941</v>
      </c>
    </row>
    <row r="685" spans="1:2" x14ac:dyDescent="0.25">
      <c r="A685" t="s">
        <v>692</v>
      </c>
      <c r="B685" t="s">
        <v>1483</v>
      </c>
    </row>
    <row r="686" spans="1:2" x14ac:dyDescent="0.25">
      <c r="A686" t="s">
        <v>692</v>
      </c>
      <c r="B686" t="s">
        <v>1557</v>
      </c>
    </row>
    <row r="687" spans="1:2" x14ac:dyDescent="0.25">
      <c r="A687" t="s">
        <v>692</v>
      </c>
      <c r="B687" t="s">
        <v>1138</v>
      </c>
    </row>
    <row r="688" spans="1:2" x14ac:dyDescent="0.25">
      <c r="A688" t="s">
        <v>692</v>
      </c>
      <c r="B688" t="s">
        <v>1033</v>
      </c>
    </row>
    <row r="689" spans="1:2" x14ac:dyDescent="0.25">
      <c r="A689" t="s">
        <v>1665</v>
      </c>
      <c r="B689" t="s">
        <v>1033</v>
      </c>
    </row>
    <row r="690" spans="1:2" x14ac:dyDescent="0.25">
      <c r="A690" t="s">
        <v>1665</v>
      </c>
      <c r="B690" t="s">
        <v>1557</v>
      </c>
    </row>
    <row r="691" spans="1:2" x14ac:dyDescent="0.25">
      <c r="A691" t="s">
        <v>1665</v>
      </c>
      <c r="B691" t="s">
        <v>1138</v>
      </c>
    </row>
    <row r="692" spans="1:2" x14ac:dyDescent="0.25">
      <c r="A692" t="s">
        <v>1665</v>
      </c>
      <c r="B692" t="s">
        <v>941</v>
      </c>
    </row>
    <row r="693" spans="1:2" x14ac:dyDescent="0.25">
      <c r="A693" t="s">
        <v>1665</v>
      </c>
      <c r="B693" t="s">
        <v>916</v>
      </c>
    </row>
    <row r="694" spans="1:2" x14ac:dyDescent="0.25">
      <c r="A694" t="s">
        <v>1665</v>
      </c>
      <c r="B694" t="s">
        <v>1033</v>
      </c>
    </row>
    <row r="695" spans="1:2" x14ac:dyDescent="0.25">
      <c r="A695" t="s">
        <v>680</v>
      </c>
      <c r="B695" t="s">
        <v>1033</v>
      </c>
    </row>
    <row r="696" spans="1:2" x14ac:dyDescent="0.25">
      <c r="A696" t="s">
        <v>680</v>
      </c>
      <c r="B696" t="s">
        <v>1138</v>
      </c>
    </row>
    <row r="697" spans="1:2" x14ac:dyDescent="0.25">
      <c r="A697" t="s">
        <v>680</v>
      </c>
      <c r="B697" t="s">
        <v>1557</v>
      </c>
    </row>
    <row r="698" spans="1:2" x14ac:dyDescent="0.25">
      <c r="A698" t="s">
        <v>680</v>
      </c>
      <c r="B698" t="s">
        <v>941</v>
      </c>
    </row>
    <row r="699" spans="1:2" x14ac:dyDescent="0.25">
      <c r="A699" t="s">
        <v>680</v>
      </c>
      <c r="B699" t="s">
        <v>1033</v>
      </c>
    </row>
    <row r="700" spans="1:2" x14ac:dyDescent="0.25">
      <c r="A700" t="s">
        <v>854</v>
      </c>
      <c r="B700" t="s">
        <v>1138</v>
      </c>
    </row>
    <row r="701" spans="1:2" x14ac:dyDescent="0.25">
      <c r="A701" t="s">
        <v>854</v>
      </c>
      <c r="B701" t="s">
        <v>1557</v>
      </c>
    </row>
    <row r="702" spans="1:2" x14ac:dyDescent="0.25">
      <c r="A702" t="s">
        <v>854</v>
      </c>
      <c r="B702" t="s">
        <v>941</v>
      </c>
    </row>
    <row r="703" spans="1:2" x14ac:dyDescent="0.25">
      <c r="A703" t="s">
        <v>854</v>
      </c>
      <c r="B703" t="s">
        <v>916</v>
      </c>
    </row>
    <row r="704" spans="1:2" x14ac:dyDescent="0.25">
      <c r="A704" t="s">
        <v>854</v>
      </c>
      <c r="B704" t="s">
        <v>1565</v>
      </c>
    </row>
    <row r="705" spans="1:2" x14ac:dyDescent="0.25">
      <c r="A705" t="s">
        <v>854</v>
      </c>
      <c r="B705" t="s">
        <v>1025</v>
      </c>
    </row>
    <row r="706" spans="1:2" x14ac:dyDescent="0.25">
      <c r="A706" t="s">
        <v>854</v>
      </c>
      <c r="B706" t="s">
        <v>1138</v>
      </c>
    </row>
    <row r="707" spans="1:2" x14ac:dyDescent="0.25">
      <c r="A707" t="s">
        <v>706</v>
      </c>
      <c r="B707" t="s">
        <v>1557</v>
      </c>
    </row>
    <row r="708" spans="1:2" x14ac:dyDescent="0.25">
      <c r="A708" t="s">
        <v>706</v>
      </c>
      <c r="B708" t="s">
        <v>916</v>
      </c>
    </row>
    <row r="709" spans="1:2" x14ac:dyDescent="0.25">
      <c r="A709" t="s">
        <v>706</v>
      </c>
      <c r="B709" t="s">
        <v>1138</v>
      </c>
    </row>
    <row r="710" spans="1:2" x14ac:dyDescent="0.25">
      <c r="A710" t="s">
        <v>706</v>
      </c>
      <c r="B710" t="s">
        <v>22</v>
      </c>
    </row>
    <row r="711" spans="1:2" x14ac:dyDescent="0.25">
      <c r="A711" t="s">
        <v>706</v>
      </c>
      <c r="B711" t="s">
        <v>941</v>
      </c>
    </row>
    <row r="712" spans="1:2" x14ac:dyDescent="0.25">
      <c r="A712" t="s">
        <v>706</v>
      </c>
      <c r="B712" t="s">
        <v>1565</v>
      </c>
    </row>
    <row r="713" spans="1:2" x14ac:dyDescent="0.25">
      <c r="A713" t="s">
        <v>730</v>
      </c>
      <c r="B713" t="s">
        <v>1557</v>
      </c>
    </row>
    <row r="714" spans="1:2" x14ac:dyDescent="0.25">
      <c r="A714" t="s">
        <v>730</v>
      </c>
      <c r="B714" t="s">
        <v>916</v>
      </c>
    </row>
    <row r="715" spans="1:2" x14ac:dyDescent="0.25">
      <c r="A715" t="s">
        <v>730</v>
      </c>
      <c r="B715" t="s">
        <v>1138</v>
      </c>
    </row>
    <row r="716" spans="1:2" x14ac:dyDescent="0.25">
      <c r="A716" t="s">
        <v>730</v>
      </c>
      <c r="B716" t="s">
        <v>22</v>
      </c>
    </row>
    <row r="717" spans="1:2" x14ac:dyDescent="0.25">
      <c r="A717" t="s">
        <v>730</v>
      </c>
      <c r="B717" t="s">
        <v>1565</v>
      </c>
    </row>
    <row r="718" spans="1:2" x14ac:dyDescent="0.25">
      <c r="A718" t="s">
        <v>732</v>
      </c>
      <c r="B718" t="s">
        <v>1557</v>
      </c>
    </row>
    <row r="719" spans="1:2" x14ac:dyDescent="0.25">
      <c r="A719" t="s">
        <v>732</v>
      </c>
      <c r="B719" t="s">
        <v>916</v>
      </c>
    </row>
    <row r="720" spans="1:2" x14ac:dyDescent="0.25">
      <c r="A720" t="s">
        <v>732</v>
      </c>
      <c r="B720" t="s">
        <v>1033</v>
      </c>
    </row>
    <row r="721" spans="1:2" x14ac:dyDescent="0.25">
      <c r="A721" t="s">
        <v>732</v>
      </c>
      <c r="B721" t="s">
        <v>1138</v>
      </c>
    </row>
    <row r="722" spans="1:2" x14ac:dyDescent="0.25">
      <c r="A722" t="s">
        <v>732</v>
      </c>
      <c r="B722" t="s">
        <v>22</v>
      </c>
    </row>
    <row r="723" spans="1:2" x14ac:dyDescent="0.25">
      <c r="A723" t="s">
        <v>732</v>
      </c>
      <c r="B723" t="s">
        <v>1565</v>
      </c>
    </row>
    <row r="724" spans="1:2" x14ac:dyDescent="0.25">
      <c r="A724" t="s">
        <v>710</v>
      </c>
      <c r="B724" t="s">
        <v>2374</v>
      </c>
    </row>
    <row r="725" spans="1:2" x14ac:dyDescent="0.25">
      <c r="A725" t="s">
        <v>710</v>
      </c>
      <c r="B725" t="s">
        <v>698</v>
      </c>
    </row>
    <row r="726" spans="1:2" x14ac:dyDescent="0.25">
      <c r="A726" t="s">
        <v>710</v>
      </c>
      <c r="B726" t="s">
        <v>1483</v>
      </c>
    </row>
    <row r="727" spans="1:2" x14ac:dyDescent="0.25">
      <c r="A727" t="s">
        <v>710</v>
      </c>
      <c r="B727" t="s">
        <v>18</v>
      </c>
    </row>
    <row r="728" spans="1:2" x14ac:dyDescent="0.25">
      <c r="A728" t="s">
        <v>710</v>
      </c>
      <c r="B728" t="s">
        <v>941</v>
      </c>
    </row>
    <row r="729" spans="1:2" x14ac:dyDescent="0.25">
      <c r="A729" t="s">
        <v>704</v>
      </c>
      <c r="B729" t="s">
        <v>941</v>
      </c>
    </row>
    <row r="730" spans="1:2" x14ac:dyDescent="0.25">
      <c r="A730" t="s">
        <v>704</v>
      </c>
      <c r="B730" t="s">
        <v>1483</v>
      </c>
    </row>
    <row r="731" spans="1:2" x14ac:dyDescent="0.25">
      <c r="A731" t="s">
        <v>704</v>
      </c>
      <c r="B731" t="s">
        <v>1033</v>
      </c>
    </row>
    <row r="732" spans="1:2" x14ac:dyDescent="0.25">
      <c r="A732" t="s">
        <v>704</v>
      </c>
      <c r="B732" t="s">
        <v>2374</v>
      </c>
    </row>
    <row r="733" spans="1:2" x14ac:dyDescent="0.25">
      <c r="A733" t="s">
        <v>704</v>
      </c>
      <c r="B733" t="s">
        <v>941</v>
      </c>
    </row>
    <row r="734" spans="1:2" x14ac:dyDescent="0.25">
      <c r="A734" t="s">
        <v>824</v>
      </c>
      <c r="B734" t="s">
        <v>941</v>
      </c>
    </row>
    <row r="735" spans="1:2" x14ac:dyDescent="0.25">
      <c r="A735" t="s">
        <v>824</v>
      </c>
      <c r="B735" t="s">
        <v>1483</v>
      </c>
    </row>
    <row r="736" spans="1:2" x14ac:dyDescent="0.25">
      <c r="A736" t="s">
        <v>824</v>
      </c>
      <c r="B736" t="s">
        <v>1033</v>
      </c>
    </row>
    <row r="737" spans="1:2" x14ac:dyDescent="0.25">
      <c r="A737" t="s">
        <v>824</v>
      </c>
      <c r="B737" t="s">
        <v>2374</v>
      </c>
    </row>
    <row r="738" spans="1:2" x14ac:dyDescent="0.25">
      <c r="A738" t="s">
        <v>824</v>
      </c>
      <c r="B738" t="s">
        <v>941</v>
      </c>
    </row>
    <row r="739" spans="1:2" x14ac:dyDescent="0.25">
      <c r="A739" t="s">
        <v>682</v>
      </c>
      <c r="B739" t="s">
        <v>1483</v>
      </c>
    </row>
    <row r="740" spans="1:2" x14ac:dyDescent="0.25">
      <c r="A740" t="s">
        <v>682</v>
      </c>
      <c r="B740" t="s">
        <v>941</v>
      </c>
    </row>
    <row r="741" spans="1:2" x14ac:dyDescent="0.25">
      <c r="A741" t="s">
        <v>682</v>
      </c>
      <c r="B741" t="s">
        <v>2374</v>
      </c>
    </row>
    <row r="742" spans="1:2" x14ac:dyDescent="0.25">
      <c r="A742" t="s">
        <v>682</v>
      </c>
      <c r="B742" t="s">
        <v>1033</v>
      </c>
    </row>
    <row r="743" spans="1:2" x14ac:dyDescent="0.25">
      <c r="A743" t="s">
        <v>682</v>
      </c>
      <c r="B743" t="s">
        <v>941</v>
      </c>
    </row>
    <row r="744" spans="1:2" x14ac:dyDescent="0.25">
      <c r="A744" t="s">
        <v>827</v>
      </c>
      <c r="B744" t="s">
        <v>1483</v>
      </c>
    </row>
    <row r="745" spans="1:2" x14ac:dyDescent="0.25">
      <c r="A745" t="s">
        <v>827</v>
      </c>
      <c r="B745" t="s">
        <v>2374</v>
      </c>
    </row>
    <row r="746" spans="1:2" x14ac:dyDescent="0.25">
      <c r="A746" t="s">
        <v>827</v>
      </c>
      <c r="B746" t="s">
        <v>941</v>
      </c>
    </row>
    <row r="747" spans="1:2" x14ac:dyDescent="0.25">
      <c r="A747" t="s">
        <v>827</v>
      </c>
      <c r="B747" t="s">
        <v>1033</v>
      </c>
    </row>
    <row r="748" spans="1:2" x14ac:dyDescent="0.25">
      <c r="A748" t="s">
        <v>827</v>
      </c>
      <c r="B748" t="s">
        <v>1483</v>
      </c>
    </row>
    <row r="749" spans="1:2" x14ac:dyDescent="0.25">
      <c r="A749" t="s">
        <v>830</v>
      </c>
      <c r="B749" t="s">
        <v>941</v>
      </c>
    </row>
    <row r="750" spans="1:2" x14ac:dyDescent="0.25">
      <c r="A750" t="s">
        <v>830</v>
      </c>
      <c r="B750" t="s">
        <v>1483</v>
      </c>
    </row>
    <row r="751" spans="1:2" x14ac:dyDescent="0.25">
      <c r="A751" t="s">
        <v>830</v>
      </c>
      <c r="B751" t="s">
        <v>2374</v>
      </c>
    </row>
    <row r="752" spans="1:2" x14ac:dyDescent="0.25">
      <c r="A752" t="s">
        <v>830</v>
      </c>
      <c r="B752" t="s">
        <v>1033</v>
      </c>
    </row>
    <row r="753" spans="1:2" x14ac:dyDescent="0.25">
      <c r="A753" t="s">
        <v>832</v>
      </c>
      <c r="B753" t="s">
        <v>941</v>
      </c>
    </row>
    <row r="754" spans="1:2" x14ac:dyDescent="0.25">
      <c r="A754" t="s">
        <v>832</v>
      </c>
      <c r="B754" t="s">
        <v>1483</v>
      </c>
    </row>
    <row r="755" spans="1:2" x14ac:dyDescent="0.25">
      <c r="A755" t="s">
        <v>832</v>
      </c>
      <c r="B755" t="s">
        <v>1033</v>
      </c>
    </row>
    <row r="756" spans="1:2" x14ac:dyDescent="0.25">
      <c r="A756" t="s">
        <v>708</v>
      </c>
      <c r="B756" t="s">
        <v>941</v>
      </c>
    </row>
    <row r="757" spans="1:2" x14ac:dyDescent="0.25">
      <c r="A757" t="s">
        <v>708</v>
      </c>
      <c r="B757" t="s">
        <v>1483</v>
      </c>
    </row>
    <row r="758" spans="1:2" x14ac:dyDescent="0.25">
      <c r="A758" t="s">
        <v>708</v>
      </c>
      <c r="B758" t="s">
        <v>1033</v>
      </c>
    </row>
    <row r="759" spans="1:2" x14ac:dyDescent="0.25">
      <c r="A759" t="s">
        <v>835</v>
      </c>
      <c r="B759" t="s">
        <v>941</v>
      </c>
    </row>
    <row r="760" spans="1:2" x14ac:dyDescent="0.25">
      <c r="A760" t="s">
        <v>835</v>
      </c>
      <c r="B760" t="s">
        <v>1483</v>
      </c>
    </row>
    <row r="761" spans="1:2" x14ac:dyDescent="0.25">
      <c r="A761" t="s">
        <v>835</v>
      </c>
      <c r="B761" t="s">
        <v>1033</v>
      </c>
    </row>
    <row r="762" spans="1:2" x14ac:dyDescent="0.25">
      <c r="A762" t="s">
        <v>684</v>
      </c>
      <c r="B762" t="s">
        <v>941</v>
      </c>
    </row>
    <row r="763" spans="1:2" x14ac:dyDescent="0.25">
      <c r="A763" t="s">
        <v>684</v>
      </c>
      <c r="B763" t="s">
        <v>1483</v>
      </c>
    </row>
    <row r="764" spans="1:2" x14ac:dyDescent="0.25">
      <c r="A764" t="s">
        <v>684</v>
      </c>
      <c r="B764" t="s">
        <v>1033</v>
      </c>
    </row>
    <row r="765" spans="1:2" x14ac:dyDescent="0.25">
      <c r="A765" t="s">
        <v>684</v>
      </c>
      <c r="B765" t="s">
        <v>941</v>
      </c>
    </row>
    <row r="766" spans="1:2" x14ac:dyDescent="0.25">
      <c r="A766" t="s">
        <v>686</v>
      </c>
      <c r="B766" t="s">
        <v>1033</v>
      </c>
    </row>
    <row r="767" spans="1:2" x14ac:dyDescent="0.25">
      <c r="A767" t="s">
        <v>686</v>
      </c>
      <c r="B767" t="s">
        <v>941</v>
      </c>
    </row>
    <row r="768" spans="1:2" x14ac:dyDescent="0.25">
      <c r="A768" t="s">
        <v>686</v>
      </c>
      <c r="B768" t="s">
        <v>1557</v>
      </c>
    </row>
    <row r="769" spans="1:2" x14ac:dyDescent="0.25">
      <c r="A769" t="s">
        <v>686</v>
      </c>
      <c r="B769" t="s">
        <v>1138</v>
      </c>
    </row>
    <row r="770" spans="1:2" x14ac:dyDescent="0.25">
      <c r="A770" t="s">
        <v>686</v>
      </c>
      <c r="B770" t="s">
        <v>1033</v>
      </c>
    </row>
    <row r="771" spans="1:2" x14ac:dyDescent="0.25">
      <c r="A771" t="s">
        <v>838</v>
      </c>
      <c r="B771" t="s">
        <v>1033</v>
      </c>
    </row>
    <row r="772" spans="1:2" x14ac:dyDescent="0.25">
      <c r="A772" t="s">
        <v>838</v>
      </c>
      <c r="B772" t="s">
        <v>1483</v>
      </c>
    </row>
    <row r="773" spans="1:2" x14ac:dyDescent="0.25">
      <c r="A773" t="s">
        <v>838</v>
      </c>
      <c r="B773" t="s">
        <v>1557</v>
      </c>
    </row>
    <row r="774" spans="1:2" x14ac:dyDescent="0.25">
      <c r="A774" t="s">
        <v>838</v>
      </c>
      <c r="B774" t="s">
        <v>941</v>
      </c>
    </row>
    <row r="775" spans="1:2" x14ac:dyDescent="0.25">
      <c r="A775" t="s">
        <v>838</v>
      </c>
      <c r="B775" t="s">
        <v>1138</v>
      </c>
    </row>
    <row r="776" spans="1:2" x14ac:dyDescent="0.25">
      <c r="A776" t="s">
        <v>838</v>
      </c>
      <c r="B776" t="s">
        <v>1033</v>
      </c>
    </row>
    <row r="777" spans="1:2" x14ac:dyDescent="0.25">
      <c r="A777" t="s">
        <v>841</v>
      </c>
      <c r="B777" t="s">
        <v>1033</v>
      </c>
    </row>
    <row r="778" spans="1:2" x14ac:dyDescent="0.25">
      <c r="A778" t="s">
        <v>841</v>
      </c>
      <c r="B778" t="s">
        <v>941</v>
      </c>
    </row>
    <row r="779" spans="1:2" x14ac:dyDescent="0.25">
      <c r="A779" t="s">
        <v>841</v>
      </c>
      <c r="B779" t="s">
        <v>1557</v>
      </c>
    </row>
    <row r="780" spans="1:2" x14ac:dyDescent="0.25">
      <c r="A780" t="s">
        <v>841</v>
      </c>
      <c r="B780" t="s">
        <v>1138</v>
      </c>
    </row>
    <row r="781" spans="1:2" x14ac:dyDescent="0.25">
      <c r="A781" t="s">
        <v>841</v>
      </c>
      <c r="B781" t="s">
        <v>1033</v>
      </c>
    </row>
    <row r="782" spans="1:2" x14ac:dyDescent="0.25">
      <c r="A782" t="s">
        <v>844</v>
      </c>
      <c r="B782" t="s">
        <v>1033</v>
      </c>
    </row>
    <row r="783" spans="1:2" x14ac:dyDescent="0.25">
      <c r="A783" t="s">
        <v>844</v>
      </c>
      <c r="B783" t="s">
        <v>941</v>
      </c>
    </row>
    <row r="784" spans="1:2" x14ac:dyDescent="0.25">
      <c r="A784" t="s">
        <v>844</v>
      </c>
      <c r="B784" t="s">
        <v>1042</v>
      </c>
    </row>
    <row r="785" spans="1:2" x14ac:dyDescent="0.25">
      <c r="A785" t="s">
        <v>844</v>
      </c>
      <c r="B785" t="s">
        <v>1138</v>
      </c>
    </row>
    <row r="786" spans="1:2" x14ac:dyDescent="0.25">
      <c r="A786" t="s">
        <v>844</v>
      </c>
      <c r="B786" t="s">
        <v>1557</v>
      </c>
    </row>
    <row r="787" spans="1:2" x14ac:dyDescent="0.25">
      <c r="A787" t="s">
        <v>844</v>
      </c>
      <c r="B787" t="s">
        <v>1033</v>
      </c>
    </row>
    <row r="788" spans="1:2" x14ac:dyDescent="0.25">
      <c r="A788" t="s">
        <v>716</v>
      </c>
      <c r="B788" t="s">
        <v>1138</v>
      </c>
    </row>
    <row r="789" spans="1:2" x14ac:dyDescent="0.25">
      <c r="A789" t="s">
        <v>716</v>
      </c>
      <c r="B789" t="s">
        <v>1557</v>
      </c>
    </row>
    <row r="790" spans="1:2" x14ac:dyDescent="0.25">
      <c r="A790" t="s">
        <v>716</v>
      </c>
      <c r="B790" t="s">
        <v>1033</v>
      </c>
    </row>
    <row r="791" spans="1:2" x14ac:dyDescent="0.25">
      <c r="A791" t="s">
        <v>716</v>
      </c>
      <c r="B791" t="s">
        <v>916</v>
      </c>
    </row>
    <row r="792" spans="1:2" x14ac:dyDescent="0.25">
      <c r="A792" t="s">
        <v>716</v>
      </c>
      <c r="B792" t="s">
        <v>1565</v>
      </c>
    </row>
    <row r="793" spans="1:2" x14ac:dyDescent="0.25">
      <c r="A793" t="s">
        <v>716</v>
      </c>
      <c r="B793" t="s">
        <v>1138</v>
      </c>
    </row>
    <row r="794" spans="1:2" x14ac:dyDescent="0.25">
      <c r="A794" t="s">
        <v>694</v>
      </c>
      <c r="B794" t="s">
        <v>960</v>
      </c>
    </row>
    <row r="795" spans="1:2" x14ac:dyDescent="0.25">
      <c r="A795" t="s">
        <v>694</v>
      </c>
      <c r="B795" t="s">
        <v>941</v>
      </c>
    </row>
    <row r="796" spans="1:2" x14ac:dyDescent="0.25">
      <c r="A796" t="s">
        <v>694</v>
      </c>
      <c r="B796" t="s">
        <v>2374</v>
      </c>
    </row>
    <row r="797" spans="1:2" x14ac:dyDescent="0.25">
      <c r="A797" t="s">
        <v>694</v>
      </c>
      <c r="B797" t="s">
        <v>1033</v>
      </c>
    </row>
    <row r="798" spans="1:2" x14ac:dyDescent="0.25">
      <c r="A798" t="s">
        <v>694</v>
      </c>
      <c r="B798" t="s">
        <v>941</v>
      </c>
    </row>
    <row r="799" spans="1:2" x14ac:dyDescent="0.25">
      <c r="A799" t="s">
        <v>847</v>
      </c>
      <c r="B799" t="s">
        <v>960</v>
      </c>
    </row>
    <row r="800" spans="1:2" x14ac:dyDescent="0.25">
      <c r="A800" t="s">
        <v>847</v>
      </c>
      <c r="B800" t="s">
        <v>1033</v>
      </c>
    </row>
    <row r="801" spans="1:2" x14ac:dyDescent="0.25">
      <c r="A801" t="s">
        <v>847</v>
      </c>
      <c r="B801" t="s">
        <v>941</v>
      </c>
    </row>
    <row r="802" spans="1:2" x14ac:dyDescent="0.25">
      <c r="A802" t="s">
        <v>847</v>
      </c>
      <c r="B802" t="s">
        <v>1138</v>
      </c>
    </row>
    <row r="803" spans="1:2" x14ac:dyDescent="0.25">
      <c r="A803" t="s">
        <v>847</v>
      </c>
      <c r="B803" t="s">
        <v>1033</v>
      </c>
    </row>
    <row r="804" spans="1:2" x14ac:dyDescent="0.25">
      <c r="A804" t="s">
        <v>850</v>
      </c>
      <c r="B804" t="s">
        <v>1138</v>
      </c>
    </row>
    <row r="805" spans="1:2" x14ac:dyDescent="0.25">
      <c r="A805" t="s">
        <v>850</v>
      </c>
      <c r="B805" t="s">
        <v>1033</v>
      </c>
    </row>
    <row r="806" spans="1:2" x14ac:dyDescent="0.25">
      <c r="A806" t="s">
        <v>850</v>
      </c>
      <c r="B806" t="s">
        <v>1557</v>
      </c>
    </row>
    <row r="807" spans="1:2" x14ac:dyDescent="0.25">
      <c r="A807" t="s">
        <v>850</v>
      </c>
      <c r="B807" t="s">
        <v>1025</v>
      </c>
    </row>
    <row r="808" spans="1:2" x14ac:dyDescent="0.25">
      <c r="A808" t="s">
        <v>850</v>
      </c>
      <c r="B808" t="s">
        <v>941</v>
      </c>
    </row>
    <row r="809" spans="1:2" x14ac:dyDescent="0.25">
      <c r="A809" t="s">
        <v>850</v>
      </c>
      <c r="B809" t="s">
        <v>1138</v>
      </c>
    </row>
    <row r="810" spans="1:2" x14ac:dyDescent="0.25">
      <c r="A810" t="s">
        <v>853</v>
      </c>
      <c r="B810" t="s">
        <v>1138</v>
      </c>
    </row>
    <row r="811" spans="1:2" x14ac:dyDescent="0.25">
      <c r="A811" t="s">
        <v>853</v>
      </c>
      <c r="B811" t="s">
        <v>1557</v>
      </c>
    </row>
    <row r="812" spans="1:2" x14ac:dyDescent="0.25">
      <c r="A812" t="s">
        <v>853</v>
      </c>
      <c r="B812" t="s">
        <v>1033</v>
      </c>
    </row>
    <row r="813" spans="1:2" x14ac:dyDescent="0.25">
      <c r="A813" t="s">
        <v>853</v>
      </c>
      <c r="B813" t="s">
        <v>1138</v>
      </c>
    </row>
    <row r="814" spans="1:2" x14ac:dyDescent="0.25">
      <c r="A814" t="s">
        <v>738</v>
      </c>
      <c r="B814" t="s">
        <v>1138</v>
      </c>
    </row>
    <row r="815" spans="1:2" x14ac:dyDescent="0.25">
      <c r="A815" t="s">
        <v>738</v>
      </c>
      <c r="B815" t="s">
        <v>1557</v>
      </c>
    </row>
    <row r="816" spans="1:2" x14ac:dyDescent="0.25">
      <c r="A816" t="s">
        <v>738</v>
      </c>
      <c r="B816" t="s">
        <v>1033</v>
      </c>
    </row>
    <row r="817" spans="1:2" x14ac:dyDescent="0.25">
      <c r="A817" t="s">
        <v>738</v>
      </c>
      <c r="B817" t="s">
        <v>941</v>
      </c>
    </row>
    <row r="818" spans="1:2" x14ac:dyDescent="0.25">
      <c r="A818" t="s">
        <v>736</v>
      </c>
      <c r="B818" t="s">
        <v>1138</v>
      </c>
    </row>
    <row r="819" spans="1:2" x14ac:dyDescent="0.25">
      <c r="A819" t="s">
        <v>736</v>
      </c>
      <c r="B819" t="s">
        <v>1557</v>
      </c>
    </row>
    <row r="820" spans="1:2" x14ac:dyDescent="0.25">
      <c r="A820" t="s">
        <v>736</v>
      </c>
      <c r="B820" t="s">
        <v>1033</v>
      </c>
    </row>
    <row r="821" spans="1:2" x14ac:dyDescent="0.25">
      <c r="A821" t="s">
        <v>736</v>
      </c>
      <c r="B821" t="s">
        <v>941</v>
      </c>
    </row>
    <row r="822" spans="1:2" x14ac:dyDescent="0.25">
      <c r="A822" t="s">
        <v>736</v>
      </c>
      <c r="B822" t="s">
        <v>1138</v>
      </c>
    </row>
    <row r="823" spans="1:2" x14ac:dyDescent="0.25">
      <c r="A823" t="s">
        <v>856</v>
      </c>
      <c r="B823" t="s">
        <v>1557</v>
      </c>
    </row>
    <row r="824" spans="1:2" x14ac:dyDescent="0.25">
      <c r="A824" t="s">
        <v>856</v>
      </c>
      <c r="B824" t="s">
        <v>1138</v>
      </c>
    </row>
    <row r="825" spans="1:2" x14ac:dyDescent="0.25">
      <c r="A825" t="s">
        <v>856</v>
      </c>
      <c r="B825" t="s">
        <v>1033</v>
      </c>
    </row>
    <row r="826" spans="1:2" x14ac:dyDescent="0.25">
      <c r="A826" t="s">
        <v>856</v>
      </c>
      <c r="B826" t="s">
        <v>1557</v>
      </c>
    </row>
    <row r="827" spans="1:2" x14ac:dyDescent="0.25">
      <c r="A827" t="s">
        <v>720</v>
      </c>
      <c r="B827" t="s">
        <v>1033</v>
      </c>
    </row>
    <row r="828" spans="1:2" x14ac:dyDescent="0.25">
      <c r="A828" t="s">
        <v>720</v>
      </c>
      <c r="B828" t="s">
        <v>1557</v>
      </c>
    </row>
    <row r="829" spans="1:2" x14ac:dyDescent="0.25">
      <c r="A829" t="s">
        <v>720</v>
      </c>
      <c r="B829" t="s">
        <v>916</v>
      </c>
    </row>
    <row r="830" spans="1:2" x14ac:dyDescent="0.25">
      <c r="A830" t="s">
        <v>720</v>
      </c>
      <c r="B830" t="s">
        <v>1138</v>
      </c>
    </row>
    <row r="831" spans="1:2" x14ac:dyDescent="0.25">
      <c r="A831" t="s">
        <v>720</v>
      </c>
      <c r="B831" t="s">
        <v>941</v>
      </c>
    </row>
    <row r="832" spans="1:2" x14ac:dyDescent="0.25">
      <c r="A832" t="s">
        <v>720</v>
      </c>
      <c r="B832" t="s">
        <v>1033</v>
      </c>
    </row>
    <row r="833" spans="1:2" x14ac:dyDescent="0.25">
      <c r="A833" t="s">
        <v>859</v>
      </c>
      <c r="B833" t="s">
        <v>1033</v>
      </c>
    </row>
    <row r="834" spans="1:2" x14ac:dyDescent="0.25">
      <c r="A834" t="s">
        <v>859</v>
      </c>
      <c r="B834" t="s">
        <v>1557</v>
      </c>
    </row>
    <row r="835" spans="1:2" x14ac:dyDescent="0.25">
      <c r="A835" t="s">
        <v>859</v>
      </c>
      <c r="B835" t="s">
        <v>916</v>
      </c>
    </row>
    <row r="836" spans="1:2" x14ac:dyDescent="0.25">
      <c r="A836" t="s">
        <v>859</v>
      </c>
      <c r="B836" t="s">
        <v>1138</v>
      </c>
    </row>
    <row r="837" spans="1:2" x14ac:dyDescent="0.25">
      <c r="A837" t="s">
        <v>859</v>
      </c>
      <c r="B837" t="s">
        <v>941</v>
      </c>
    </row>
    <row r="838" spans="1:2" x14ac:dyDescent="0.25">
      <c r="A838" t="s">
        <v>859</v>
      </c>
      <c r="B838" t="s">
        <v>1033</v>
      </c>
    </row>
    <row r="839" spans="1:2" x14ac:dyDescent="0.25">
      <c r="A839" t="s">
        <v>700</v>
      </c>
      <c r="B839" t="s">
        <v>916</v>
      </c>
    </row>
    <row r="840" spans="1:2" x14ac:dyDescent="0.25">
      <c r="A840" t="s">
        <v>700</v>
      </c>
      <c r="B840" t="s">
        <v>1557</v>
      </c>
    </row>
    <row r="841" spans="1:2" x14ac:dyDescent="0.25">
      <c r="A841" t="s">
        <v>700</v>
      </c>
      <c r="B841" t="s">
        <v>22</v>
      </c>
    </row>
    <row r="842" spans="1:2" x14ac:dyDescent="0.25">
      <c r="A842" t="s">
        <v>700</v>
      </c>
      <c r="B842" t="s">
        <v>1483</v>
      </c>
    </row>
    <row r="843" spans="1:2" x14ac:dyDescent="0.25">
      <c r="A843" t="s">
        <v>700</v>
      </c>
      <c r="B843" t="s">
        <v>1033</v>
      </c>
    </row>
    <row r="844" spans="1:2" x14ac:dyDescent="0.25">
      <c r="A844" t="s">
        <v>700</v>
      </c>
      <c r="B844" t="s">
        <v>916</v>
      </c>
    </row>
    <row r="845" spans="1:2" x14ac:dyDescent="0.25">
      <c r="A845" t="s">
        <v>862</v>
      </c>
      <c r="B845" t="s">
        <v>916</v>
      </c>
    </row>
    <row r="846" spans="1:2" x14ac:dyDescent="0.25">
      <c r="A846" t="s">
        <v>862</v>
      </c>
      <c r="B846" t="s">
        <v>1557</v>
      </c>
    </row>
    <row r="847" spans="1:2" x14ac:dyDescent="0.25">
      <c r="A847" t="s">
        <v>862</v>
      </c>
      <c r="B847" t="s">
        <v>22</v>
      </c>
    </row>
    <row r="848" spans="1:2" x14ac:dyDescent="0.25">
      <c r="A848" t="s">
        <v>862</v>
      </c>
      <c r="B848" t="s">
        <v>1483</v>
      </c>
    </row>
    <row r="849" spans="1:2" x14ac:dyDescent="0.25">
      <c r="A849" t="s">
        <v>862</v>
      </c>
      <c r="B849" t="s">
        <v>916</v>
      </c>
    </row>
    <row r="850" spans="1:2" x14ac:dyDescent="0.25">
      <c r="A850" t="s">
        <v>726</v>
      </c>
      <c r="B850" t="s">
        <v>916</v>
      </c>
    </row>
    <row r="851" spans="1:2" x14ac:dyDescent="0.25">
      <c r="A851" t="s">
        <v>726</v>
      </c>
      <c r="B851" t="s">
        <v>1557</v>
      </c>
    </row>
    <row r="852" spans="1:2" x14ac:dyDescent="0.25">
      <c r="A852" t="s">
        <v>726</v>
      </c>
      <c r="B852" t="s">
        <v>22</v>
      </c>
    </row>
    <row r="853" spans="1:2" x14ac:dyDescent="0.25">
      <c r="A853" t="s">
        <v>726</v>
      </c>
      <c r="B853" t="s">
        <v>1483</v>
      </c>
    </row>
    <row r="854" spans="1:2" x14ac:dyDescent="0.25">
      <c r="A854" t="s">
        <v>865</v>
      </c>
      <c r="B854" t="s">
        <v>916</v>
      </c>
    </row>
    <row r="855" spans="1:2" x14ac:dyDescent="0.25">
      <c r="A855" t="s">
        <v>865</v>
      </c>
      <c r="B855" t="s">
        <v>22</v>
      </c>
    </row>
    <row r="856" spans="1:2" x14ac:dyDescent="0.25">
      <c r="A856" t="s">
        <v>865</v>
      </c>
      <c r="B856" t="s">
        <v>1557</v>
      </c>
    </row>
    <row r="857" spans="1:2" x14ac:dyDescent="0.25">
      <c r="A857" t="s">
        <v>865</v>
      </c>
      <c r="B857" t="s">
        <v>698</v>
      </c>
    </row>
    <row r="858" spans="1:2" x14ac:dyDescent="0.25">
      <c r="A858" t="s">
        <v>865</v>
      </c>
      <c r="B858" t="s">
        <v>1565</v>
      </c>
    </row>
    <row r="859" spans="1:2" x14ac:dyDescent="0.25">
      <c r="A859" t="s">
        <v>865</v>
      </c>
      <c r="B859" t="s">
        <v>1483</v>
      </c>
    </row>
    <row r="860" spans="1:2" x14ac:dyDescent="0.25">
      <c r="A860" t="s">
        <v>722</v>
      </c>
      <c r="B860" t="s">
        <v>1483</v>
      </c>
    </row>
    <row r="861" spans="1:2" x14ac:dyDescent="0.25">
      <c r="A861" t="s">
        <v>722</v>
      </c>
      <c r="B861" t="s">
        <v>916</v>
      </c>
    </row>
    <row r="862" spans="1:2" x14ac:dyDescent="0.25">
      <c r="A862" t="s">
        <v>722</v>
      </c>
      <c r="B862" t="s">
        <v>698</v>
      </c>
    </row>
    <row r="863" spans="1:2" x14ac:dyDescent="0.25">
      <c r="A863" t="s">
        <v>722</v>
      </c>
      <c r="B863" t="s">
        <v>1557</v>
      </c>
    </row>
    <row r="864" spans="1:2" x14ac:dyDescent="0.25">
      <c r="A864" t="s">
        <v>722</v>
      </c>
      <c r="B864" t="s">
        <v>22</v>
      </c>
    </row>
    <row r="865" spans="1:2" x14ac:dyDescent="0.25">
      <c r="A865" t="s">
        <v>722</v>
      </c>
      <c r="B865" t="s">
        <v>1033</v>
      </c>
    </row>
    <row r="866" spans="1:2" x14ac:dyDescent="0.25">
      <c r="A866" t="s">
        <v>722</v>
      </c>
      <c r="B866" t="s">
        <v>1483</v>
      </c>
    </row>
    <row r="867" spans="1:2" x14ac:dyDescent="0.25">
      <c r="A867" t="s">
        <v>868</v>
      </c>
      <c r="B867" t="s">
        <v>1557</v>
      </c>
    </row>
    <row r="868" spans="1:2" x14ac:dyDescent="0.25">
      <c r="A868" t="s">
        <v>868</v>
      </c>
      <c r="B868" t="s">
        <v>1483</v>
      </c>
    </row>
    <row r="869" spans="1:2" x14ac:dyDescent="0.25">
      <c r="A869" t="s">
        <v>868</v>
      </c>
      <c r="B869" t="s">
        <v>916</v>
      </c>
    </row>
    <row r="870" spans="1:2" x14ac:dyDescent="0.25">
      <c r="A870" t="s">
        <v>868</v>
      </c>
      <c r="B870" t="s">
        <v>1033</v>
      </c>
    </row>
    <row r="871" spans="1:2" x14ac:dyDescent="0.25">
      <c r="A871" t="s">
        <v>868</v>
      </c>
      <c r="B871" t="s">
        <v>1138</v>
      </c>
    </row>
    <row r="872" spans="1:2" x14ac:dyDescent="0.25">
      <c r="A872" t="s">
        <v>868</v>
      </c>
      <c r="B872" t="s">
        <v>22</v>
      </c>
    </row>
    <row r="873" spans="1:2" x14ac:dyDescent="0.25">
      <c r="A873" t="s">
        <v>868</v>
      </c>
      <c r="B873" t="s">
        <v>1557</v>
      </c>
    </row>
    <row r="874" spans="1:2" x14ac:dyDescent="0.25">
      <c r="A874" t="s">
        <v>871</v>
      </c>
      <c r="B874" t="s">
        <v>1483</v>
      </c>
    </row>
    <row r="875" spans="1:2" x14ac:dyDescent="0.25">
      <c r="A875" t="s">
        <v>871</v>
      </c>
      <c r="B875" t="s">
        <v>941</v>
      </c>
    </row>
    <row r="876" spans="1:2" x14ac:dyDescent="0.25">
      <c r="A876" t="s">
        <v>871</v>
      </c>
      <c r="B876" t="s">
        <v>2374</v>
      </c>
    </row>
    <row r="877" spans="1:2" x14ac:dyDescent="0.25">
      <c r="A877" t="s">
        <v>871</v>
      </c>
      <c r="B877" t="s">
        <v>1033</v>
      </c>
    </row>
    <row r="878" spans="1:2" x14ac:dyDescent="0.25">
      <c r="A878" t="s">
        <v>871</v>
      </c>
      <c r="B878" t="s">
        <v>916</v>
      </c>
    </row>
    <row r="879" spans="1:2" x14ac:dyDescent="0.25">
      <c r="A879" t="s">
        <v>871</v>
      </c>
      <c r="B879" t="s">
        <v>1483</v>
      </c>
    </row>
    <row r="880" spans="1:2" x14ac:dyDescent="0.25">
      <c r="A880" t="s">
        <v>874</v>
      </c>
      <c r="B880" t="s">
        <v>1483</v>
      </c>
    </row>
    <row r="881" spans="1:2" x14ac:dyDescent="0.25">
      <c r="A881" t="s">
        <v>874</v>
      </c>
      <c r="B881" t="s">
        <v>1033</v>
      </c>
    </row>
    <row r="882" spans="1:2" x14ac:dyDescent="0.25">
      <c r="A882" t="s">
        <v>874</v>
      </c>
      <c r="B882" t="s">
        <v>2374</v>
      </c>
    </row>
    <row r="883" spans="1:2" x14ac:dyDescent="0.25">
      <c r="A883" t="s">
        <v>874</v>
      </c>
      <c r="B883" t="s">
        <v>916</v>
      </c>
    </row>
    <row r="884" spans="1:2" x14ac:dyDescent="0.25">
      <c r="A884" t="s">
        <v>874</v>
      </c>
      <c r="B884" t="s">
        <v>941</v>
      </c>
    </row>
    <row r="885" spans="1:2" x14ac:dyDescent="0.25">
      <c r="A885" t="s">
        <v>874</v>
      </c>
      <c r="B885" t="s">
        <v>1557</v>
      </c>
    </row>
    <row r="886" spans="1:2" x14ac:dyDescent="0.25">
      <c r="A886" s="15" t="s">
        <v>2628</v>
      </c>
      <c r="B886" s="13" t="s">
        <v>1557</v>
      </c>
    </row>
    <row r="887" spans="1:2" x14ac:dyDescent="0.25">
      <c r="A887" s="15" t="s">
        <v>2628</v>
      </c>
      <c r="B887" s="13" t="s">
        <v>916</v>
      </c>
    </row>
    <row r="888" spans="1:2" x14ac:dyDescent="0.25">
      <c r="A888" s="15" t="s">
        <v>2628</v>
      </c>
      <c r="B888" s="13" t="s">
        <v>1565</v>
      </c>
    </row>
    <row r="889" spans="1:2" x14ac:dyDescent="0.25">
      <c r="A889" s="15" t="s">
        <v>2628</v>
      </c>
      <c r="B889" s="13" t="s">
        <v>2374</v>
      </c>
    </row>
    <row r="890" spans="1:2" x14ac:dyDescent="0.25">
      <c r="A890" s="15" t="s">
        <v>2636</v>
      </c>
      <c r="B890" s="13" t="s">
        <v>1138</v>
      </c>
    </row>
    <row r="891" spans="1:2" x14ac:dyDescent="0.25">
      <c r="A891" s="15" t="s">
        <v>2636</v>
      </c>
      <c r="B891" s="13" t="s">
        <v>1557</v>
      </c>
    </row>
    <row r="892" spans="1:2" x14ac:dyDescent="0.25">
      <c r="A892" s="15" t="s">
        <v>2649</v>
      </c>
      <c r="B892" s="13" t="s">
        <v>1565</v>
      </c>
    </row>
    <row r="893" spans="1:2" x14ac:dyDescent="0.25">
      <c r="A893" s="15" t="s">
        <v>2649</v>
      </c>
      <c r="B893" s="13" t="s">
        <v>1557</v>
      </c>
    </row>
    <row r="894" spans="1:2" x14ac:dyDescent="0.25">
      <c r="A894" s="15" t="s">
        <v>2649</v>
      </c>
      <c r="B894" s="13" t="s">
        <v>1138</v>
      </c>
    </row>
    <row r="895" spans="1:2" x14ac:dyDescent="0.25">
      <c r="A895" s="15" t="s">
        <v>2649</v>
      </c>
      <c r="B895" s="13" t="s">
        <v>617</v>
      </c>
    </row>
    <row r="896" spans="1:2" x14ac:dyDescent="0.25">
      <c r="A896" s="15" t="s">
        <v>2649</v>
      </c>
      <c r="B896" s="13" t="s">
        <v>1025</v>
      </c>
    </row>
    <row r="897" spans="1:2" x14ac:dyDescent="0.25">
      <c r="A897" s="15" t="s">
        <v>2649</v>
      </c>
      <c r="B897" s="13" t="s">
        <v>22</v>
      </c>
    </row>
    <row r="898" spans="1:2" x14ac:dyDescent="0.25">
      <c r="A898" s="15" t="s">
        <v>2641</v>
      </c>
      <c r="B898" s="13" t="s">
        <v>1557</v>
      </c>
    </row>
    <row r="899" spans="1:2" x14ac:dyDescent="0.25">
      <c r="A899" s="15" t="s">
        <v>2641</v>
      </c>
      <c r="B899" s="13" t="s">
        <v>1138</v>
      </c>
    </row>
    <row r="900" spans="1:2" x14ac:dyDescent="0.25">
      <c r="A900" s="15" t="s">
        <v>2641</v>
      </c>
      <c r="B900" s="13" t="s">
        <v>1565</v>
      </c>
    </row>
    <row r="901" spans="1:2" x14ac:dyDescent="0.25">
      <c r="A901" s="15" t="s">
        <v>2641</v>
      </c>
      <c r="B901" s="13" t="s">
        <v>916</v>
      </c>
    </row>
    <row r="902" spans="1:2" x14ac:dyDescent="0.25">
      <c r="A902" s="15" t="s">
        <v>2660</v>
      </c>
      <c r="B902" s="13" t="s">
        <v>1557</v>
      </c>
    </row>
    <row r="903" spans="1:2" x14ac:dyDescent="0.25">
      <c r="A903" s="15" t="s">
        <v>2660</v>
      </c>
      <c r="B903" s="13" t="s">
        <v>1565</v>
      </c>
    </row>
    <row r="904" spans="1:2" x14ac:dyDescent="0.25">
      <c r="A904" s="15" t="s">
        <v>2660</v>
      </c>
      <c r="B904" s="13" t="s">
        <v>1138</v>
      </c>
    </row>
    <row r="905" spans="1:2" x14ac:dyDescent="0.25">
      <c r="A905" s="15" t="s">
        <v>2660</v>
      </c>
      <c r="B905" s="13" t="s">
        <v>1025</v>
      </c>
    </row>
    <row r="906" spans="1:2" x14ac:dyDescent="0.25">
      <c r="A906" s="15" t="s">
        <v>2660</v>
      </c>
      <c r="B906" s="13" t="s">
        <v>617</v>
      </c>
    </row>
    <row r="907" spans="1:2" x14ac:dyDescent="0.25">
      <c r="A907" s="15" t="s">
        <v>2674</v>
      </c>
      <c r="B907" s="13" t="s">
        <v>1138</v>
      </c>
    </row>
    <row r="908" spans="1:2" x14ac:dyDescent="0.25">
      <c r="A908" s="15" t="s">
        <v>2674</v>
      </c>
      <c r="B908" s="13" t="s">
        <v>1557</v>
      </c>
    </row>
    <row r="909" spans="1:2" x14ac:dyDescent="0.25">
      <c r="A909" t="s">
        <v>633</v>
      </c>
      <c r="B909" t="s">
        <v>18</v>
      </c>
    </row>
    <row r="910" spans="1:2" x14ac:dyDescent="0.25">
      <c r="A910" t="s">
        <v>633</v>
      </c>
      <c r="B910" t="s">
        <v>22</v>
      </c>
    </row>
    <row r="911" spans="1:2" x14ac:dyDescent="0.25">
      <c r="A911" t="s">
        <v>633</v>
      </c>
      <c r="B911" t="s">
        <v>698</v>
      </c>
    </row>
    <row r="912" spans="1:2" x14ac:dyDescent="0.25">
      <c r="A912" t="s">
        <v>633</v>
      </c>
      <c r="B912" t="s">
        <v>23</v>
      </c>
    </row>
    <row r="913" spans="1:2" x14ac:dyDescent="0.25">
      <c r="A913" t="s">
        <v>633</v>
      </c>
      <c r="B913" t="s">
        <v>21</v>
      </c>
    </row>
    <row r="914" spans="1:2" x14ac:dyDescent="0.25">
      <c r="A914" t="s">
        <v>629</v>
      </c>
      <c r="B914" t="s">
        <v>18</v>
      </c>
    </row>
    <row r="915" spans="1:2" x14ac:dyDescent="0.25">
      <c r="A915" t="s">
        <v>629</v>
      </c>
      <c r="B915" t="s">
        <v>21</v>
      </c>
    </row>
    <row r="916" spans="1:2" x14ac:dyDescent="0.25">
      <c r="A916" t="s">
        <v>629</v>
      </c>
      <c r="B916" t="s">
        <v>22</v>
      </c>
    </row>
    <row r="917" spans="1:2" x14ac:dyDescent="0.25">
      <c r="A917" t="s">
        <v>629</v>
      </c>
      <c r="B917" t="s">
        <v>23</v>
      </c>
    </row>
    <row r="918" spans="1:2" x14ac:dyDescent="0.25">
      <c r="A918" t="s">
        <v>629</v>
      </c>
      <c r="B918" t="s">
        <v>1225</v>
      </c>
    </row>
    <row r="919" spans="1:2" x14ac:dyDescent="0.25">
      <c r="A919" t="s">
        <v>629</v>
      </c>
      <c r="B919" t="s">
        <v>698</v>
      </c>
    </row>
    <row r="920" spans="1:2" x14ac:dyDescent="0.25">
      <c r="A920" t="s">
        <v>631</v>
      </c>
      <c r="B920" t="s">
        <v>21</v>
      </c>
    </row>
    <row r="921" spans="1:2" x14ac:dyDescent="0.25">
      <c r="A921" t="s">
        <v>631</v>
      </c>
      <c r="B921" t="s">
        <v>18</v>
      </c>
    </row>
    <row r="922" spans="1:2" x14ac:dyDescent="0.25">
      <c r="A922" t="s">
        <v>631</v>
      </c>
      <c r="B922" t="s">
        <v>23</v>
      </c>
    </row>
    <row r="923" spans="1:2" x14ac:dyDescent="0.25">
      <c r="A923" t="s">
        <v>631</v>
      </c>
      <c r="B923" t="s">
        <v>1225</v>
      </c>
    </row>
    <row r="924" spans="1:2" x14ac:dyDescent="0.25">
      <c r="A924" t="s">
        <v>631</v>
      </c>
      <c r="B924" t="s">
        <v>22</v>
      </c>
    </row>
    <row r="925" spans="1:2" x14ac:dyDescent="0.25">
      <c r="A925" t="s">
        <v>631</v>
      </c>
      <c r="B925" t="s">
        <v>21</v>
      </c>
    </row>
    <row r="926" spans="1:2" x14ac:dyDescent="0.25">
      <c r="A926" t="s">
        <v>663</v>
      </c>
      <c r="B926" t="s">
        <v>22</v>
      </c>
    </row>
    <row r="927" spans="1:2" x14ac:dyDescent="0.25">
      <c r="A927" t="s">
        <v>663</v>
      </c>
      <c r="B927" t="s">
        <v>18</v>
      </c>
    </row>
    <row r="928" spans="1:2" x14ac:dyDescent="0.25">
      <c r="A928" t="s">
        <v>663</v>
      </c>
      <c r="B928" t="s">
        <v>698</v>
      </c>
    </row>
    <row r="929" spans="1:2" x14ac:dyDescent="0.25">
      <c r="A929" t="s">
        <v>663</v>
      </c>
      <c r="B929" t="s">
        <v>21</v>
      </c>
    </row>
    <row r="930" spans="1:2" x14ac:dyDescent="0.25">
      <c r="A930" t="s">
        <v>663</v>
      </c>
      <c r="B930" t="s">
        <v>916</v>
      </c>
    </row>
    <row r="931" spans="1:2" x14ac:dyDescent="0.25">
      <c r="A931" t="s">
        <v>653</v>
      </c>
      <c r="B931" t="s">
        <v>22</v>
      </c>
    </row>
    <row r="932" spans="1:2" x14ac:dyDescent="0.25">
      <c r="A932" t="s">
        <v>653</v>
      </c>
      <c r="B932" t="s">
        <v>21</v>
      </c>
    </row>
    <row r="933" spans="1:2" x14ac:dyDescent="0.25">
      <c r="A933" t="s">
        <v>653</v>
      </c>
      <c r="B933" t="s">
        <v>916</v>
      </c>
    </row>
    <row r="934" spans="1:2" x14ac:dyDescent="0.25">
      <c r="A934" t="s">
        <v>653</v>
      </c>
      <c r="B934" t="s">
        <v>18</v>
      </c>
    </row>
    <row r="935" spans="1:2" x14ac:dyDescent="0.25">
      <c r="A935" t="s">
        <v>653</v>
      </c>
      <c r="B935" t="s">
        <v>698</v>
      </c>
    </row>
    <row r="936" spans="1:2" x14ac:dyDescent="0.25">
      <c r="A936" t="s">
        <v>605</v>
      </c>
      <c r="B936" t="s">
        <v>22</v>
      </c>
    </row>
    <row r="937" spans="1:2" x14ac:dyDescent="0.25">
      <c r="A937" t="s">
        <v>605</v>
      </c>
      <c r="B937" t="s">
        <v>1565</v>
      </c>
    </row>
    <row r="938" spans="1:2" x14ac:dyDescent="0.25">
      <c r="A938" t="s">
        <v>605</v>
      </c>
      <c r="B938" t="s">
        <v>21</v>
      </c>
    </row>
    <row r="939" spans="1:2" x14ac:dyDescent="0.25">
      <c r="A939" t="s">
        <v>605</v>
      </c>
      <c r="B939" t="s">
        <v>18</v>
      </c>
    </row>
    <row r="940" spans="1:2" x14ac:dyDescent="0.25">
      <c r="A940" t="s">
        <v>605</v>
      </c>
      <c r="B940" t="s">
        <v>916</v>
      </c>
    </row>
    <row r="941" spans="1:2" x14ac:dyDescent="0.25">
      <c r="A941" t="s">
        <v>605</v>
      </c>
      <c r="B941" t="s">
        <v>1557</v>
      </c>
    </row>
    <row r="942" spans="1:2" x14ac:dyDescent="0.25">
      <c r="A942" t="s">
        <v>605</v>
      </c>
      <c r="B942" t="s">
        <v>698</v>
      </c>
    </row>
    <row r="943" spans="1:2" x14ac:dyDescent="0.25">
      <c r="A943" t="s">
        <v>605</v>
      </c>
      <c r="B943" t="s">
        <v>23</v>
      </c>
    </row>
    <row r="944" spans="1:2" x14ac:dyDescent="0.25">
      <c r="A944" t="s">
        <v>661</v>
      </c>
      <c r="B944" t="s">
        <v>22</v>
      </c>
    </row>
    <row r="945" spans="1:2" x14ac:dyDescent="0.25">
      <c r="A945" t="s">
        <v>661</v>
      </c>
      <c r="B945" t="s">
        <v>2374</v>
      </c>
    </row>
    <row r="946" spans="1:2" x14ac:dyDescent="0.25">
      <c r="A946" t="s">
        <v>661</v>
      </c>
      <c r="B946" t="s">
        <v>941</v>
      </c>
    </row>
    <row r="947" spans="1:2" x14ac:dyDescent="0.25">
      <c r="A947" t="s">
        <v>661</v>
      </c>
      <c r="B947" t="s">
        <v>1565</v>
      </c>
    </row>
    <row r="948" spans="1:2" x14ac:dyDescent="0.25">
      <c r="A948" t="s">
        <v>661</v>
      </c>
      <c r="B948" t="s">
        <v>18</v>
      </c>
    </row>
    <row r="949" spans="1:2" x14ac:dyDescent="0.25">
      <c r="A949" t="s">
        <v>661</v>
      </c>
      <c r="B949" t="s">
        <v>21</v>
      </c>
    </row>
    <row r="950" spans="1:2" x14ac:dyDescent="0.25">
      <c r="A950" t="s">
        <v>661</v>
      </c>
      <c r="B950" t="s">
        <v>698</v>
      </c>
    </row>
    <row r="951" spans="1:2" x14ac:dyDescent="0.25">
      <c r="A951" t="s">
        <v>661</v>
      </c>
      <c r="B951" t="s">
        <v>916</v>
      </c>
    </row>
    <row r="952" spans="1:2" x14ac:dyDescent="0.25">
      <c r="A952" t="s">
        <v>639</v>
      </c>
      <c r="B952" t="s">
        <v>22</v>
      </c>
    </row>
    <row r="953" spans="1:2" x14ac:dyDescent="0.25">
      <c r="A953" t="s">
        <v>639</v>
      </c>
      <c r="B953" t="s">
        <v>18</v>
      </c>
    </row>
    <row r="954" spans="1:2" x14ac:dyDescent="0.25">
      <c r="A954" t="s">
        <v>639</v>
      </c>
      <c r="B954" t="s">
        <v>21</v>
      </c>
    </row>
    <row r="955" spans="1:2" x14ac:dyDescent="0.25">
      <c r="A955" t="s">
        <v>639</v>
      </c>
      <c r="B955" t="s">
        <v>1565</v>
      </c>
    </row>
    <row r="956" spans="1:2" x14ac:dyDescent="0.25">
      <c r="A956" t="s">
        <v>639</v>
      </c>
      <c r="B956" t="s">
        <v>698</v>
      </c>
    </row>
    <row r="957" spans="1:2" x14ac:dyDescent="0.25">
      <c r="A957" t="s">
        <v>639</v>
      </c>
      <c r="B957" t="s">
        <v>916</v>
      </c>
    </row>
    <row r="958" spans="1:2" x14ac:dyDescent="0.25">
      <c r="A958" t="s">
        <v>615</v>
      </c>
      <c r="B958" t="s">
        <v>22</v>
      </c>
    </row>
    <row r="959" spans="1:2" x14ac:dyDescent="0.25">
      <c r="A959" t="s">
        <v>615</v>
      </c>
      <c r="B959" t="s">
        <v>21</v>
      </c>
    </row>
    <row r="960" spans="1:2" x14ac:dyDescent="0.25">
      <c r="A960" t="s">
        <v>615</v>
      </c>
      <c r="B960" t="s">
        <v>18</v>
      </c>
    </row>
    <row r="961" spans="1:2" x14ac:dyDescent="0.25">
      <c r="A961" t="s">
        <v>615</v>
      </c>
      <c r="B961" t="s">
        <v>1565</v>
      </c>
    </row>
    <row r="962" spans="1:2" x14ac:dyDescent="0.25">
      <c r="A962" t="s">
        <v>615</v>
      </c>
      <c r="B962" t="s">
        <v>698</v>
      </c>
    </row>
    <row r="963" spans="1:2" x14ac:dyDescent="0.25">
      <c r="A963" t="s">
        <v>615</v>
      </c>
      <c r="B963" t="s">
        <v>916</v>
      </c>
    </row>
    <row r="964" spans="1:2" x14ac:dyDescent="0.25">
      <c r="A964" t="s">
        <v>615</v>
      </c>
      <c r="B964" t="s">
        <v>23</v>
      </c>
    </row>
    <row r="965" spans="1:2" x14ac:dyDescent="0.25">
      <c r="A965" t="s">
        <v>627</v>
      </c>
      <c r="B965" t="s">
        <v>970</v>
      </c>
    </row>
    <row r="966" spans="1:2" x14ac:dyDescent="0.25">
      <c r="A966" t="s">
        <v>627</v>
      </c>
      <c r="B966" t="s">
        <v>1565</v>
      </c>
    </row>
    <row r="967" spans="1:2" x14ac:dyDescent="0.25">
      <c r="A967" t="s">
        <v>627</v>
      </c>
      <c r="B967" t="s">
        <v>966</v>
      </c>
    </row>
    <row r="968" spans="1:2" x14ac:dyDescent="0.25">
      <c r="A968" t="s">
        <v>627</v>
      </c>
      <c r="B968" t="s">
        <v>2126</v>
      </c>
    </row>
    <row r="969" spans="1:2" x14ac:dyDescent="0.25">
      <c r="A969" t="s">
        <v>627</v>
      </c>
      <c r="B969" t="s">
        <v>2129</v>
      </c>
    </row>
    <row r="970" spans="1:2" x14ac:dyDescent="0.25">
      <c r="A970" t="s">
        <v>627</v>
      </c>
      <c r="B970" t="s">
        <v>21</v>
      </c>
    </row>
    <row r="971" spans="1:2" x14ac:dyDescent="0.25">
      <c r="A971" t="s">
        <v>627</v>
      </c>
      <c r="B971" t="s">
        <v>22</v>
      </c>
    </row>
    <row r="972" spans="1:2" x14ac:dyDescent="0.25">
      <c r="A972" t="s">
        <v>627</v>
      </c>
      <c r="B972" t="s">
        <v>1557</v>
      </c>
    </row>
    <row r="973" spans="1:2" x14ac:dyDescent="0.25">
      <c r="A973" t="s">
        <v>641</v>
      </c>
      <c r="B973" t="s">
        <v>1452</v>
      </c>
    </row>
    <row r="974" spans="1:2" x14ac:dyDescent="0.25">
      <c r="A974" t="s">
        <v>641</v>
      </c>
      <c r="B974" t="s">
        <v>1455</v>
      </c>
    </row>
    <row r="975" spans="1:2" x14ac:dyDescent="0.25">
      <c r="A975" t="s">
        <v>641</v>
      </c>
      <c r="B975" t="s">
        <v>617</v>
      </c>
    </row>
    <row r="976" spans="1:2" x14ac:dyDescent="0.25">
      <c r="A976" t="s">
        <v>641</v>
      </c>
      <c r="B976" t="s">
        <v>950</v>
      </c>
    </row>
    <row r="977" spans="1:2" x14ac:dyDescent="0.25">
      <c r="A977" t="s">
        <v>641</v>
      </c>
      <c r="B977" t="s">
        <v>23</v>
      </c>
    </row>
    <row r="978" spans="1:2" x14ac:dyDescent="0.25">
      <c r="A978" t="s">
        <v>641</v>
      </c>
      <c r="B978" t="s">
        <v>2087</v>
      </c>
    </row>
    <row r="979" spans="1:2" x14ac:dyDescent="0.25">
      <c r="A979" t="s">
        <v>641</v>
      </c>
      <c r="B979" t="s">
        <v>617</v>
      </c>
    </row>
    <row r="980" spans="1:2" x14ac:dyDescent="0.25">
      <c r="A980" t="s">
        <v>641</v>
      </c>
      <c r="B980" t="s">
        <v>1452</v>
      </c>
    </row>
    <row r="981" spans="1:2" x14ac:dyDescent="0.25">
      <c r="A981" t="s">
        <v>674</v>
      </c>
      <c r="B981" t="s">
        <v>1452</v>
      </c>
    </row>
    <row r="982" spans="1:2" x14ac:dyDescent="0.25">
      <c r="A982" t="s">
        <v>674</v>
      </c>
      <c r="B982" t="s">
        <v>1455</v>
      </c>
    </row>
    <row r="983" spans="1:2" x14ac:dyDescent="0.25">
      <c r="A983" t="s">
        <v>674</v>
      </c>
      <c r="B983" t="s">
        <v>23</v>
      </c>
    </row>
    <row r="984" spans="1:2" x14ac:dyDescent="0.25">
      <c r="A984" t="s">
        <v>674</v>
      </c>
      <c r="B984" t="s">
        <v>21</v>
      </c>
    </row>
    <row r="985" spans="1:2" x14ac:dyDescent="0.25">
      <c r="A985" t="s">
        <v>674</v>
      </c>
      <c r="B985" t="s">
        <v>617</v>
      </c>
    </row>
    <row r="986" spans="1:2" x14ac:dyDescent="0.25">
      <c r="A986" t="s">
        <v>674</v>
      </c>
      <c r="B986" t="s">
        <v>950</v>
      </c>
    </row>
    <row r="987" spans="1:2" x14ac:dyDescent="0.25">
      <c r="A987" t="s">
        <v>617</v>
      </c>
      <c r="B987" t="s">
        <v>617</v>
      </c>
    </row>
    <row r="988" spans="1:2" x14ac:dyDescent="0.25">
      <c r="A988" t="s">
        <v>617</v>
      </c>
      <c r="B988" t="s">
        <v>1202</v>
      </c>
    </row>
    <row r="989" spans="1:2" x14ac:dyDescent="0.25">
      <c r="A989" t="s">
        <v>617</v>
      </c>
      <c r="B989" t="s">
        <v>2012</v>
      </c>
    </row>
    <row r="990" spans="1:2" x14ac:dyDescent="0.25">
      <c r="A990" t="s">
        <v>617</v>
      </c>
      <c r="B990" t="s">
        <v>2059</v>
      </c>
    </row>
    <row r="991" spans="1:2" x14ac:dyDescent="0.25">
      <c r="A991" t="s">
        <v>617</v>
      </c>
      <c r="B991" t="s">
        <v>2087</v>
      </c>
    </row>
    <row r="992" spans="1:2" x14ac:dyDescent="0.25">
      <c r="A992" t="s">
        <v>617</v>
      </c>
      <c r="B992" t="s">
        <v>1452</v>
      </c>
    </row>
    <row r="993" spans="1:2" x14ac:dyDescent="0.25">
      <c r="A993" t="s">
        <v>617</v>
      </c>
      <c r="B993" t="s">
        <v>635</v>
      </c>
    </row>
    <row r="994" spans="1:2" x14ac:dyDescent="0.25">
      <c r="A994" t="s">
        <v>617</v>
      </c>
      <c r="B994" t="s">
        <v>2009</v>
      </c>
    </row>
    <row r="995" spans="1:2" x14ac:dyDescent="0.25">
      <c r="A995" t="s">
        <v>617</v>
      </c>
      <c r="B995" t="s">
        <v>970</v>
      </c>
    </row>
    <row r="996" spans="1:2" x14ac:dyDescent="0.25">
      <c r="A996" t="s">
        <v>635</v>
      </c>
      <c r="B996" t="s">
        <v>635</v>
      </c>
    </row>
    <row r="997" spans="1:2" x14ac:dyDescent="0.25">
      <c r="A997" t="s">
        <v>635</v>
      </c>
      <c r="B997" t="s">
        <v>2087</v>
      </c>
    </row>
    <row r="998" spans="1:2" x14ac:dyDescent="0.25">
      <c r="A998" t="s">
        <v>635</v>
      </c>
      <c r="B998" t="s">
        <v>617</v>
      </c>
    </row>
    <row r="999" spans="1:2" x14ac:dyDescent="0.25">
      <c r="A999" t="s">
        <v>635</v>
      </c>
      <c r="B999" t="s">
        <v>2059</v>
      </c>
    </row>
    <row r="1000" spans="1:2" x14ac:dyDescent="0.25">
      <c r="A1000" t="s">
        <v>635</v>
      </c>
      <c r="B1000" t="s">
        <v>2009</v>
      </c>
    </row>
    <row r="1001" spans="1:2" x14ac:dyDescent="0.25">
      <c r="A1001" t="s">
        <v>637</v>
      </c>
      <c r="B1001" t="s">
        <v>2087</v>
      </c>
    </row>
    <row r="1002" spans="1:2" x14ac:dyDescent="0.25">
      <c r="A1002" t="s">
        <v>637</v>
      </c>
      <c r="B1002" t="s">
        <v>617</v>
      </c>
    </row>
    <row r="1003" spans="1:2" x14ac:dyDescent="0.25">
      <c r="A1003" t="s">
        <v>637</v>
      </c>
      <c r="B1003" t="s">
        <v>635</v>
      </c>
    </row>
    <row r="1004" spans="1:2" x14ac:dyDescent="0.25">
      <c r="A1004" t="s">
        <v>637</v>
      </c>
      <c r="B1004" t="s">
        <v>1452</v>
      </c>
    </row>
    <row r="1005" spans="1:2" x14ac:dyDescent="0.25">
      <c r="A1005" t="s">
        <v>637</v>
      </c>
      <c r="B1005" t="s">
        <v>2059</v>
      </c>
    </row>
    <row r="1006" spans="1:2" x14ac:dyDescent="0.25">
      <c r="A1006" t="s">
        <v>637</v>
      </c>
      <c r="B1006" t="s">
        <v>2009</v>
      </c>
    </row>
    <row r="1007" spans="1:2" x14ac:dyDescent="0.25">
      <c r="A1007" t="s">
        <v>672</v>
      </c>
      <c r="B1007" t="s">
        <v>617</v>
      </c>
    </row>
    <row r="1008" spans="1:2" x14ac:dyDescent="0.25">
      <c r="A1008" t="s">
        <v>672</v>
      </c>
      <c r="B1008" t="s">
        <v>635</v>
      </c>
    </row>
    <row r="1009" spans="1:2" x14ac:dyDescent="0.25">
      <c r="A1009" t="s">
        <v>672</v>
      </c>
      <c r="B1009" t="s">
        <v>2059</v>
      </c>
    </row>
    <row r="1010" spans="1:2" x14ac:dyDescent="0.25">
      <c r="A1010" t="s">
        <v>672</v>
      </c>
      <c r="B1010" t="s">
        <v>2087</v>
      </c>
    </row>
    <row r="1011" spans="1:2" x14ac:dyDescent="0.25">
      <c r="A1011" t="s">
        <v>672</v>
      </c>
      <c r="B1011" t="s">
        <v>2009</v>
      </c>
    </row>
    <row r="1012" spans="1:2" x14ac:dyDescent="0.25">
      <c r="A1012" t="s">
        <v>672</v>
      </c>
      <c r="B1012" t="s">
        <v>1202</v>
      </c>
    </row>
    <row r="1013" spans="1:2" x14ac:dyDescent="0.25">
      <c r="A1013" t="s">
        <v>672</v>
      </c>
      <c r="B1013" t="s">
        <v>2012</v>
      </c>
    </row>
    <row r="1014" spans="1:2" x14ac:dyDescent="0.25">
      <c r="A1014" t="s">
        <v>672</v>
      </c>
      <c r="B1014" t="s">
        <v>617</v>
      </c>
    </row>
    <row r="1015" spans="1:2" x14ac:dyDescent="0.25">
      <c r="A1015" t="s">
        <v>621</v>
      </c>
      <c r="B1015" t="s">
        <v>617</v>
      </c>
    </row>
    <row r="1016" spans="1:2" x14ac:dyDescent="0.25">
      <c r="A1016" t="s">
        <v>621</v>
      </c>
      <c r="B1016" t="s">
        <v>2059</v>
      </c>
    </row>
    <row r="1017" spans="1:2" x14ac:dyDescent="0.25">
      <c r="A1017" t="s">
        <v>621</v>
      </c>
      <c r="B1017" t="s">
        <v>635</v>
      </c>
    </row>
    <row r="1018" spans="1:2" x14ac:dyDescent="0.25">
      <c r="A1018" t="s">
        <v>621</v>
      </c>
      <c r="B1018" t="s">
        <v>1565</v>
      </c>
    </row>
    <row r="1019" spans="1:2" x14ac:dyDescent="0.25">
      <c r="A1019" t="s">
        <v>621</v>
      </c>
      <c r="B1019" t="s">
        <v>2087</v>
      </c>
    </row>
    <row r="1020" spans="1:2" x14ac:dyDescent="0.25">
      <c r="A1020" t="s">
        <v>621</v>
      </c>
      <c r="B1020" t="s">
        <v>2009</v>
      </c>
    </row>
    <row r="1021" spans="1:2" x14ac:dyDescent="0.25">
      <c r="A1021" t="s">
        <v>621</v>
      </c>
      <c r="B1021" t="s">
        <v>1202</v>
      </c>
    </row>
    <row r="1022" spans="1:2" x14ac:dyDescent="0.25">
      <c r="A1022" t="s">
        <v>621</v>
      </c>
      <c r="B1022" t="s">
        <v>2012</v>
      </c>
    </row>
    <row r="1023" spans="1:2" x14ac:dyDescent="0.25">
      <c r="A1023" t="s">
        <v>621</v>
      </c>
      <c r="B1023" t="s">
        <v>617</v>
      </c>
    </row>
    <row r="1024" spans="1:2" x14ac:dyDescent="0.25">
      <c r="A1024" t="s">
        <v>676</v>
      </c>
      <c r="B1024" t="s">
        <v>1202</v>
      </c>
    </row>
    <row r="1025" spans="1:2" x14ac:dyDescent="0.25">
      <c r="A1025" t="s">
        <v>676</v>
      </c>
      <c r="B1025" t="s">
        <v>617</v>
      </c>
    </row>
    <row r="1026" spans="1:2" x14ac:dyDescent="0.25">
      <c r="A1026" t="s">
        <v>676</v>
      </c>
      <c r="B1026" t="s">
        <v>2059</v>
      </c>
    </row>
    <row r="1027" spans="1:2" x14ac:dyDescent="0.25">
      <c r="A1027" t="s">
        <v>676</v>
      </c>
      <c r="B1027" t="s">
        <v>1565</v>
      </c>
    </row>
    <row r="1028" spans="1:2" x14ac:dyDescent="0.25">
      <c r="A1028" t="s">
        <v>676</v>
      </c>
      <c r="B1028" t="s">
        <v>2087</v>
      </c>
    </row>
    <row r="1029" spans="1:2" x14ac:dyDescent="0.25">
      <c r="A1029" t="s">
        <v>669</v>
      </c>
      <c r="B1029" t="s">
        <v>2012</v>
      </c>
    </row>
    <row r="1030" spans="1:2" x14ac:dyDescent="0.25">
      <c r="A1030" t="s">
        <v>669</v>
      </c>
      <c r="B1030" t="s">
        <v>617</v>
      </c>
    </row>
    <row r="1031" spans="1:2" x14ac:dyDescent="0.25">
      <c r="A1031" t="s">
        <v>669</v>
      </c>
      <c r="B1031" t="s">
        <v>2059</v>
      </c>
    </row>
    <row r="1032" spans="1:2" x14ac:dyDescent="0.25">
      <c r="A1032" t="s">
        <v>669</v>
      </c>
      <c r="B1032" t="s">
        <v>1565</v>
      </c>
    </row>
    <row r="1033" spans="1:2" x14ac:dyDescent="0.25">
      <c r="A1033" t="s">
        <v>669</v>
      </c>
      <c r="B1033" t="s">
        <v>2087</v>
      </c>
    </row>
    <row r="1034" spans="1:2" x14ac:dyDescent="0.25">
      <c r="A1034" t="s">
        <v>649</v>
      </c>
      <c r="B1034" t="s">
        <v>2059</v>
      </c>
    </row>
    <row r="1035" spans="1:2" x14ac:dyDescent="0.25">
      <c r="A1035" t="s">
        <v>649</v>
      </c>
      <c r="B1035" t="s">
        <v>617</v>
      </c>
    </row>
    <row r="1036" spans="1:2" x14ac:dyDescent="0.25">
      <c r="A1036" t="s">
        <v>649</v>
      </c>
      <c r="B1036" t="s">
        <v>1565</v>
      </c>
    </row>
    <row r="1037" spans="1:2" x14ac:dyDescent="0.25">
      <c r="A1037" t="s">
        <v>649</v>
      </c>
      <c r="B1037" t="s">
        <v>2012</v>
      </c>
    </row>
    <row r="1038" spans="1:2" x14ac:dyDescent="0.25">
      <c r="A1038" t="s">
        <v>649</v>
      </c>
      <c r="B1038" t="s">
        <v>2009</v>
      </c>
    </row>
    <row r="1039" spans="1:2" x14ac:dyDescent="0.25">
      <c r="A1039" t="s">
        <v>649</v>
      </c>
      <c r="B1039" t="s">
        <v>22</v>
      </c>
    </row>
    <row r="1040" spans="1:2" x14ac:dyDescent="0.25">
      <c r="A1040" t="s">
        <v>623</v>
      </c>
      <c r="B1040" t="s">
        <v>2059</v>
      </c>
    </row>
    <row r="1041" spans="1:2" x14ac:dyDescent="0.25">
      <c r="A1041" t="s">
        <v>623</v>
      </c>
      <c r="B1041" t="s">
        <v>2009</v>
      </c>
    </row>
    <row r="1042" spans="1:2" x14ac:dyDescent="0.25">
      <c r="A1042" t="s">
        <v>623</v>
      </c>
      <c r="B1042" t="s">
        <v>617</v>
      </c>
    </row>
    <row r="1043" spans="1:2" x14ac:dyDescent="0.25">
      <c r="A1043" t="s">
        <v>623</v>
      </c>
      <c r="B1043" t="s">
        <v>2012</v>
      </c>
    </row>
    <row r="1044" spans="1:2" x14ac:dyDescent="0.25">
      <c r="A1044" t="s">
        <v>623</v>
      </c>
      <c r="B1044" t="s">
        <v>2003</v>
      </c>
    </row>
    <row r="1045" spans="1:2" x14ac:dyDescent="0.25">
      <c r="A1045" t="s">
        <v>623</v>
      </c>
      <c r="B1045" t="s">
        <v>1565</v>
      </c>
    </row>
    <row r="1046" spans="1:2" x14ac:dyDescent="0.25">
      <c r="A1046" t="s">
        <v>623</v>
      </c>
      <c r="B1046" t="s">
        <v>22</v>
      </c>
    </row>
    <row r="1047" spans="1:2" x14ac:dyDescent="0.25">
      <c r="A1047" t="s">
        <v>655</v>
      </c>
      <c r="B1047" t="s">
        <v>2009</v>
      </c>
    </row>
    <row r="1048" spans="1:2" x14ac:dyDescent="0.25">
      <c r="A1048" t="s">
        <v>655</v>
      </c>
      <c r="B1048" t="s">
        <v>2059</v>
      </c>
    </row>
    <row r="1049" spans="1:2" x14ac:dyDescent="0.25">
      <c r="A1049" t="s">
        <v>655</v>
      </c>
      <c r="B1049" t="s">
        <v>617</v>
      </c>
    </row>
    <row r="1050" spans="1:2" x14ac:dyDescent="0.25">
      <c r="A1050" t="s">
        <v>655</v>
      </c>
      <c r="B1050" t="s">
        <v>2012</v>
      </c>
    </row>
    <row r="1051" spans="1:2" x14ac:dyDescent="0.25">
      <c r="A1051" t="s">
        <v>655</v>
      </c>
      <c r="B1051" t="s">
        <v>1565</v>
      </c>
    </row>
    <row r="1052" spans="1:2" x14ac:dyDescent="0.25">
      <c r="A1052" t="s">
        <v>655</v>
      </c>
      <c r="B1052" t="s">
        <v>635</v>
      </c>
    </row>
    <row r="1053" spans="1:2" x14ac:dyDescent="0.25">
      <c r="A1053" t="s">
        <v>665</v>
      </c>
      <c r="B1053" t="s">
        <v>2059</v>
      </c>
    </row>
    <row r="1054" spans="1:2" x14ac:dyDescent="0.25">
      <c r="A1054" t="s">
        <v>665</v>
      </c>
      <c r="B1054" t="s">
        <v>2059</v>
      </c>
    </row>
    <row r="1055" spans="1:2" x14ac:dyDescent="0.25">
      <c r="A1055" t="s">
        <v>665</v>
      </c>
      <c r="B1055" t="s">
        <v>617</v>
      </c>
    </row>
    <row r="1056" spans="1:2" x14ac:dyDescent="0.25">
      <c r="A1056" t="s">
        <v>665</v>
      </c>
      <c r="B1056" t="s">
        <v>1565</v>
      </c>
    </row>
    <row r="1057" spans="1:2" x14ac:dyDescent="0.25">
      <c r="A1057" t="s">
        <v>665</v>
      </c>
      <c r="B1057" t="s">
        <v>2009</v>
      </c>
    </row>
    <row r="1058" spans="1:2" x14ac:dyDescent="0.25">
      <c r="A1058" t="s">
        <v>665</v>
      </c>
      <c r="B1058" t="s">
        <v>2012</v>
      </c>
    </row>
    <row r="1059" spans="1:2" x14ac:dyDescent="0.25">
      <c r="A1059" t="s">
        <v>665</v>
      </c>
      <c r="B1059" t="s">
        <v>22</v>
      </c>
    </row>
    <row r="1060" spans="1:2" x14ac:dyDescent="0.25">
      <c r="A1060" t="s">
        <v>665</v>
      </c>
      <c r="B1060" t="s">
        <v>635</v>
      </c>
    </row>
    <row r="1061" spans="1:2" x14ac:dyDescent="0.25">
      <c r="A1061" t="s">
        <v>665</v>
      </c>
      <c r="B1061" t="s">
        <v>2087</v>
      </c>
    </row>
    <row r="1062" spans="1:2" x14ac:dyDescent="0.25">
      <c r="A1062" t="s">
        <v>667</v>
      </c>
      <c r="B1062" t="s">
        <v>18</v>
      </c>
    </row>
    <row r="1063" spans="1:2" x14ac:dyDescent="0.25">
      <c r="A1063" t="s">
        <v>667</v>
      </c>
      <c r="B1063" t="s">
        <v>23</v>
      </c>
    </row>
    <row r="1064" spans="1:2" x14ac:dyDescent="0.25">
      <c r="A1064" t="s">
        <v>667</v>
      </c>
      <c r="B1064" t="s">
        <v>21</v>
      </c>
    </row>
    <row r="1065" spans="1:2" x14ac:dyDescent="0.25">
      <c r="A1065" t="s">
        <v>667</v>
      </c>
      <c r="B1065" t="s">
        <v>22</v>
      </c>
    </row>
    <row r="1066" spans="1:2" x14ac:dyDescent="0.25">
      <c r="A1066" t="s">
        <v>667</v>
      </c>
      <c r="B1066" t="s">
        <v>698</v>
      </c>
    </row>
    <row r="1067" spans="1:2" x14ac:dyDescent="0.25">
      <c r="A1067" t="s">
        <v>643</v>
      </c>
      <c r="B1067" t="s">
        <v>18</v>
      </c>
    </row>
    <row r="1068" spans="1:2" x14ac:dyDescent="0.25">
      <c r="A1068" t="s">
        <v>643</v>
      </c>
      <c r="B1068" t="s">
        <v>23</v>
      </c>
    </row>
    <row r="1069" spans="1:2" x14ac:dyDescent="0.25">
      <c r="A1069" t="s">
        <v>643</v>
      </c>
      <c r="B1069" t="s">
        <v>21</v>
      </c>
    </row>
    <row r="1070" spans="1:2" x14ac:dyDescent="0.25">
      <c r="A1070" t="s">
        <v>643</v>
      </c>
      <c r="B1070" t="s">
        <v>698</v>
      </c>
    </row>
    <row r="1071" spans="1:2" x14ac:dyDescent="0.25">
      <c r="A1071" t="s">
        <v>643</v>
      </c>
      <c r="B1071" t="s">
        <v>22</v>
      </c>
    </row>
    <row r="1072" spans="1:2" x14ac:dyDescent="0.25">
      <c r="A1072" t="s">
        <v>659</v>
      </c>
      <c r="B1072" t="s">
        <v>18</v>
      </c>
    </row>
    <row r="1073" spans="1:2" x14ac:dyDescent="0.25">
      <c r="A1073" t="s">
        <v>659</v>
      </c>
      <c r="B1073" t="s">
        <v>698</v>
      </c>
    </row>
    <row r="1074" spans="1:2" x14ac:dyDescent="0.25">
      <c r="A1074" t="s">
        <v>659</v>
      </c>
      <c r="B1074" t="s">
        <v>22</v>
      </c>
    </row>
    <row r="1075" spans="1:2" x14ac:dyDescent="0.25">
      <c r="A1075" t="s">
        <v>659</v>
      </c>
      <c r="B1075" t="s">
        <v>23</v>
      </c>
    </row>
    <row r="1076" spans="1:2" x14ac:dyDescent="0.25">
      <c r="A1076" t="s">
        <v>659</v>
      </c>
      <c r="B1076" t="s">
        <v>21</v>
      </c>
    </row>
    <row r="1077" spans="1:2" x14ac:dyDescent="0.25">
      <c r="A1077" t="s">
        <v>797</v>
      </c>
      <c r="B1077" t="s">
        <v>22</v>
      </c>
    </row>
    <row r="1078" spans="1:2" x14ac:dyDescent="0.25">
      <c r="A1078" t="s">
        <v>797</v>
      </c>
      <c r="B1078" t="s">
        <v>916</v>
      </c>
    </row>
    <row r="1079" spans="1:2" x14ac:dyDescent="0.25">
      <c r="A1079" t="s">
        <v>797</v>
      </c>
      <c r="B1079" t="s">
        <v>698</v>
      </c>
    </row>
    <row r="1080" spans="1:2" x14ac:dyDescent="0.25">
      <c r="A1080" t="s">
        <v>797</v>
      </c>
      <c r="B1080" t="s">
        <v>18</v>
      </c>
    </row>
    <row r="1081" spans="1:2" x14ac:dyDescent="0.25">
      <c r="A1081" t="s">
        <v>797</v>
      </c>
      <c r="B1081" t="s">
        <v>21</v>
      </c>
    </row>
    <row r="1082" spans="1:2" x14ac:dyDescent="0.25">
      <c r="A1082" t="s">
        <v>797</v>
      </c>
      <c r="B1082" t="s">
        <v>1557</v>
      </c>
    </row>
    <row r="1083" spans="1:2" x14ac:dyDescent="0.25">
      <c r="A1083" t="s">
        <v>657</v>
      </c>
      <c r="B1083" t="s">
        <v>966</v>
      </c>
    </row>
    <row r="1084" spans="1:2" x14ac:dyDescent="0.25">
      <c r="A1084" t="s">
        <v>657</v>
      </c>
      <c r="B1084" t="s">
        <v>21</v>
      </c>
    </row>
    <row r="1085" spans="1:2" x14ac:dyDescent="0.25">
      <c r="A1085" t="s">
        <v>657</v>
      </c>
      <c r="B1085" t="s">
        <v>970</v>
      </c>
    </row>
    <row r="1086" spans="1:2" x14ac:dyDescent="0.25">
      <c r="A1086" t="s">
        <v>657</v>
      </c>
      <c r="B1086" t="s">
        <v>1565</v>
      </c>
    </row>
    <row r="1087" spans="1:2" x14ac:dyDescent="0.25">
      <c r="A1087" t="s">
        <v>657</v>
      </c>
      <c r="B1087" t="s">
        <v>22</v>
      </c>
    </row>
    <row r="1088" spans="1:2" x14ac:dyDescent="0.25">
      <c r="A1088" t="s">
        <v>657</v>
      </c>
      <c r="B1088" t="s">
        <v>1455</v>
      </c>
    </row>
    <row r="1089" spans="1:2" x14ac:dyDescent="0.25">
      <c r="A1089" t="s">
        <v>657</v>
      </c>
      <c r="B1089" t="s">
        <v>1452</v>
      </c>
    </row>
    <row r="1090" spans="1:2" x14ac:dyDescent="0.25">
      <c r="A1090" t="s">
        <v>657</v>
      </c>
      <c r="B1090" t="s">
        <v>1557</v>
      </c>
    </row>
    <row r="1091" spans="1:2" x14ac:dyDescent="0.25">
      <c r="A1091" t="s">
        <v>657</v>
      </c>
      <c r="B1091" t="s">
        <v>966</v>
      </c>
    </row>
    <row r="1092" spans="1:2" x14ac:dyDescent="0.25">
      <c r="A1092" t="s">
        <v>613</v>
      </c>
      <c r="B1092" t="s">
        <v>2126</v>
      </c>
    </row>
    <row r="1093" spans="1:2" x14ac:dyDescent="0.25">
      <c r="A1093" t="s">
        <v>613</v>
      </c>
      <c r="B1093" t="s">
        <v>970</v>
      </c>
    </row>
    <row r="1094" spans="1:2" x14ac:dyDescent="0.25">
      <c r="A1094" t="s">
        <v>613</v>
      </c>
      <c r="B1094" t="s">
        <v>22</v>
      </c>
    </row>
    <row r="1095" spans="1:2" x14ac:dyDescent="0.25">
      <c r="A1095" t="s">
        <v>613</v>
      </c>
      <c r="B1095" t="s">
        <v>1565</v>
      </c>
    </row>
    <row r="1096" spans="1:2" x14ac:dyDescent="0.25">
      <c r="A1096" t="s">
        <v>613</v>
      </c>
      <c r="B1096" t="s">
        <v>2129</v>
      </c>
    </row>
    <row r="1097" spans="1:2" x14ac:dyDescent="0.25">
      <c r="A1097" t="s">
        <v>613</v>
      </c>
      <c r="B1097" t="s">
        <v>1557</v>
      </c>
    </row>
    <row r="1098" spans="1:2" x14ac:dyDescent="0.25">
      <c r="A1098" t="s">
        <v>645</v>
      </c>
      <c r="B1098" t="s">
        <v>2129</v>
      </c>
    </row>
    <row r="1099" spans="1:2" x14ac:dyDescent="0.25">
      <c r="A1099" t="s">
        <v>645</v>
      </c>
      <c r="B1099" t="s">
        <v>1565</v>
      </c>
    </row>
    <row r="1100" spans="1:2" x14ac:dyDescent="0.25">
      <c r="A1100" t="s">
        <v>645</v>
      </c>
      <c r="B1100" t="s">
        <v>22</v>
      </c>
    </row>
    <row r="1101" spans="1:2" x14ac:dyDescent="0.25">
      <c r="A1101" t="s">
        <v>645</v>
      </c>
      <c r="B1101" t="s">
        <v>1557</v>
      </c>
    </row>
    <row r="1102" spans="1:2" x14ac:dyDescent="0.25">
      <c r="A1102" t="s">
        <v>645</v>
      </c>
      <c r="B1102" t="s">
        <v>970</v>
      </c>
    </row>
    <row r="1103" spans="1:2" x14ac:dyDescent="0.25">
      <c r="A1103" t="s">
        <v>645</v>
      </c>
      <c r="B1103" t="s">
        <v>2126</v>
      </c>
    </row>
    <row r="1104" spans="1:2" x14ac:dyDescent="0.25">
      <c r="A1104" t="s">
        <v>645</v>
      </c>
      <c r="B1104" t="s">
        <v>21</v>
      </c>
    </row>
    <row r="1105" spans="1:2" x14ac:dyDescent="0.25">
      <c r="A1105" t="s">
        <v>645</v>
      </c>
      <c r="B1105" t="s">
        <v>2129</v>
      </c>
    </row>
    <row r="1106" spans="1:2" x14ac:dyDescent="0.25">
      <c r="A1106" t="s">
        <v>651</v>
      </c>
      <c r="B1106" t="s">
        <v>970</v>
      </c>
    </row>
    <row r="1107" spans="1:2" x14ac:dyDescent="0.25">
      <c r="A1107" t="s">
        <v>651</v>
      </c>
      <c r="B1107" t="s">
        <v>617</v>
      </c>
    </row>
    <row r="1108" spans="1:2" x14ac:dyDescent="0.25">
      <c r="A1108" t="s">
        <v>651</v>
      </c>
      <c r="B1108" t="s">
        <v>1455</v>
      </c>
    </row>
    <row r="1109" spans="1:2" x14ac:dyDescent="0.25">
      <c r="A1109" t="s">
        <v>651</v>
      </c>
      <c r="B1109" t="s">
        <v>970</v>
      </c>
    </row>
    <row r="1110" spans="1:2" x14ac:dyDescent="0.25">
      <c r="A1110" t="s">
        <v>651</v>
      </c>
      <c r="B1110" t="s">
        <v>966</v>
      </c>
    </row>
    <row r="1111" spans="1:2" x14ac:dyDescent="0.25">
      <c r="A1111" t="s">
        <v>651</v>
      </c>
      <c r="B1111" t="s">
        <v>2126</v>
      </c>
    </row>
    <row r="1112" spans="1:2" x14ac:dyDescent="0.25">
      <c r="A1112" t="s">
        <v>651</v>
      </c>
      <c r="B1112" t="s">
        <v>1565</v>
      </c>
    </row>
    <row r="1113" spans="1:2" x14ac:dyDescent="0.25">
      <c r="A1113" t="s">
        <v>800</v>
      </c>
      <c r="B1113" t="s">
        <v>617</v>
      </c>
    </row>
    <row r="1114" spans="1:2" x14ac:dyDescent="0.25">
      <c r="A1114" t="s">
        <v>800</v>
      </c>
      <c r="B1114" t="s">
        <v>970</v>
      </c>
    </row>
    <row r="1115" spans="1:2" x14ac:dyDescent="0.25">
      <c r="A1115" t="s">
        <v>800</v>
      </c>
      <c r="B1115" t="s">
        <v>1455</v>
      </c>
    </row>
    <row r="1116" spans="1:2" x14ac:dyDescent="0.25">
      <c r="A1116" t="s">
        <v>800</v>
      </c>
      <c r="B1116" t="s">
        <v>2126</v>
      </c>
    </row>
    <row r="1117" spans="1:2" x14ac:dyDescent="0.25">
      <c r="A1117" t="s">
        <v>800</v>
      </c>
      <c r="B1117" t="s">
        <v>970</v>
      </c>
    </row>
    <row r="1118" spans="1:2" x14ac:dyDescent="0.25">
      <c r="A1118" t="s">
        <v>800</v>
      </c>
      <c r="B1118" t="s">
        <v>1565</v>
      </c>
    </row>
    <row r="1119" spans="1:2" x14ac:dyDescent="0.25">
      <c r="A1119" t="s">
        <v>804</v>
      </c>
      <c r="B1119" t="s">
        <v>2129</v>
      </c>
    </row>
    <row r="1120" spans="1:2" x14ac:dyDescent="0.25">
      <c r="A1120" t="s">
        <v>804</v>
      </c>
      <c r="B1120" t="s">
        <v>1565</v>
      </c>
    </row>
    <row r="1121" spans="1:2" x14ac:dyDescent="0.25">
      <c r="A1121" t="s">
        <v>804</v>
      </c>
      <c r="B1121" t="s">
        <v>22</v>
      </c>
    </row>
    <row r="1122" spans="1:2" x14ac:dyDescent="0.25">
      <c r="A1122" t="s">
        <v>804</v>
      </c>
      <c r="B1122" t="s">
        <v>1557</v>
      </c>
    </row>
    <row r="1123" spans="1:2" x14ac:dyDescent="0.25">
      <c r="A1123" t="s">
        <v>804</v>
      </c>
      <c r="B1123" t="s">
        <v>18</v>
      </c>
    </row>
    <row r="1124" spans="1:2" x14ac:dyDescent="0.25">
      <c r="A1124" t="s">
        <v>804</v>
      </c>
      <c r="B1124" t="s">
        <v>21</v>
      </c>
    </row>
    <row r="1125" spans="1:2" x14ac:dyDescent="0.25">
      <c r="A1125" t="s">
        <v>804</v>
      </c>
      <c r="B1125" t="s">
        <v>970</v>
      </c>
    </row>
    <row r="1126" spans="1:2" x14ac:dyDescent="0.25">
      <c r="A1126" t="s">
        <v>607</v>
      </c>
      <c r="B1126" t="s">
        <v>21</v>
      </c>
    </row>
    <row r="1127" spans="1:2" x14ac:dyDescent="0.25">
      <c r="A1127" t="s">
        <v>607</v>
      </c>
      <c r="B1127" t="s">
        <v>1455</v>
      </c>
    </row>
    <row r="1128" spans="1:2" x14ac:dyDescent="0.25">
      <c r="A1128" t="s">
        <v>607</v>
      </c>
      <c r="B1128" t="s">
        <v>1452</v>
      </c>
    </row>
    <row r="1129" spans="1:2" x14ac:dyDescent="0.25">
      <c r="A1129" t="s">
        <v>607</v>
      </c>
      <c r="B1129" t="s">
        <v>966</v>
      </c>
    </row>
    <row r="1130" spans="1:2" x14ac:dyDescent="0.25">
      <c r="A1130" t="s">
        <v>607</v>
      </c>
      <c r="B1130" t="s">
        <v>970</v>
      </c>
    </row>
    <row r="1131" spans="1:2" x14ac:dyDescent="0.25">
      <c r="A1131" t="s">
        <v>607</v>
      </c>
      <c r="B1131" t="s">
        <v>22</v>
      </c>
    </row>
    <row r="1132" spans="1:2" x14ac:dyDescent="0.25">
      <c r="A1132" t="s">
        <v>607</v>
      </c>
      <c r="B1132" t="s">
        <v>23</v>
      </c>
    </row>
    <row r="1133" spans="1:2" x14ac:dyDescent="0.25">
      <c r="A1133" t="s">
        <v>607</v>
      </c>
      <c r="B1133" t="s">
        <v>21</v>
      </c>
    </row>
    <row r="1134" spans="1:2" x14ac:dyDescent="0.25">
      <c r="A1134" t="s">
        <v>607</v>
      </c>
      <c r="B1134" t="s">
        <v>18</v>
      </c>
    </row>
    <row r="1135" spans="1:2" x14ac:dyDescent="0.25">
      <c r="A1135" t="s">
        <v>607</v>
      </c>
      <c r="B1135" t="s">
        <v>617</v>
      </c>
    </row>
    <row r="1136" spans="1:2" x14ac:dyDescent="0.25">
      <c r="A1136" t="s">
        <v>807</v>
      </c>
      <c r="B1136" t="s">
        <v>617</v>
      </c>
    </row>
    <row r="1137" spans="1:2" x14ac:dyDescent="0.25">
      <c r="A1137" t="s">
        <v>807</v>
      </c>
      <c r="B1137" t="s">
        <v>1452</v>
      </c>
    </row>
    <row r="1138" spans="1:2" x14ac:dyDescent="0.25">
      <c r="A1138" t="s">
        <v>807</v>
      </c>
      <c r="B1138" t="s">
        <v>2087</v>
      </c>
    </row>
    <row r="1139" spans="1:2" x14ac:dyDescent="0.25">
      <c r="A1139" t="s">
        <v>807</v>
      </c>
      <c r="B1139" t="s">
        <v>635</v>
      </c>
    </row>
    <row r="1140" spans="1:2" x14ac:dyDescent="0.25">
      <c r="A1140" t="s">
        <v>807</v>
      </c>
      <c r="B1140" t="s">
        <v>2012</v>
      </c>
    </row>
    <row r="1141" spans="1:2" x14ac:dyDescent="0.25">
      <c r="A1141" t="s">
        <v>807</v>
      </c>
      <c r="B1141" t="s">
        <v>617</v>
      </c>
    </row>
    <row r="1142" spans="1:2" x14ac:dyDescent="0.25">
      <c r="A1142" t="s">
        <v>810</v>
      </c>
      <c r="B1142" t="s">
        <v>1455</v>
      </c>
    </row>
    <row r="1143" spans="1:2" x14ac:dyDescent="0.25">
      <c r="A1143" t="s">
        <v>810</v>
      </c>
      <c r="B1143" t="s">
        <v>21</v>
      </c>
    </row>
    <row r="1144" spans="1:2" x14ac:dyDescent="0.25">
      <c r="A1144" t="s">
        <v>810</v>
      </c>
      <c r="B1144" t="s">
        <v>1452</v>
      </c>
    </row>
    <row r="1145" spans="1:2" x14ac:dyDescent="0.25">
      <c r="A1145" t="s">
        <v>810</v>
      </c>
      <c r="B1145" t="s">
        <v>970</v>
      </c>
    </row>
    <row r="1146" spans="1:2" x14ac:dyDescent="0.25">
      <c r="A1146" t="s">
        <v>810</v>
      </c>
      <c r="B1146" t="s">
        <v>23</v>
      </c>
    </row>
    <row r="1147" spans="1:2" x14ac:dyDescent="0.25">
      <c r="A1147" t="s">
        <v>810</v>
      </c>
      <c r="B1147" t="s">
        <v>617</v>
      </c>
    </row>
    <row r="1148" spans="1:2" x14ac:dyDescent="0.25">
      <c r="A1148" t="s">
        <v>813</v>
      </c>
      <c r="B1148" t="s">
        <v>1452</v>
      </c>
    </row>
    <row r="1149" spans="1:2" x14ac:dyDescent="0.25">
      <c r="A1149" t="s">
        <v>813</v>
      </c>
      <c r="B1149" t="s">
        <v>1455</v>
      </c>
    </row>
    <row r="1150" spans="1:2" x14ac:dyDescent="0.25">
      <c r="A1150" t="s">
        <v>813</v>
      </c>
      <c r="B1150" t="s">
        <v>617</v>
      </c>
    </row>
    <row r="1151" spans="1:2" x14ac:dyDescent="0.25">
      <c r="A1151" t="s">
        <v>813</v>
      </c>
      <c r="B1151" t="s">
        <v>23</v>
      </c>
    </row>
    <row r="1152" spans="1:2" x14ac:dyDescent="0.25">
      <c r="A1152" t="s">
        <v>813</v>
      </c>
      <c r="B1152" t="s">
        <v>950</v>
      </c>
    </row>
    <row r="1153" spans="1:2" x14ac:dyDescent="0.25">
      <c r="A1153" t="s">
        <v>813</v>
      </c>
      <c r="B1153" t="s">
        <v>2087</v>
      </c>
    </row>
    <row r="1154" spans="1:2" x14ac:dyDescent="0.25">
      <c r="A1154" t="s">
        <v>816</v>
      </c>
      <c r="B1154" t="s">
        <v>1452</v>
      </c>
    </row>
    <row r="1155" spans="1:2" x14ac:dyDescent="0.25">
      <c r="A1155" t="s">
        <v>816</v>
      </c>
      <c r="B1155" t="s">
        <v>21</v>
      </c>
    </row>
    <row r="1156" spans="1:2" x14ac:dyDescent="0.25">
      <c r="A1156" t="s">
        <v>816</v>
      </c>
      <c r="B1156" t="s">
        <v>23</v>
      </c>
    </row>
    <row r="1157" spans="1:2" x14ac:dyDescent="0.25">
      <c r="A1157" t="s">
        <v>816</v>
      </c>
      <c r="B1157" t="s">
        <v>1455</v>
      </c>
    </row>
    <row r="1158" spans="1:2" x14ac:dyDescent="0.25">
      <c r="A1158" t="s">
        <v>816</v>
      </c>
      <c r="B1158" t="s">
        <v>950</v>
      </c>
    </row>
    <row r="1159" spans="1:2" x14ac:dyDescent="0.25">
      <c r="A1159" t="s">
        <v>816</v>
      </c>
      <c r="B1159" t="s">
        <v>22</v>
      </c>
    </row>
    <row r="1160" spans="1:2" x14ac:dyDescent="0.25">
      <c r="A1160" t="s">
        <v>2301</v>
      </c>
      <c r="B1160" t="s">
        <v>2012</v>
      </c>
    </row>
    <row r="1161" spans="1:2" x14ac:dyDescent="0.25">
      <c r="A1161" t="s">
        <v>2301</v>
      </c>
      <c r="B1161" t="s">
        <v>617</v>
      </c>
    </row>
    <row r="1162" spans="1:2" x14ac:dyDescent="0.25">
      <c r="A1162" t="s">
        <v>2301</v>
      </c>
      <c r="B1162" t="s">
        <v>970</v>
      </c>
    </row>
    <row r="1163" spans="1:2" x14ac:dyDescent="0.25">
      <c r="A1163" t="s">
        <v>2301</v>
      </c>
      <c r="B1163" t="s">
        <v>2059</v>
      </c>
    </row>
    <row r="1164" spans="1:2" x14ac:dyDescent="0.25">
      <c r="A1164" t="s">
        <v>2301</v>
      </c>
      <c r="B1164" t="s">
        <v>1565</v>
      </c>
    </row>
    <row r="1165" spans="1:2" x14ac:dyDescent="0.25">
      <c r="A1165" t="s">
        <v>2301</v>
      </c>
      <c r="B1165" t="s">
        <v>2012</v>
      </c>
    </row>
    <row r="1166" spans="1:2" x14ac:dyDescent="0.25">
      <c r="A1166" t="s">
        <v>819</v>
      </c>
      <c r="B1166" t="s">
        <v>2012</v>
      </c>
    </row>
    <row r="1167" spans="1:2" x14ac:dyDescent="0.25">
      <c r="A1167" t="s">
        <v>819</v>
      </c>
      <c r="B1167" t="s">
        <v>617</v>
      </c>
    </row>
    <row r="1168" spans="1:2" x14ac:dyDescent="0.25">
      <c r="A1168" t="s">
        <v>819</v>
      </c>
      <c r="B1168" t="s">
        <v>2059</v>
      </c>
    </row>
    <row r="1169" spans="1:2" x14ac:dyDescent="0.25">
      <c r="A1169" t="s">
        <v>819</v>
      </c>
      <c r="B1169" t="s">
        <v>1565</v>
      </c>
    </row>
    <row r="1170" spans="1:2" x14ac:dyDescent="0.25">
      <c r="A1170" t="s">
        <v>819</v>
      </c>
      <c r="B1170" t="s">
        <v>2087</v>
      </c>
    </row>
    <row r="1171" spans="1:2" x14ac:dyDescent="0.25">
      <c r="A1171" t="s">
        <v>822</v>
      </c>
      <c r="B1171" t="s">
        <v>2012</v>
      </c>
    </row>
    <row r="1172" spans="1:2" x14ac:dyDescent="0.25">
      <c r="A1172" t="s">
        <v>822</v>
      </c>
      <c r="B1172" t="s">
        <v>617</v>
      </c>
    </row>
    <row r="1173" spans="1:2" x14ac:dyDescent="0.25">
      <c r="A1173" t="s">
        <v>822</v>
      </c>
      <c r="B1173" t="s">
        <v>2059</v>
      </c>
    </row>
    <row r="1174" spans="1:2" x14ac:dyDescent="0.25">
      <c r="A1174" t="s">
        <v>822</v>
      </c>
      <c r="B1174" t="s">
        <v>1565</v>
      </c>
    </row>
    <row r="1175" spans="1:2" x14ac:dyDescent="0.25">
      <c r="A1175" t="s">
        <v>822</v>
      </c>
      <c r="B1175" t="s">
        <v>2087</v>
      </c>
    </row>
    <row r="1176" spans="1:2" x14ac:dyDescent="0.25">
      <c r="A1176" t="s">
        <v>2584</v>
      </c>
      <c r="B1176" t="s">
        <v>2002</v>
      </c>
    </row>
    <row r="1177" spans="1:2" x14ac:dyDescent="0.25">
      <c r="A1177" t="s">
        <v>2584</v>
      </c>
      <c r="B1177" t="s">
        <v>2009</v>
      </c>
    </row>
    <row r="1178" spans="1:2" x14ac:dyDescent="0.25">
      <c r="A1178" t="s">
        <v>2584</v>
      </c>
      <c r="B1178" t="s">
        <v>2059</v>
      </c>
    </row>
    <row r="1179" spans="1:2" x14ac:dyDescent="0.25">
      <c r="A1179" t="s">
        <v>2584</v>
      </c>
      <c r="B1179" t="s">
        <v>617</v>
      </c>
    </row>
    <row r="1180" spans="1:2" x14ac:dyDescent="0.25">
      <c r="A1180" s="15" t="s">
        <v>2626</v>
      </c>
      <c r="B1180" s="28" t="s">
        <v>2059</v>
      </c>
    </row>
    <row r="1181" spans="1:2" x14ac:dyDescent="0.25">
      <c r="A1181" s="15" t="s">
        <v>2626</v>
      </c>
      <c r="B1181" s="13" t="s">
        <v>22</v>
      </c>
    </row>
    <row r="1182" spans="1:2" x14ac:dyDescent="0.25">
      <c r="A1182" s="15" t="s">
        <v>2626</v>
      </c>
      <c r="B1182" s="13" t="s">
        <v>617</v>
      </c>
    </row>
    <row r="1183" spans="1:2" x14ac:dyDescent="0.25">
      <c r="A1183" s="19" t="s">
        <v>544</v>
      </c>
      <c r="B1183" t="s">
        <v>954</v>
      </c>
    </row>
    <row r="1184" spans="1:2" x14ac:dyDescent="0.25">
      <c r="A1184" s="19" t="s">
        <v>544</v>
      </c>
      <c r="B1184" t="s">
        <v>903</v>
      </c>
    </row>
    <row r="1185" spans="1:2" x14ac:dyDescent="0.25">
      <c r="A1185" s="19" t="s">
        <v>544</v>
      </c>
      <c r="B1185" t="s">
        <v>2009</v>
      </c>
    </row>
    <row r="1186" spans="1:2" x14ac:dyDescent="0.25">
      <c r="A1186" s="19" t="s">
        <v>544</v>
      </c>
      <c r="B1186" t="s">
        <v>2059</v>
      </c>
    </row>
    <row r="1187" spans="1:2" x14ac:dyDescent="0.25">
      <c r="A1187" s="19" t="s">
        <v>544</v>
      </c>
      <c r="B1187" t="s">
        <v>1202</v>
      </c>
    </row>
    <row r="1188" spans="1:2" x14ac:dyDescent="0.25">
      <c r="A1188" s="19" t="s">
        <v>544</v>
      </c>
      <c r="B1188" t="s">
        <v>2012</v>
      </c>
    </row>
    <row r="1189" spans="1:2" x14ac:dyDescent="0.25">
      <c r="A1189" s="19" t="s">
        <v>544</v>
      </c>
      <c r="B1189" t="s">
        <v>1565</v>
      </c>
    </row>
    <row r="1190" spans="1:2" x14ac:dyDescent="0.25">
      <c r="A1190" s="19" t="s">
        <v>544</v>
      </c>
      <c r="B1190" t="s">
        <v>941</v>
      </c>
    </row>
    <row r="1191" spans="1:2" x14ac:dyDescent="0.25">
      <c r="A1191" s="19" t="s">
        <v>544</v>
      </c>
      <c r="B1191" t="s">
        <v>2002</v>
      </c>
    </row>
    <row r="1192" spans="1:2" x14ac:dyDescent="0.25">
      <c r="A1192" s="19" t="s">
        <v>544</v>
      </c>
      <c r="B1192" t="s">
        <v>2003</v>
      </c>
    </row>
    <row r="1193" spans="1:2" x14ac:dyDescent="0.25">
      <c r="A1193" s="19" t="s">
        <v>546</v>
      </c>
      <c r="B1193" t="s">
        <v>954</v>
      </c>
    </row>
    <row r="1194" spans="1:2" x14ac:dyDescent="0.25">
      <c r="A1194" s="19" t="s">
        <v>546</v>
      </c>
      <c r="B1194" t="s">
        <v>2002</v>
      </c>
    </row>
    <row r="1195" spans="1:2" x14ac:dyDescent="0.25">
      <c r="A1195" s="19" t="s">
        <v>546</v>
      </c>
      <c r="B1195" t="s">
        <v>2003</v>
      </c>
    </row>
    <row r="1196" spans="1:2" x14ac:dyDescent="0.25">
      <c r="A1196" s="19" t="s">
        <v>546</v>
      </c>
      <c r="B1196" t="s">
        <v>2009</v>
      </c>
    </row>
    <row r="1197" spans="1:2" x14ac:dyDescent="0.25">
      <c r="A1197" s="19" t="s">
        <v>546</v>
      </c>
      <c r="B1197" t="s">
        <v>2059</v>
      </c>
    </row>
    <row r="1198" spans="1:2" x14ac:dyDescent="0.25">
      <c r="A1198" s="19" t="s">
        <v>546</v>
      </c>
      <c r="B1198" t="s">
        <v>1202</v>
      </c>
    </row>
    <row r="1199" spans="1:2" x14ac:dyDescent="0.25">
      <c r="A1199" s="19" t="s">
        <v>546</v>
      </c>
      <c r="B1199" t="s">
        <v>2012</v>
      </c>
    </row>
    <row r="1200" spans="1:2" x14ac:dyDescent="0.25">
      <c r="A1200" s="19" t="s">
        <v>546</v>
      </c>
      <c r="B1200" t="s">
        <v>1565</v>
      </c>
    </row>
    <row r="1201" spans="1:2" x14ac:dyDescent="0.25">
      <c r="A1201" s="19" t="s">
        <v>546</v>
      </c>
      <c r="B1201" t="s">
        <v>941</v>
      </c>
    </row>
    <row r="1202" spans="1:2" x14ac:dyDescent="0.25">
      <c r="A1202" s="19" t="s">
        <v>546</v>
      </c>
      <c r="B1202" t="s">
        <v>954</v>
      </c>
    </row>
    <row r="1203" spans="1:2" x14ac:dyDescent="0.25">
      <c r="A1203" s="19" t="s">
        <v>882</v>
      </c>
      <c r="B1203" t="s">
        <v>2003</v>
      </c>
    </row>
    <row r="1204" spans="1:2" x14ac:dyDescent="0.25">
      <c r="A1204" s="19" t="s">
        <v>882</v>
      </c>
      <c r="B1204" t="s">
        <v>2002</v>
      </c>
    </row>
    <row r="1205" spans="1:2" x14ac:dyDescent="0.25">
      <c r="A1205" s="19" t="s">
        <v>882</v>
      </c>
      <c r="B1205" t="s">
        <v>1565</v>
      </c>
    </row>
    <row r="1206" spans="1:2" x14ac:dyDescent="0.25">
      <c r="A1206" s="19" t="s">
        <v>882</v>
      </c>
      <c r="B1206" t="s">
        <v>954</v>
      </c>
    </row>
    <row r="1207" spans="1:2" x14ac:dyDescent="0.25">
      <c r="A1207" s="19" t="s">
        <v>882</v>
      </c>
      <c r="B1207" t="s">
        <v>2009</v>
      </c>
    </row>
    <row r="1208" spans="1:2" x14ac:dyDescent="0.25">
      <c r="A1208" s="19" t="s">
        <v>882</v>
      </c>
      <c r="B1208" t="s">
        <v>2059</v>
      </c>
    </row>
    <row r="1209" spans="1:2" x14ac:dyDescent="0.25">
      <c r="A1209" s="19" t="s">
        <v>882</v>
      </c>
      <c r="B1209" t="s">
        <v>2002</v>
      </c>
    </row>
    <row r="1210" spans="1:2" x14ac:dyDescent="0.25">
      <c r="A1210" s="19" t="s">
        <v>882</v>
      </c>
      <c r="B1210" t="s">
        <v>2003</v>
      </c>
    </row>
    <row r="1211" spans="1:2" x14ac:dyDescent="0.25">
      <c r="A1211" s="19" t="s">
        <v>882</v>
      </c>
      <c r="B1211" t="s">
        <v>941</v>
      </c>
    </row>
    <row r="1212" spans="1:2" x14ac:dyDescent="0.25">
      <c r="A1212" t="s">
        <v>877</v>
      </c>
      <c r="B1212" t="s">
        <v>2002</v>
      </c>
    </row>
    <row r="1213" spans="1:2" x14ac:dyDescent="0.25">
      <c r="A1213" t="s">
        <v>877</v>
      </c>
      <c r="B1213" t="s">
        <v>2003</v>
      </c>
    </row>
    <row r="1214" spans="1:2" x14ac:dyDescent="0.25">
      <c r="A1214" t="s">
        <v>877</v>
      </c>
      <c r="B1214" t="s">
        <v>954</v>
      </c>
    </row>
    <row r="1215" spans="1:2" x14ac:dyDescent="0.25">
      <c r="A1215" t="s">
        <v>877</v>
      </c>
      <c r="B1215" t="s">
        <v>2009</v>
      </c>
    </row>
    <row r="1216" spans="1:2" x14ac:dyDescent="0.25">
      <c r="A1216" t="s">
        <v>877</v>
      </c>
      <c r="B1216" t="s">
        <v>2059</v>
      </c>
    </row>
    <row r="1217" spans="1:2" x14ac:dyDescent="0.25">
      <c r="A1217" t="s">
        <v>877</v>
      </c>
      <c r="B1217" t="s">
        <v>2002</v>
      </c>
    </row>
    <row r="1218" spans="1:2" x14ac:dyDescent="0.25">
      <c r="A1218" t="s">
        <v>880</v>
      </c>
      <c r="B1218" t="s">
        <v>2002</v>
      </c>
    </row>
    <row r="1219" spans="1:2" x14ac:dyDescent="0.25">
      <c r="A1219" t="s">
        <v>880</v>
      </c>
      <c r="B1219" t="s">
        <v>2003</v>
      </c>
    </row>
    <row r="1220" spans="1:2" x14ac:dyDescent="0.25">
      <c r="A1220" t="s">
        <v>880</v>
      </c>
      <c r="B1220" t="s">
        <v>954</v>
      </c>
    </row>
    <row r="1221" spans="1:2" x14ac:dyDescent="0.25">
      <c r="A1221" t="s">
        <v>880</v>
      </c>
      <c r="B1221" t="s">
        <v>2009</v>
      </c>
    </row>
    <row r="1222" spans="1:2" x14ac:dyDescent="0.25">
      <c r="A1222" t="s">
        <v>880</v>
      </c>
      <c r="B1222" t="s">
        <v>2059</v>
      </c>
    </row>
    <row r="1223" spans="1:2" x14ac:dyDescent="0.25">
      <c r="A1223" t="s">
        <v>880</v>
      </c>
      <c r="B1223" t="s">
        <v>2002</v>
      </c>
    </row>
    <row r="1224" spans="1:2" x14ac:dyDescent="0.25">
      <c r="A1224" t="s">
        <v>548</v>
      </c>
      <c r="B1224" t="s">
        <v>2003</v>
      </c>
    </row>
    <row r="1225" spans="1:2" x14ac:dyDescent="0.25">
      <c r="A1225" t="s">
        <v>548</v>
      </c>
      <c r="B1225" t="s">
        <v>2002</v>
      </c>
    </row>
    <row r="1226" spans="1:2" x14ac:dyDescent="0.25">
      <c r="A1226" t="s">
        <v>548</v>
      </c>
      <c r="B1226" t="s">
        <v>2009</v>
      </c>
    </row>
    <row r="1227" spans="1:2" x14ac:dyDescent="0.25">
      <c r="A1227" t="s">
        <v>548</v>
      </c>
      <c r="B1227" t="s">
        <v>2059</v>
      </c>
    </row>
    <row r="1228" spans="1:2" x14ac:dyDescent="0.25">
      <c r="A1228" t="s">
        <v>548</v>
      </c>
      <c r="B1228" t="s">
        <v>954</v>
      </c>
    </row>
    <row r="1229" spans="1:2" x14ac:dyDescent="0.25">
      <c r="A1229" t="s">
        <v>548</v>
      </c>
      <c r="B1229" t="s">
        <v>2003</v>
      </c>
    </row>
    <row r="1230" spans="1:2" x14ac:dyDescent="0.25">
      <c r="A1230" t="s">
        <v>885</v>
      </c>
      <c r="B1230" t="s">
        <v>2003</v>
      </c>
    </row>
    <row r="1231" spans="1:2" x14ac:dyDescent="0.25">
      <c r="A1231" t="s">
        <v>885</v>
      </c>
      <c r="B1231" t="s">
        <v>2002</v>
      </c>
    </row>
    <row r="1232" spans="1:2" x14ac:dyDescent="0.25">
      <c r="A1232" t="s">
        <v>885</v>
      </c>
      <c r="B1232" t="s">
        <v>2009</v>
      </c>
    </row>
    <row r="1233" spans="1:2" x14ac:dyDescent="0.25">
      <c r="A1233" t="s">
        <v>885</v>
      </c>
      <c r="B1233" t="s">
        <v>2059</v>
      </c>
    </row>
    <row r="1234" spans="1:2" x14ac:dyDescent="0.25">
      <c r="A1234" t="s">
        <v>885</v>
      </c>
      <c r="B1234" t="s">
        <v>954</v>
      </c>
    </row>
    <row r="1235" spans="1:2" x14ac:dyDescent="0.25">
      <c r="A1235" t="s">
        <v>885</v>
      </c>
      <c r="B1235" t="s">
        <v>2003</v>
      </c>
    </row>
    <row r="1236" spans="1:2" x14ac:dyDescent="0.25">
      <c r="A1236" t="s">
        <v>888</v>
      </c>
      <c r="B1236" t="s">
        <v>2003</v>
      </c>
    </row>
    <row r="1237" spans="1:2" x14ac:dyDescent="0.25">
      <c r="A1237" t="s">
        <v>888</v>
      </c>
      <c r="B1237" t="s">
        <v>2002</v>
      </c>
    </row>
    <row r="1238" spans="1:2" x14ac:dyDescent="0.25">
      <c r="A1238" t="s">
        <v>888</v>
      </c>
      <c r="B1238" t="s">
        <v>2009</v>
      </c>
    </row>
    <row r="1239" spans="1:2" x14ac:dyDescent="0.25">
      <c r="A1239" t="s">
        <v>888</v>
      </c>
      <c r="B1239" t="s">
        <v>2059</v>
      </c>
    </row>
    <row r="1240" spans="1:2" x14ac:dyDescent="0.25">
      <c r="A1240" t="s">
        <v>888</v>
      </c>
      <c r="B1240" t="s">
        <v>954</v>
      </c>
    </row>
    <row r="1241" spans="1:2" x14ac:dyDescent="0.25">
      <c r="A1241" t="s">
        <v>888</v>
      </c>
      <c r="B1241" t="s">
        <v>2003</v>
      </c>
    </row>
    <row r="1242" spans="1:2" x14ac:dyDescent="0.25">
      <c r="A1242" t="s">
        <v>891</v>
      </c>
      <c r="B1242" t="s">
        <v>2003</v>
      </c>
    </row>
    <row r="1243" spans="1:2" x14ac:dyDescent="0.25">
      <c r="A1243" t="s">
        <v>891</v>
      </c>
      <c r="B1243" t="s">
        <v>1025</v>
      </c>
    </row>
    <row r="1244" spans="1:2" x14ac:dyDescent="0.25">
      <c r="A1244" t="s">
        <v>891</v>
      </c>
      <c r="B1244" t="s">
        <v>2002</v>
      </c>
    </row>
    <row r="1245" spans="1:2" x14ac:dyDescent="0.25">
      <c r="A1245" t="s">
        <v>891</v>
      </c>
      <c r="B1245" t="s">
        <v>2009</v>
      </c>
    </row>
    <row r="1246" spans="1:2" x14ac:dyDescent="0.25">
      <c r="A1246" t="s">
        <v>891</v>
      </c>
      <c r="B1246" t="s">
        <v>2059</v>
      </c>
    </row>
    <row r="1247" spans="1:2" x14ac:dyDescent="0.25">
      <c r="A1247" t="s">
        <v>891</v>
      </c>
      <c r="B1247" t="s">
        <v>954</v>
      </c>
    </row>
    <row r="1248" spans="1:2" x14ac:dyDescent="0.25">
      <c r="A1248" t="s">
        <v>891</v>
      </c>
      <c r="B1248" t="s">
        <v>2003</v>
      </c>
    </row>
    <row r="1249" spans="1:2" x14ac:dyDescent="0.25">
      <c r="A1249" t="s">
        <v>2585</v>
      </c>
      <c r="B1249" t="s">
        <v>2002</v>
      </c>
    </row>
    <row r="1250" spans="1:2" x14ac:dyDescent="0.25">
      <c r="A1250" t="s">
        <v>2585</v>
      </c>
      <c r="B1250" t="s">
        <v>2003</v>
      </c>
    </row>
    <row r="1251" spans="1:2" x14ac:dyDescent="0.25">
      <c r="A1251" t="s">
        <v>2589</v>
      </c>
      <c r="B1251" t="s">
        <v>2002</v>
      </c>
    </row>
    <row r="1252" spans="1:2" x14ac:dyDescent="0.25">
      <c r="A1252" t="s">
        <v>2589</v>
      </c>
      <c r="B1252" t="s">
        <v>954</v>
      </c>
    </row>
    <row r="1253" spans="1:2" x14ac:dyDescent="0.25">
      <c r="A1253" t="s">
        <v>2589</v>
      </c>
      <c r="B1253" t="s">
        <v>2003</v>
      </c>
    </row>
    <row r="1254" spans="1:2" x14ac:dyDescent="0.25">
      <c r="A1254" t="s">
        <v>2590</v>
      </c>
      <c r="B1254" t="s">
        <v>2002</v>
      </c>
    </row>
    <row r="1255" spans="1:2" x14ac:dyDescent="0.25">
      <c r="A1255" t="s">
        <v>2590</v>
      </c>
      <c r="B1255" t="s">
        <v>1025</v>
      </c>
    </row>
    <row r="1256" spans="1:2" x14ac:dyDescent="0.25">
      <c r="A1256" t="s">
        <v>2590</v>
      </c>
      <c r="B1256" t="s">
        <v>2003</v>
      </c>
    </row>
    <row r="1257" spans="1:2" x14ac:dyDescent="0.25">
      <c r="A1257" s="15" t="s">
        <v>2658</v>
      </c>
      <c r="B1257" s="13" t="s">
        <v>2002</v>
      </c>
    </row>
    <row r="1258" spans="1:2" x14ac:dyDescent="0.25">
      <c r="A1258" s="15" t="s">
        <v>2658</v>
      </c>
      <c r="B1258" s="28" t="s">
        <v>2059</v>
      </c>
    </row>
    <row r="1259" spans="1:2" x14ac:dyDescent="0.25">
      <c r="A1259" s="15" t="s">
        <v>2658</v>
      </c>
      <c r="B1259" s="13" t="s">
        <v>2009</v>
      </c>
    </row>
    <row r="1260" spans="1:2" x14ac:dyDescent="0.25">
      <c r="A1260" s="15" t="s">
        <v>2658</v>
      </c>
      <c r="B1260" s="13" t="s">
        <v>617</v>
      </c>
    </row>
    <row r="1261" spans="1:2" x14ac:dyDescent="0.25">
      <c r="A1261" s="15" t="s">
        <v>2665</v>
      </c>
      <c r="B1261" s="13" t="s">
        <v>2002</v>
      </c>
    </row>
    <row r="1262" spans="1:2" x14ac:dyDescent="0.25">
      <c r="A1262" s="15" t="s">
        <v>2665</v>
      </c>
      <c r="B1262" s="13" t="s">
        <v>2003</v>
      </c>
    </row>
    <row r="1263" spans="1:2" x14ac:dyDescent="0.25">
      <c r="A1263" s="15" t="s">
        <v>2630</v>
      </c>
      <c r="B1263" s="13" t="s">
        <v>2002</v>
      </c>
    </row>
    <row r="1264" spans="1:2" x14ac:dyDescent="0.25">
      <c r="A1264" s="15" t="s">
        <v>2630</v>
      </c>
      <c r="B1264" s="28" t="s">
        <v>2059</v>
      </c>
    </row>
    <row r="1265" spans="1:2" x14ac:dyDescent="0.25">
      <c r="A1265" s="15" t="s">
        <v>2630</v>
      </c>
      <c r="B1265" s="13" t="s">
        <v>2009</v>
      </c>
    </row>
    <row r="1266" spans="1:2" x14ac:dyDescent="0.25">
      <c r="A1266" s="15" t="s">
        <v>2630</v>
      </c>
      <c r="B1266" s="13" t="s">
        <v>617</v>
      </c>
    </row>
    <row r="1267" spans="1:2" x14ac:dyDescent="0.25">
      <c r="A1267" s="15" t="s">
        <v>2633</v>
      </c>
      <c r="B1267" s="13" t="s">
        <v>2002</v>
      </c>
    </row>
    <row r="1268" spans="1:2" x14ac:dyDescent="0.25">
      <c r="A1268" s="15" t="s">
        <v>2633</v>
      </c>
      <c r="B1268" s="13" t="s">
        <v>2003</v>
      </c>
    </row>
    <row r="1269" spans="1:2" x14ac:dyDescent="0.25">
      <c r="A1269" s="15" t="s">
        <v>2655</v>
      </c>
      <c r="B1269" s="13" t="s">
        <v>2002</v>
      </c>
    </row>
    <row r="1270" spans="1:2" x14ac:dyDescent="0.25">
      <c r="A1270" s="15" t="s">
        <v>2655</v>
      </c>
      <c r="B1270" s="13" t="s">
        <v>2003</v>
      </c>
    </row>
    <row r="1271" spans="1:2" x14ac:dyDescent="0.25">
      <c r="A1271" s="15" t="s">
        <v>2646</v>
      </c>
      <c r="B1271" s="13" t="s">
        <v>2002</v>
      </c>
    </row>
    <row r="1272" spans="1:2" x14ac:dyDescent="0.25">
      <c r="A1272" s="15" t="s">
        <v>2646</v>
      </c>
      <c r="B1272" s="28" t="s">
        <v>2059</v>
      </c>
    </row>
    <row r="1273" spans="1:2" x14ac:dyDescent="0.25">
      <c r="A1273" s="15" t="s">
        <v>2646</v>
      </c>
      <c r="B1273" s="13" t="s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474D-B3E1-470C-AD09-7548288EA277}">
  <dimension ref="A1:G1186"/>
  <sheetViews>
    <sheetView tabSelected="1" topLeftCell="A346" zoomScaleNormal="100" workbookViewId="0">
      <selection activeCell="B355" sqref="B355"/>
    </sheetView>
  </sheetViews>
  <sheetFormatPr defaultRowHeight="15" x14ac:dyDescent="0.25"/>
  <cols>
    <col min="1" max="1" width="13.85546875" bestFit="1" customWidth="1"/>
    <col min="2" max="2" width="30.5703125" customWidth="1"/>
    <col min="3" max="3" width="23" customWidth="1"/>
    <col min="4" max="4" width="7.42578125" customWidth="1"/>
    <col min="5" max="5" width="96.42578125" customWidth="1"/>
    <col min="6" max="6" width="20.42578125" customWidth="1"/>
    <col min="7" max="7" width="87.85546875" bestFit="1" customWidth="1"/>
  </cols>
  <sheetData>
    <row r="1" spans="1:7" x14ac:dyDescent="0.25">
      <c r="A1" t="s">
        <v>2339</v>
      </c>
      <c r="B1" s="17" t="s">
        <v>740</v>
      </c>
      <c r="C1" s="17" t="s">
        <v>894</v>
      </c>
      <c r="D1" s="17" t="s">
        <v>895</v>
      </c>
      <c r="E1" s="17" t="s">
        <v>896</v>
      </c>
      <c r="F1" s="17" t="s">
        <v>2773</v>
      </c>
      <c r="G1" s="17" t="s">
        <v>897</v>
      </c>
    </row>
    <row r="2" spans="1:7" x14ac:dyDescent="0.25">
      <c r="A2" s="21" t="s">
        <v>2361</v>
      </c>
      <c r="B2" s="19" t="s">
        <v>504</v>
      </c>
      <c r="C2" t="s">
        <v>899</v>
      </c>
      <c r="D2">
        <v>58</v>
      </c>
      <c r="E2" t="s">
        <v>900</v>
      </c>
      <c r="F2" t="s">
        <v>2774</v>
      </c>
      <c r="G2" t="s">
        <v>2775</v>
      </c>
    </row>
    <row r="3" spans="1:7" x14ac:dyDescent="0.25">
      <c r="A3" s="21" t="s">
        <v>2361</v>
      </c>
      <c r="B3" s="19" t="s">
        <v>504</v>
      </c>
      <c r="C3" t="s">
        <v>903</v>
      </c>
      <c r="D3">
        <v>38</v>
      </c>
      <c r="E3" t="s">
        <v>900</v>
      </c>
      <c r="F3" t="s">
        <v>2774</v>
      </c>
      <c r="G3" t="s">
        <v>2775</v>
      </c>
    </row>
    <row r="4" spans="1:7" x14ac:dyDescent="0.25">
      <c r="A4" s="21" t="s">
        <v>2361</v>
      </c>
      <c r="B4" s="19" t="s">
        <v>504</v>
      </c>
      <c r="C4" t="s">
        <v>905</v>
      </c>
      <c r="D4">
        <v>4</v>
      </c>
      <c r="E4" t="s">
        <v>900</v>
      </c>
      <c r="F4" t="s">
        <v>2774</v>
      </c>
      <c r="G4" t="s">
        <v>2775</v>
      </c>
    </row>
    <row r="5" spans="1:7" x14ac:dyDescent="0.25">
      <c r="A5" s="21" t="s">
        <v>2361</v>
      </c>
      <c r="B5" s="19" t="s">
        <v>524</v>
      </c>
      <c r="C5" t="s">
        <v>899</v>
      </c>
      <c r="D5">
        <v>56</v>
      </c>
      <c r="E5" t="s">
        <v>907</v>
      </c>
      <c r="F5" t="s">
        <v>2774</v>
      </c>
      <c r="G5" t="s">
        <v>2775</v>
      </c>
    </row>
    <row r="6" spans="1:7" x14ac:dyDescent="0.25">
      <c r="A6" s="21" t="s">
        <v>2361</v>
      </c>
      <c r="B6" s="19" t="s">
        <v>524</v>
      </c>
      <c r="C6" t="s">
        <v>903</v>
      </c>
      <c r="D6">
        <v>29</v>
      </c>
      <c r="E6" t="s">
        <v>907</v>
      </c>
      <c r="F6" t="s">
        <v>2774</v>
      </c>
      <c r="G6" t="s">
        <v>2775</v>
      </c>
    </row>
    <row r="7" spans="1:7" x14ac:dyDescent="0.25">
      <c r="A7" s="21" t="s">
        <v>2361</v>
      </c>
      <c r="B7" s="19" t="s">
        <v>524</v>
      </c>
      <c r="C7" t="s">
        <v>23</v>
      </c>
      <c r="D7">
        <v>3</v>
      </c>
      <c r="E7" t="s">
        <v>910</v>
      </c>
      <c r="F7" t="s">
        <v>2776</v>
      </c>
      <c r="G7" t="s">
        <v>2777</v>
      </c>
    </row>
    <row r="8" spans="1:7" x14ac:dyDescent="0.25">
      <c r="A8" s="21" t="s">
        <v>2361</v>
      </c>
      <c r="B8" s="19" t="s">
        <v>524</v>
      </c>
      <c r="C8" t="s">
        <v>18</v>
      </c>
      <c r="D8">
        <v>5</v>
      </c>
      <c r="E8" t="s">
        <v>1016</v>
      </c>
      <c r="F8" t="s">
        <v>2776</v>
      </c>
      <c r="G8" t="s">
        <v>2777</v>
      </c>
    </row>
    <row r="9" spans="1:7" x14ac:dyDescent="0.25">
      <c r="A9" s="21" t="s">
        <v>2361</v>
      </c>
      <c r="B9" s="19" t="s">
        <v>524</v>
      </c>
      <c r="C9" t="s">
        <v>21</v>
      </c>
      <c r="D9">
        <v>2</v>
      </c>
      <c r="E9" t="s">
        <v>914</v>
      </c>
      <c r="F9" t="s">
        <v>2776</v>
      </c>
      <c r="G9" t="s">
        <v>2777</v>
      </c>
    </row>
    <row r="10" spans="1:7" x14ac:dyDescent="0.25">
      <c r="A10" s="21" t="s">
        <v>2361</v>
      </c>
      <c r="B10" s="19" t="s">
        <v>524</v>
      </c>
      <c r="C10" t="s">
        <v>916</v>
      </c>
      <c r="D10">
        <v>2</v>
      </c>
      <c r="E10" t="s">
        <v>1017</v>
      </c>
      <c r="F10" t="s">
        <v>2778</v>
      </c>
      <c r="G10" t="s">
        <v>2779</v>
      </c>
    </row>
    <row r="11" spans="1:7" x14ac:dyDescent="0.25">
      <c r="A11" s="21" t="s">
        <v>2361</v>
      </c>
      <c r="B11" s="19" t="s">
        <v>524</v>
      </c>
      <c r="C11" t="s">
        <v>905</v>
      </c>
      <c r="D11">
        <v>3</v>
      </c>
      <c r="E11" t="s">
        <v>1083</v>
      </c>
      <c r="F11" t="s">
        <v>2774</v>
      </c>
      <c r="G11" t="s">
        <v>2775</v>
      </c>
    </row>
    <row r="12" spans="1:7" x14ac:dyDescent="0.25">
      <c r="A12" s="21" t="s">
        <v>2361</v>
      </c>
      <c r="B12" s="19" t="s">
        <v>536</v>
      </c>
      <c r="C12" t="s">
        <v>899</v>
      </c>
      <c r="D12">
        <v>48</v>
      </c>
      <c r="E12" t="s">
        <v>1020</v>
      </c>
      <c r="F12" t="s">
        <v>2774</v>
      </c>
      <c r="G12" t="s">
        <v>2775</v>
      </c>
    </row>
    <row r="13" spans="1:7" x14ac:dyDescent="0.25">
      <c r="A13" s="21" t="s">
        <v>2361</v>
      </c>
      <c r="B13" s="19" t="s">
        <v>536</v>
      </c>
      <c r="C13" t="s">
        <v>903</v>
      </c>
      <c r="D13">
        <v>24</v>
      </c>
      <c r="E13" t="s">
        <v>1020</v>
      </c>
      <c r="F13" t="s">
        <v>2774</v>
      </c>
      <c r="G13" t="s">
        <v>2775</v>
      </c>
    </row>
    <row r="14" spans="1:7" x14ac:dyDescent="0.25">
      <c r="A14" s="21" t="s">
        <v>2361</v>
      </c>
      <c r="B14" s="19" t="s">
        <v>536</v>
      </c>
      <c r="C14" t="s">
        <v>908</v>
      </c>
      <c r="D14">
        <v>8</v>
      </c>
      <c r="E14" t="s">
        <v>920</v>
      </c>
      <c r="F14" t="s">
        <v>2780</v>
      </c>
      <c r="G14" t="s">
        <v>2781</v>
      </c>
    </row>
    <row r="15" spans="1:7" x14ac:dyDescent="0.25">
      <c r="A15" s="21" t="s">
        <v>2361</v>
      </c>
      <c r="B15" s="19" t="s">
        <v>536</v>
      </c>
      <c r="C15" t="s">
        <v>923</v>
      </c>
      <c r="D15">
        <v>7</v>
      </c>
      <c r="E15" t="s">
        <v>924</v>
      </c>
      <c r="F15" t="s">
        <v>2778</v>
      </c>
      <c r="G15" t="s">
        <v>2779</v>
      </c>
    </row>
    <row r="16" spans="1:7" x14ac:dyDescent="0.25">
      <c r="A16" s="21" t="s">
        <v>2361</v>
      </c>
      <c r="B16" s="19" t="s">
        <v>536</v>
      </c>
      <c r="C16" t="s">
        <v>18</v>
      </c>
      <c r="D16">
        <v>5</v>
      </c>
      <c r="E16" t="s">
        <v>927</v>
      </c>
      <c r="F16" t="s">
        <v>2778</v>
      </c>
      <c r="G16" t="s">
        <v>2779</v>
      </c>
    </row>
    <row r="17" spans="1:7" x14ac:dyDescent="0.25">
      <c r="A17" s="21" t="s">
        <v>2361</v>
      </c>
      <c r="B17" s="19" t="s">
        <v>536</v>
      </c>
      <c r="C17" t="s">
        <v>23</v>
      </c>
      <c r="D17">
        <v>3</v>
      </c>
      <c r="E17" t="s">
        <v>929</v>
      </c>
      <c r="F17" t="s">
        <v>2778</v>
      </c>
      <c r="G17" t="s">
        <v>2779</v>
      </c>
    </row>
    <row r="18" spans="1:7" x14ac:dyDescent="0.25">
      <c r="A18" s="21" t="s">
        <v>2361</v>
      </c>
      <c r="B18" s="19" t="s">
        <v>536</v>
      </c>
      <c r="C18" t="s">
        <v>916</v>
      </c>
      <c r="D18">
        <v>3</v>
      </c>
      <c r="E18" t="s">
        <v>1017</v>
      </c>
      <c r="F18" t="s">
        <v>2778</v>
      </c>
      <c r="G18" t="s">
        <v>2779</v>
      </c>
    </row>
    <row r="19" spans="1:7" x14ac:dyDescent="0.25">
      <c r="A19" s="21" t="s">
        <v>2361</v>
      </c>
      <c r="B19" s="19" t="s">
        <v>536</v>
      </c>
      <c r="C19" t="s">
        <v>905</v>
      </c>
      <c r="D19">
        <v>2</v>
      </c>
      <c r="E19" t="s">
        <v>932</v>
      </c>
      <c r="F19" t="s">
        <v>2774</v>
      </c>
      <c r="G19" t="s">
        <v>2775</v>
      </c>
    </row>
    <row r="20" spans="1:7" x14ac:dyDescent="0.25">
      <c r="A20" s="21" t="s">
        <v>2361</v>
      </c>
      <c r="B20" s="19" t="s">
        <v>484</v>
      </c>
      <c r="C20" t="s">
        <v>899</v>
      </c>
      <c r="D20">
        <v>46</v>
      </c>
      <c r="E20" t="s">
        <v>934</v>
      </c>
      <c r="F20" t="s">
        <v>2774</v>
      </c>
      <c r="G20" t="s">
        <v>2775</v>
      </c>
    </row>
    <row r="21" spans="1:7" x14ac:dyDescent="0.25">
      <c r="A21" s="21" t="s">
        <v>2361</v>
      </c>
      <c r="B21" s="19" t="s">
        <v>484</v>
      </c>
      <c r="C21" t="s">
        <v>903</v>
      </c>
      <c r="D21">
        <v>36</v>
      </c>
      <c r="E21" t="s">
        <v>934</v>
      </c>
      <c r="F21" t="s">
        <v>2774</v>
      </c>
      <c r="G21" t="s">
        <v>2775</v>
      </c>
    </row>
    <row r="22" spans="1:7" x14ac:dyDescent="0.25">
      <c r="A22" s="21" t="s">
        <v>2361</v>
      </c>
      <c r="B22" s="19" t="s">
        <v>484</v>
      </c>
      <c r="C22" t="s">
        <v>23</v>
      </c>
      <c r="D22">
        <v>5</v>
      </c>
      <c r="E22" t="s">
        <v>936</v>
      </c>
      <c r="F22" t="s">
        <v>2778</v>
      </c>
      <c r="G22" t="s">
        <v>2779</v>
      </c>
    </row>
    <row r="23" spans="1:7" x14ac:dyDescent="0.25">
      <c r="A23" s="21" t="s">
        <v>2361</v>
      </c>
      <c r="B23" s="19" t="s">
        <v>484</v>
      </c>
      <c r="C23" t="s">
        <v>18</v>
      </c>
      <c r="D23">
        <v>3</v>
      </c>
      <c r="E23" t="s">
        <v>938</v>
      </c>
      <c r="F23" t="s">
        <v>2776</v>
      </c>
      <c r="G23" t="s">
        <v>2777</v>
      </c>
    </row>
    <row r="24" spans="1:7" x14ac:dyDescent="0.25">
      <c r="A24" s="21" t="s">
        <v>2361</v>
      </c>
      <c r="B24" s="19" t="s">
        <v>484</v>
      </c>
      <c r="C24" t="s">
        <v>916</v>
      </c>
      <c r="D24">
        <v>1</v>
      </c>
      <c r="E24" t="s">
        <v>1018</v>
      </c>
      <c r="F24" t="s">
        <v>2778</v>
      </c>
      <c r="G24" t="s">
        <v>2779</v>
      </c>
    </row>
    <row r="25" spans="1:7" x14ac:dyDescent="0.25">
      <c r="A25" s="21" t="s">
        <v>2361</v>
      </c>
      <c r="B25" s="19" t="s">
        <v>484</v>
      </c>
      <c r="C25" t="s">
        <v>941</v>
      </c>
      <c r="D25">
        <v>3</v>
      </c>
      <c r="E25" t="s">
        <v>2725</v>
      </c>
      <c r="F25" t="s">
        <v>2778</v>
      </c>
      <c r="G25" t="s">
        <v>2779</v>
      </c>
    </row>
    <row r="26" spans="1:7" x14ac:dyDescent="0.25">
      <c r="A26" s="21" t="s">
        <v>2361</v>
      </c>
      <c r="B26" s="19" t="s">
        <v>484</v>
      </c>
      <c r="C26" t="s">
        <v>923</v>
      </c>
      <c r="D26">
        <v>4</v>
      </c>
      <c r="E26" t="s">
        <v>943</v>
      </c>
      <c r="F26" t="s">
        <v>2778</v>
      </c>
      <c r="G26" t="s">
        <v>2779</v>
      </c>
    </row>
    <row r="27" spans="1:7" x14ac:dyDescent="0.25">
      <c r="A27" s="21" t="s">
        <v>2361</v>
      </c>
      <c r="B27" s="19" t="s">
        <v>484</v>
      </c>
      <c r="C27" t="s">
        <v>905</v>
      </c>
      <c r="D27">
        <v>2</v>
      </c>
      <c r="E27" t="s">
        <v>945</v>
      </c>
      <c r="F27" t="s">
        <v>2774</v>
      </c>
      <c r="G27" t="s">
        <v>2775</v>
      </c>
    </row>
    <row r="28" spans="1:7" x14ac:dyDescent="0.25">
      <c r="A28" s="21" t="s">
        <v>2361</v>
      </c>
      <c r="B28" s="19" t="s">
        <v>490</v>
      </c>
      <c r="C28" t="s">
        <v>908</v>
      </c>
      <c r="D28">
        <v>60</v>
      </c>
      <c r="E28" t="s">
        <v>2477</v>
      </c>
      <c r="F28" t="s">
        <v>2774</v>
      </c>
      <c r="G28" t="s">
        <v>2775</v>
      </c>
    </row>
    <row r="29" spans="1:7" x14ac:dyDescent="0.25">
      <c r="A29" s="21" t="s">
        <v>2361</v>
      </c>
      <c r="B29" s="19" t="s">
        <v>490</v>
      </c>
      <c r="C29" t="s">
        <v>903</v>
      </c>
      <c r="D29">
        <v>22</v>
      </c>
      <c r="E29" t="s">
        <v>2477</v>
      </c>
      <c r="F29" t="s">
        <v>2774</v>
      </c>
      <c r="G29" t="s">
        <v>2775</v>
      </c>
    </row>
    <row r="30" spans="1:7" x14ac:dyDescent="0.25">
      <c r="A30" s="21" t="s">
        <v>2361</v>
      </c>
      <c r="B30" s="19" t="s">
        <v>490</v>
      </c>
      <c r="C30" t="s">
        <v>899</v>
      </c>
      <c r="D30">
        <v>12</v>
      </c>
      <c r="E30" t="s">
        <v>1022</v>
      </c>
      <c r="F30" t="s">
        <v>2780</v>
      </c>
      <c r="G30" t="s">
        <v>2781</v>
      </c>
    </row>
    <row r="31" spans="1:7" x14ac:dyDescent="0.25">
      <c r="A31" s="21" t="s">
        <v>2361</v>
      </c>
      <c r="B31" s="19" t="s">
        <v>490</v>
      </c>
      <c r="C31" t="s">
        <v>950</v>
      </c>
      <c r="D31">
        <v>4</v>
      </c>
      <c r="E31" t="s">
        <v>951</v>
      </c>
      <c r="F31" t="s">
        <v>2780</v>
      </c>
      <c r="G31" t="s">
        <v>2781</v>
      </c>
    </row>
    <row r="32" spans="1:7" x14ac:dyDescent="0.25">
      <c r="A32" s="21" t="s">
        <v>2361</v>
      </c>
      <c r="B32" s="19" t="s">
        <v>490</v>
      </c>
      <c r="C32" t="s">
        <v>916</v>
      </c>
      <c r="D32">
        <v>2</v>
      </c>
      <c r="E32" t="s">
        <v>1018</v>
      </c>
      <c r="F32" t="s">
        <v>2776</v>
      </c>
      <c r="G32" t="s">
        <v>2777</v>
      </c>
    </row>
    <row r="33" spans="1:7" x14ac:dyDescent="0.25">
      <c r="A33" s="21" t="s">
        <v>2361</v>
      </c>
      <c r="B33" s="19" t="s">
        <v>953</v>
      </c>
      <c r="C33" t="s">
        <v>954</v>
      </c>
      <c r="D33">
        <v>62</v>
      </c>
      <c r="E33" t="s">
        <v>955</v>
      </c>
      <c r="F33" t="s">
        <v>2774</v>
      </c>
      <c r="G33" t="s">
        <v>2775</v>
      </c>
    </row>
    <row r="34" spans="1:7" x14ac:dyDescent="0.25">
      <c r="A34" s="21" t="s">
        <v>2361</v>
      </c>
      <c r="B34" s="19" t="s">
        <v>953</v>
      </c>
      <c r="C34" t="s">
        <v>903</v>
      </c>
      <c r="D34">
        <v>7</v>
      </c>
      <c r="E34" t="s">
        <v>957</v>
      </c>
      <c r="F34" t="s">
        <v>2774</v>
      </c>
      <c r="G34" t="s">
        <v>2775</v>
      </c>
    </row>
    <row r="35" spans="1:7" x14ac:dyDescent="0.25">
      <c r="A35" s="21" t="s">
        <v>2361</v>
      </c>
      <c r="B35" s="19" t="s">
        <v>953</v>
      </c>
      <c r="C35" t="s">
        <v>941</v>
      </c>
      <c r="D35">
        <v>10</v>
      </c>
      <c r="E35" t="s">
        <v>2726</v>
      </c>
      <c r="F35" t="s">
        <v>2778</v>
      </c>
      <c r="G35" t="s">
        <v>2779</v>
      </c>
    </row>
    <row r="36" spans="1:7" x14ac:dyDescent="0.25">
      <c r="A36" s="21" t="s">
        <v>2361</v>
      </c>
      <c r="B36" s="19" t="s">
        <v>953</v>
      </c>
      <c r="C36" t="s">
        <v>960</v>
      </c>
      <c r="D36">
        <v>8</v>
      </c>
      <c r="E36" t="s">
        <v>1024</v>
      </c>
      <c r="F36" t="s">
        <v>2778</v>
      </c>
      <c r="G36" t="s">
        <v>2779</v>
      </c>
    </row>
    <row r="37" spans="1:7" x14ac:dyDescent="0.25">
      <c r="A37" s="21" t="s">
        <v>2361</v>
      </c>
      <c r="B37" s="19" t="s">
        <v>953</v>
      </c>
      <c r="C37" t="s">
        <v>2374</v>
      </c>
      <c r="D37">
        <v>3</v>
      </c>
      <c r="E37" t="s">
        <v>962</v>
      </c>
      <c r="F37" t="s">
        <v>2776</v>
      </c>
      <c r="G37" t="s">
        <v>2777</v>
      </c>
    </row>
    <row r="38" spans="1:7" x14ac:dyDescent="0.25">
      <c r="A38" s="21" t="s">
        <v>2361</v>
      </c>
      <c r="B38" s="19" t="s">
        <v>953</v>
      </c>
      <c r="C38" t="s">
        <v>23</v>
      </c>
      <c r="D38">
        <v>2</v>
      </c>
      <c r="E38" t="s">
        <v>20</v>
      </c>
      <c r="F38" t="s">
        <v>2776</v>
      </c>
      <c r="G38" t="s">
        <v>2777</v>
      </c>
    </row>
    <row r="39" spans="1:7" x14ac:dyDescent="0.25">
      <c r="A39" s="21" t="s">
        <v>2361</v>
      </c>
      <c r="B39" s="19" t="s">
        <v>953</v>
      </c>
      <c r="C39" t="s">
        <v>966</v>
      </c>
      <c r="D39">
        <v>2</v>
      </c>
      <c r="E39" t="s">
        <v>967</v>
      </c>
      <c r="F39" t="s">
        <v>2776</v>
      </c>
      <c r="G39" t="s">
        <v>2777</v>
      </c>
    </row>
    <row r="40" spans="1:7" x14ac:dyDescent="0.25">
      <c r="A40" s="21" t="s">
        <v>2361</v>
      </c>
      <c r="B40" s="19" t="s">
        <v>953</v>
      </c>
      <c r="C40" t="s">
        <v>950</v>
      </c>
      <c r="D40">
        <v>2</v>
      </c>
      <c r="E40" t="s">
        <v>971</v>
      </c>
      <c r="F40" t="s">
        <v>2776</v>
      </c>
      <c r="G40" t="s">
        <v>2777</v>
      </c>
    </row>
    <row r="41" spans="1:7" x14ac:dyDescent="0.25">
      <c r="A41" s="21" t="s">
        <v>2361</v>
      </c>
      <c r="B41" s="19" t="s">
        <v>953</v>
      </c>
      <c r="C41" t="s">
        <v>905</v>
      </c>
      <c r="D41">
        <v>4</v>
      </c>
      <c r="E41" t="s">
        <v>973</v>
      </c>
      <c r="F41" t="s">
        <v>2774</v>
      </c>
      <c r="G41" t="s">
        <v>2775</v>
      </c>
    </row>
    <row r="42" spans="1:7" x14ac:dyDescent="0.25">
      <c r="A42" s="21" t="s">
        <v>2361</v>
      </c>
      <c r="B42" s="19" t="s">
        <v>975</v>
      </c>
      <c r="C42" t="s">
        <v>954</v>
      </c>
      <c r="D42">
        <v>67</v>
      </c>
      <c r="E42" t="s">
        <v>976</v>
      </c>
      <c r="F42" t="s">
        <v>2774</v>
      </c>
      <c r="G42" t="s">
        <v>2775</v>
      </c>
    </row>
    <row r="43" spans="1:7" x14ac:dyDescent="0.25">
      <c r="A43" s="21" t="s">
        <v>2361</v>
      </c>
      <c r="B43" s="19" t="s">
        <v>975</v>
      </c>
      <c r="C43" t="s">
        <v>903</v>
      </c>
      <c r="D43">
        <v>6</v>
      </c>
      <c r="E43" t="s">
        <v>977</v>
      </c>
      <c r="F43" t="s">
        <v>2774</v>
      </c>
      <c r="G43" t="s">
        <v>2775</v>
      </c>
    </row>
    <row r="44" spans="1:7" x14ac:dyDescent="0.25">
      <c r="A44" s="21" t="s">
        <v>2361</v>
      </c>
      <c r="B44" s="19" t="s">
        <v>975</v>
      </c>
      <c r="C44" t="s">
        <v>941</v>
      </c>
      <c r="D44">
        <v>5</v>
      </c>
      <c r="E44" t="s">
        <v>2727</v>
      </c>
      <c r="F44" t="s">
        <v>2778</v>
      </c>
      <c r="G44" t="s">
        <v>2779</v>
      </c>
    </row>
    <row r="45" spans="1:7" x14ac:dyDescent="0.25">
      <c r="A45" s="21" t="s">
        <v>2361</v>
      </c>
      <c r="B45" s="19" t="s">
        <v>975</v>
      </c>
      <c r="C45" t="s">
        <v>960</v>
      </c>
      <c r="D45">
        <v>3</v>
      </c>
      <c r="E45" t="s">
        <v>2481</v>
      </c>
      <c r="F45" t="s">
        <v>2778</v>
      </c>
      <c r="G45" t="s">
        <v>2779</v>
      </c>
    </row>
    <row r="46" spans="1:7" x14ac:dyDescent="0.25">
      <c r="A46" s="21" t="s">
        <v>2361</v>
      </c>
      <c r="B46" s="19" t="s">
        <v>975</v>
      </c>
      <c r="C46" t="s">
        <v>966</v>
      </c>
      <c r="D46">
        <v>2</v>
      </c>
      <c r="E46" t="s">
        <v>967</v>
      </c>
      <c r="F46" t="s">
        <v>2776</v>
      </c>
      <c r="G46" t="s">
        <v>2777</v>
      </c>
    </row>
    <row r="47" spans="1:7" x14ac:dyDescent="0.25">
      <c r="A47" s="21" t="s">
        <v>2361</v>
      </c>
      <c r="B47" s="19" t="s">
        <v>975</v>
      </c>
      <c r="C47" t="s">
        <v>18</v>
      </c>
      <c r="D47">
        <v>2</v>
      </c>
      <c r="E47" t="s">
        <v>983</v>
      </c>
      <c r="F47" t="s">
        <v>2776</v>
      </c>
      <c r="G47" t="s">
        <v>2777</v>
      </c>
    </row>
    <row r="48" spans="1:7" x14ac:dyDescent="0.25">
      <c r="A48" s="21" t="s">
        <v>2361</v>
      </c>
      <c r="B48" s="19" t="s">
        <v>975</v>
      </c>
      <c r="C48" t="s">
        <v>950</v>
      </c>
      <c r="D48">
        <v>2</v>
      </c>
      <c r="E48" t="s">
        <v>984</v>
      </c>
      <c r="F48" t="s">
        <v>2776</v>
      </c>
      <c r="G48" t="s">
        <v>2777</v>
      </c>
    </row>
    <row r="49" spans="1:7" x14ac:dyDescent="0.25">
      <c r="A49" s="21" t="s">
        <v>2361</v>
      </c>
      <c r="B49" s="19" t="s">
        <v>975</v>
      </c>
      <c r="C49" t="s">
        <v>905</v>
      </c>
      <c r="D49">
        <v>13</v>
      </c>
      <c r="E49" t="s">
        <v>985</v>
      </c>
      <c r="F49" t="s">
        <v>2774</v>
      </c>
      <c r="G49" t="s">
        <v>2775</v>
      </c>
    </row>
    <row r="50" spans="1:7" x14ac:dyDescent="0.25">
      <c r="A50" s="21" t="s">
        <v>2361</v>
      </c>
      <c r="B50" s="19" t="s">
        <v>987</v>
      </c>
      <c r="C50" t="s">
        <v>954</v>
      </c>
      <c r="D50">
        <v>76</v>
      </c>
      <c r="E50" t="s">
        <v>988</v>
      </c>
      <c r="F50" t="s">
        <v>2774</v>
      </c>
      <c r="G50" t="s">
        <v>2775</v>
      </c>
    </row>
    <row r="51" spans="1:7" x14ac:dyDescent="0.25">
      <c r="A51" s="21" t="s">
        <v>2361</v>
      </c>
      <c r="B51" s="19" t="s">
        <v>987</v>
      </c>
      <c r="C51" t="s">
        <v>903</v>
      </c>
      <c r="D51">
        <v>6</v>
      </c>
      <c r="E51" t="s">
        <v>989</v>
      </c>
      <c r="F51" t="s">
        <v>2774</v>
      </c>
      <c r="G51" t="s">
        <v>2775</v>
      </c>
    </row>
    <row r="52" spans="1:7" x14ac:dyDescent="0.25">
      <c r="A52" s="21" t="s">
        <v>2361</v>
      </c>
      <c r="B52" s="19" t="s">
        <v>987</v>
      </c>
      <c r="C52" t="s">
        <v>941</v>
      </c>
      <c r="D52">
        <v>6</v>
      </c>
      <c r="E52" t="s">
        <v>2728</v>
      </c>
      <c r="F52" t="s">
        <v>2778</v>
      </c>
      <c r="G52" t="s">
        <v>2779</v>
      </c>
    </row>
    <row r="53" spans="1:7" x14ac:dyDescent="0.25">
      <c r="A53" s="21" t="s">
        <v>2361</v>
      </c>
      <c r="B53" s="19" t="s">
        <v>987</v>
      </c>
      <c r="C53" t="s">
        <v>960</v>
      </c>
      <c r="D53">
        <v>3</v>
      </c>
      <c r="E53" t="s">
        <v>2481</v>
      </c>
      <c r="F53" t="s">
        <v>2778</v>
      </c>
      <c r="G53" t="s">
        <v>2779</v>
      </c>
    </row>
    <row r="54" spans="1:7" x14ac:dyDescent="0.25">
      <c r="A54" s="21" t="s">
        <v>2361</v>
      </c>
      <c r="B54" s="19" t="s">
        <v>987</v>
      </c>
      <c r="C54" t="s">
        <v>966</v>
      </c>
      <c r="D54">
        <v>2</v>
      </c>
      <c r="E54" t="s">
        <v>992</v>
      </c>
      <c r="F54" t="s">
        <v>2776</v>
      </c>
      <c r="G54" t="s">
        <v>2777</v>
      </c>
    </row>
    <row r="55" spans="1:7" x14ac:dyDescent="0.25">
      <c r="A55" s="21" t="s">
        <v>2361</v>
      </c>
      <c r="B55" s="19" t="s">
        <v>987</v>
      </c>
      <c r="C55" t="s">
        <v>18</v>
      </c>
      <c r="D55">
        <v>2</v>
      </c>
      <c r="E55" t="s">
        <v>994</v>
      </c>
      <c r="F55" t="s">
        <v>2776</v>
      </c>
      <c r="G55" t="s">
        <v>2777</v>
      </c>
    </row>
    <row r="56" spans="1:7" x14ac:dyDescent="0.25">
      <c r="A56" s="21" t="s">
        <v>2361</v>
      </c>
      <c r="B56" s="19" t="s">
        <v>987</v>
      </c>
      <c r="C56" t="s">
        <v>905</v>
      </c>
      <c r="D56">
        <v>5</v>
      </c>
      <c r="E56" t="s">
        <v>995</v>
      </c>
      <c r="F56" t="s">
        <v>2774</v>
      </c>
      <c r="G56" t="s">
        <v>2775</v>
      </c>
    </row>
    <row r="57" spans="1:7" x14ac:dyDescent="0.25">
      <c r="A57" s="21" t="s">
        <v>2361</v>
      </c>
      <c r="B57" s="19" t="s">
        <v>997</v>
      </c>
      <c r="C57" t="s">
        <v>954</v>
      </c>
      <c r="D57">
        <v>75</v>
      </c>
      <c r="E57" t="s">
        <v>998</v>
      </c>
      <c r="F57" t="s">
        <v>2774</v>
      </c>
      <c r="G57" t="s">
        <v>2775</v>
      </c>
    </row>
    <row r="58" spans="1:7" x14ac:dyDescent="0.25">
      <c r="A58" s="21" t="s">
        <v>2361</v>
      </c>
      <c r="B58" s="19" t="s">
        <v>997</v>
      </c>
      <c r="C58" t="s">
        <v>903</v>
      </c>
      <c r="D58">
        <v>8</v>
      </c>
      <c r="E58" t="s">
        <v>999</v>
      </c>
      <c r="F58" t="s">
        <v>2774</v>
      </c>
      <c r="G58" t="s">
        <v>2775</v>
      </c>
    </row>
    <row r="59" spans="1:7" x14ac:dyDescent="0.25">
      <c r="A59" s="21" t="s">
        <v>2361</v>
      </c>
      <c r="B59" s="19" t="s">
        <v>997</v>
      </c>
      <c r="C59" t="s">
        <v>941</v>
      </c>
      <c r="D59">
        <v>4</v>
      </c>
      <c r="E59" t="s">
        <v>2727</v>
      </c>
      <c r="F59" t="s">
        <v>2778</v>
      </c>
      <c r="G59" t="s">
        <v>2779</v>
      </c>
    </row>
    <row r="60" spans="1:7" x14ac:dyDescent="0.25">
      <c r="A60" s="21" t="s">
        <v>2361</v>
      </c>
      <c r="B60" s="19" t="s">
        <v>997</v>
      </c>
      <c r="C60" t="s">
        <v>966</v>
      </c>
      <c r="D60">
        <v>2</v>
      </c>
      <c r="E60" t="s">
        <v>1001</v>
      </c>
      <c r="F60" t="s">
        <v>2776</v>
      </c>
      <c r="G60" t="s">
        <v>2777</v>
      </c>
    </row>
    <row r="61" spans="1:7" x14ac:dyDescent="0.25">
      <c r="A61" s="21" t="s">
        <v>2361</v>
      </c>
      <c r="B61" s="19" t="s">
        <v>997</v>
      </c>
      <c r="C61" t="s">
        <v>905</v>
      </c>
      <c r="D61">
        <v>11</v>
      </c>
      <c r="E61" t="s">
        <v>1003</v>
      </c>
      <c r="F61" t="s">
        <v>2774</v>
      </c>
      <c r="G61" t="s">
        <v>2775</v>
      </c>
    </row>
    <row r="62" spans="1:7" x14ac:dyDescent="0.25">
      <c r="A62" s="21" t="s">
        <v>2361</v>
      </c>
      <c r="B62" s="19" t="s">
        <v>502</v>
      </c>
      <c r="C62" t="s">
        <v>954</v>
      </c>
      <c r="D62">
        <v>71</v>
      </c>
      <c r="E62" t="s">
        <v>1005</v>
      </c>
      <c r="F62" t="s">
        <v>2774</v>
      </c>
      <c r="G62" t="s">
        <v>2775</v>
      </c>
    </row>
    <row r="63" spans="1:7" x14ac:dyDescent="0.25">
      <c r="A63" s="21" t="s">
        <v>2361</v>
      </c>
      <c r="B63" s="19" t="s">
        <v>502</v>
      </c>
      <c r="C63" t="s">
        <v>903</v>
      </c>
      <c r="D63">
        <v>7</v>
      </c>
      <c r="E63" t="s">
        <v>1006</v>
      </c>
      <c r="F63" t="s">
        <v>2774</v>
      </c>
      <c r="G63" t="s">
        <v>2775</v>
      </c>
    </row>
    <row r="64" spans="1:7" x14ac:dyDescent="0.25">
      <c r="A64" s="21" t="s">
        <v>2361</v>
      </c>
      <c r="B64" s="19" t="s">
        <v>502</v>
      </c>
      <c r="C64" t="s">
        <v>941</v>
      </c>
      <c r="D64">
        <v>5</v>
      </c>
      <c r="E64" t="s">
        <v>2729</v>
      </c>
      <c r="F64" t="s">
        <v>2778</v>
      </c>
      <c r="G64" t="s">
        <v>2779</v>
      </c>
    </row>
    <row r="65" spans="1:7" x14ac:dyDescent="0.25">
      <c r="A65" s="21" t="s">
        <v>2361</v>
      </c>
      <c r="B65" s="19" t="s">
        <v>502</v>
      </c>
      <c r="C65" t="s">
        <v>960</v>
      </c>
      <c r="D65">
        <v>2</v>
      </c>
      <c r="E65" t="s">
        <v>2481</v>
      </c>
      <c r="F65" t="s">
        <v>2778</v>
      </c>
      <c r="G65" t="s">
        <v>2779</v>
      </c>
    </row>
    <row r="66" spans="1:7" x14ac:dyDescent="0.25">
      <c r="A66" s="21" t="s">
        <v>2361</v>
      </c>
      <c r="B66" s="19" t="s">
        <v>502</v>
      </c>
      <c r="C66" t="s">
        <v>950</v>
      </c>
      <c r="D66">
        <v>2</v>
      </c>
      <c r="E66" t="s">
        <v>1010</v>
      </c>
      <c r="F66" t="s">
        <v>2776</v>
      </c>
      <c r="G66" t="s">
        <v>2777</v>
      </c>
    </row>
    <row r="67" spans="1:7" x14ac:dyDescent="0.25">
      <c r="A67" s="21" t="s">
        <v>2361</v>
      </c>
      <c r="B67" s="19" t="s">
        <v>502</v>
      </c>
      <c r="C67" t="s">
        <v>970</v>
      </c>
      <c r="D67">
        <v>2</v>
      </c>
      <c r="E67" t="s">
        <v>2550</v>
      </c>
      <c r="F67" t="s">
        <v>2776</v>
      </c>
      <c r="G67" t="s">
        <v>2777</v>
      </c>
    </row>
    <row r="68" spans="1:7" x14ac:dyDescent="0.25">
      <c r="A68" s="21" t="s">
        <v>2361</v>
      </c>
      <c r="B68" s="19" t="s">
        <v>502</v>
      </c>
      <c r="C68" t="s">
        <v>905</v>
      </c>
      <c r="D68">
        <v>11</v>
      </c>
      <c r="E68" t="s">
        <v>1014</v>
      </c>
      <c r="F68" t="s">
        <v>2774</v>
      </c>
      <c r="G68" t="s">
        <v>2775</v>
      </c>
    </row>
    <row r="69" spans="1:7" x14ac:dyDescent="0.25">
      <c r="A69" s="21" t="s">
        <v>2361</v>
      </c>
      <c r="B69" s="19" t="s">
        <v>492</v>
      </c>
      <c r="C69" t="s">
        <v>1025</v>
      </c>
      <c r="D69">
        <v>44</v>
      </c>
      <c r="E69" t="s">
        <v>1026</v>
      </c>
      <c r="F69" t="s">
        <v>2774</v>
      </c>
      <c r="G69" t="s">
        <v>2775</v>
      </c>
    </row>
    <row r="70" spans="1:7" x14ac:dyDescent="0.25">
      <c r="A70" s="21" t="s">
        <v>2361</v>
      </c>
      <c r="B70" s="19" t="s">
        <v>492</v>
      </c>
      <c r="C70" t="s">
        <v>1028</v>
      </c>
      <c r="D70">
        <v>8</v>
      </c>
      <c r="E70" t="s">
        <v>1029</v>
      </c>
      <c r="F70" t="s">
        <v>2774</v>
      </c>
      <c r="G70" t="s">
        <v>2775</v>
      </c>
    </row>
    <row r="71" spans="1:7" x14ac:dyDescent="0.25">
      <c r="A71" s="21" t="s">
        <v>2361</v>
      </c>
      <c r="B71" s="19" t="s">
        <v>492</v>
      </c>
      <c r="C71" t="s">
        <v>941</v>
      </c>
      <c r="D71">
        <v>18</v>
      </c>
      <c r="E71" t="s">
        <v>2495</v>
      </c>
      <c r="F71" t="s">
        <v>2778</v>
      </c>
      <c r="G71" t="s">
        <v>2779</v>
      </c>
    </row>
    <row r="72" spans="1:7" x14ac:dyDescent="0.25">
      <c r="A72" s="21" t="s">
        <v>2361</v>
      </c>
      <c r="B72" s="19" t="s">
        <v>492</v>
      </c>
      <c r="C72" t="s">
        <v>1033</v>
      </c>
      <c r="D72">
        <v>8</v>
      </c>
      <c r="E72" t="s">
        <v>2479</v>
      </c>
      <c r="F72" t="s">
        <v>2778</v>
      </c>
      <c r="G72" t="s">
        <v>2779</v>
      </c>
    </row>
    <row r="73" spans="1:7" x14ac:dyDescent="0.25">
      <c r="A73" s="21" t="s">
        <v>2361</v>
      </c>
      <c r="B73" s="19" t="s">
        <v>492</v>
      </c>
      <c r="C73" t="s">
        <v>960</v>
      </c>
      <c r="D73">
        <v>4</v>
      </c>
      <c r="E73" t="s">
        <v>2484</v>
      </c>
      <c r="F73" t="s">
        <v>2778</v>
      </c>
      <c r="G73" t="s">
        <v>2779</v>
      </c>
    </row>
    <row r="74" spans="1:7" x14ac:dyDescent="0.25">
      <c r="A74" s="21" t="s">
        <v>2361</v>
      </c>
      <c r="B74" s="19" t="s">
        <v>492</v>
      </c>
      <c r="C74" t="s">
        <v>2374</v>
      </c>
      <c r="D74">
        <v>12</v>
      </c>
      <c r="E74" t="s">
        <v>1038</v>
      </c>
      <c r="F74" t="s">
        <v>2776</v>
      </c>
      <c r="G74" t="s">
        <v>2777</v>
      </c>
    </row>
    <row r="75" spans="1:7" x14ac:dyDescent="0.25">
      <c r="A75" s="21" t="s">
        <v>2361</v>
      </c>
      <c r="B75" s="19" t="s">
        <v>492</v>
      </c>
      <c r="C75" t="s">
        <v>23</v>
      </c>
      <c r="D75">
        <v>3</v>
      </c>
      <c r="E75" t="s">
        <v>1040</v>
      </c>
      <c r="F75" t="s">
        <v>2778</v>
      </c>
      <c r="G75" t="s">
        <v>2779</v>
      </c>
    </row>
    <row r="76" spans="1:7" x14ac:dyDescent="0.25">
      <c r="A76" s="21" t="s">
        <v>2361</v>
      </c>
      <c r="B76" s="19" t="s">
        <v>492</v>
      </c>
      <c r="C76" t="s">
        <v>1042</v>
      </c>
      <c r="D76">
        <v>3</v>
      </c>
      <c r="E76" t="s">
        <v>1043</v>
      </c>
      <c r="F76" t="s">
        <v>2776</v>
      </c>
      <c r="G76" t="s">
        <v>2777</v>
      </c>
    </row>
    <row r="77" spans="1:7" x14ac:dyDescent="0.25">
      <c r="A77" s="21" t="s">
        <v>2361</v>
      </c>
      <c r="B77" s="19" t="s">
        <v>470</v>
      </c>
      <c r="C77" t="s">
        <v>1025</v>
      </c>
      <c r="D77">
        <v>61</v>
      </c>
      <c r="E77" t="s">
        <v>1046</v>
      </c>
      <c r="F77" t="s">
        <v>2774</v>
      </c>
      <c r="G77" t="s">
        <v>2775</v>
      </c>
    </row>
    <row r="78" spans="1:7" x14ac:dyDescent="0.25">
      <c r="A78" s="21" t="s">
        <v>2361</v>
      </c>
      <c r="B78" s="19" t="s">
        <v>470</v>
      </c>
      <c r="C78" t="s">
        <v>2374</v>
      </c>
      <c r="D78">
        <v>12</v>
      </c>
      <c r="E78" t="s">
        <v>1048</v>
      </c>
      <c r="F78" t="s">
        <v>2776</v>
      </c>
      <c r="G78" t="s">
        <v>2777</v>
      </c>
    </row>
    <row r="79" spans="1:7" x14ac:dyDescent="0.25">
      <c r="A79" s="21" t="s">
        <v>2361</v>
      </c>
      <c r="B79" s="19" t="s">
        <v>470</v>
      </c>
      <c r="C79" t="s">
        <v>1033</v>
      </c>
      <c r="D79">
        <v>9</v>
      </c>
      <c r="E79" t="s">
        <v>2445</v>
      </c>
      <c r="F79" t="s">
        <v>2778</v>
      </c>
      <c r="G79" t="s">
        <v>2779</v>
      </c>
    </row>
    <row r="80" spans="1:7" x14ac:dyDescent="0.25">
      <c r="A80" s="21" t="s">
        <v>2361</v>
      </c>
      <c r="B80" s="19" t="s">
        <v>470</v>
      </c>
      <c r="C80" t="s">
        <v>941</v>
      </c>
      <c r="D80">
        <v>4</v>
      </c>
      <c r="E80" t="s">
        <v>1053</v>
      </c>
      <c r="F80" t="s">
        <v>2778</v>
      </c>
      <c r="G80" t="s">
        <v>2779</v>
      </c>
    </row>
    <row r="81" spans="1:7" x14ac:dyDescent="0.25">
      <c r="A81" s="21" t="s">
        <v>2361</v>
      </c>
      <c r="B81" s="19" t="s">
        <v>470</v>
      </c>
      <c r="C81" t="s">
        <v>23</v>
      </c>
      <c r="D81">
        <v>4</v>
      </c>
      <c r="E81" t="s">
        <v>1055</v>
      </c>
      <c r="F81" t="s">
        <v>2778</v>
      </c>
      <c r="G81" t="s">
        <v>2779</v>
      </c>
    </row>
    <row r="82" spans="1:7" x14ac:dyDescent="0.25">
      <c r="A82" s="21" t="s">
        <v>2361</v>
      </c>
      <c r="B82" s="19" t="s">
        <v>470</v>
      </c>
      <c r="C82" t="s">
        <v>950</v>
      </c>
      <c r="D82">
        <v>3</v>
      </c>
      <c r="E82" t="s">
        <v>1057</v>
      </c>
      <c r="F82" t="s">
        <v>2778</v>
      </c>
      <c r="G82" t="s">
        <v>2779</v>
      </c>
    </row>
    <row r="83" spans="1:7" x14ac:dyDescent="0.25">
      <c r="A83" s="21" t="s">
        <v>2361</v>
      </c>
      <c r="B83" s="19" t="s">
        <v>470</v>
      </c>
      <c r="C83" t="s">
        <v>923</v>
      </c>
      <c r="D83">
        <v>3</v>
      </c>
      <c r="E83" t="s">
        <v>1058</v>
      </c>
      <c r="F83" t="s">
        <v>2778</v>
      </c>
      <c r="G83" t="s">
        <v>2779</v>
      </c>
    </row>
    <row r="84" spans="1:7" x14ac:dyDescent="0.25">
      <c r="A84" s="21" t="s">
        <v>2361</v>
      </c>
      <c r="B84" s="19" t="s">
        <v>470</v>
      </c>
      <c r="C84" t="s">
        <v>18</v>
      </c>
      <c r="D84">
        <v>2</v>
      </c>
      <c r="E84" t="s">
        <v>1059</v>
      </c>
      <c r="F84" t="s">
        <v>2776</v>
      </c>
      <c r="G84" t="s">
        <v>2777</v>
      </c>
    </row>
    <row r="85" spans="1:7" x14ac:dyDescent="0.25">
      <c r="A85" s="21" t="s">
        <v>2361</v>
      </c>
      <c r="B85" s="19" t="s">
        <v>522</v>
      </c>
      <c r="C85" t="s">
        <v>1025</v>
      </c>
      <c r="D85">
        <v>49</v>
      </c>
      <c r="E85" t="s">
        <v>1061</v>
      </c>
      <c r="F85" t="s">
        <v>2774</v>
      </c>
      <c r="G85" t="s">
        <v>2775</v>
      </c>
    </row>
    <row r="86" spans="1:7" x14ac:dyDescent="0.25">
      <c r="A86" s="21" t="s">
        <v>2361</v>
      </c>
      <c r="B86" s="19" t="s">
        <v>522</v>
      </c>
      <c r="C86" t="s">
        <v>903</v>
      </c>
      <c r="D86">
        <v>12</v>
      </c>
      <c r="E86" t="s">
        <v>1062</v>
      </c>
      <c r="F86" t="s">
        <v>2774</v>
      </c>
      <c r="G86" t="s">
        <v>2775</v>
      </c>
    </row>
    <row r="87" spans="1:7" x14ac:dyDescent="0.25">
      <c r="A87" s="21" t="s">
        <v>2361</v>
      </c>
      <c r="B87" s="19" t="s">
        <v>522</v>
      </c>
      <c r="C87" t="s">
        <v>2374</v>
      </c>
      <c r="D87">
        <v>10</v>
      </c>
      <c r="E87" t="s">
        <v>1064</v>
      </c>
      <c r="F87" t="s">
        <v>2776</v>
      </c>
      <c r="G87" t="s">
        <v>2777</v>
      </c>
    </row>
    <row r="88" spans="1:7" x14ac:dyDescent="0.25">
      <c r="A88" s="21" t="s">
        <v>2361</v>
      </c>
      <c r="B88" s="19" t="s">
        <v>522</v>
      </c>
      <c r="C88" t="s">
        <v>960</v>
      </c>
      <c r="D88">
        <v>14</v>
      </c>
      <c r="E88" t="s">
        <v>2488</v>
      </c>
      <c r="F88" t="s">
        <v>2778</v>
      </c>
      <c r="G88" t="s">
        <v>2779</v>
      </c>
    </row>
    <row r="89" spans="1:7" x14ac:dyDescent="0.25">
      <c r="A89" s="21" t="s">
        <v>2361</v>
      </c>
      <c r="B89" s="19" t="s">
        <v>522</v>
      </c>
      <c r="C89" t="s">
        <v>23</v>
      </c>
      <c r="D89">
        <v>5</v>
      </c>
      <c r="E89" t="s">
        <v>1068</v>
      </c>
      <c r="F89" t="s">
        <v>2778</v>
      </c>
      <c r="G89" t="s">
        <v>2779</v>
      </c>
    </row>
    <row r="90" spans="1:7" x14ac:dyDescent="0.25">
      <c r="A90" s="21" t="s">
        <v>2361</v>
      </c>
      <c r="B90" s="19" t="s">
        <v>522</v>
      </c>
      <c r="C90" t="s">
        <v>923</v>
      </c>
      <c r="D90">
        <v>3</v>
      </c>
      <c r="E90" t="s">
        <v>1070</v>
      </c>
      <c r="F90" t="s">
        <v>2778</v>
      </c>
      <c r="G90" t="s">
        <v>2779</v>
      </c>
    </row>
    <row r="91" spans="1:7" x14ac:dyDescent="0.25">
      <c r="A91" s="21" t="s">
        <v>2361</v>
      </c>
      <c r="B91" s="19" t="s">
        <v>522</v>
      </c>
      <c r="C91" t="s">
        <v>950</v>
      </c>
      <c r="D91">
        <v>3</v>
      </c>
      <c r="E91" t="s">
        <v>1071</v>
      </c>
      <c r="F91" t="s">
        <v>2778</v>
      </c>
      <c r="G91" t="s">
        <v>2779</v>
      </c>
    </row>
    <row r="92" spans="1:7" x14ac:dyDescent="0.25">
      <c r="A92" s="21" t="s">
        <v>2361</v>
      </c>
      <c r="B92" s="19" t="s">
        <v>522</v>
      </c>
      <c r="C92" t="s">
        <v>970</v>
      </c>
      <c r="D92">
        <v>2</v>
      </c>
      <c r="E92" t="s">
        <v>2551</v>
      </c>
      <c r="F92" t="s">
        <v>2778</v>
      </c>
      <c r="G92" t="s">
        <v>2779</v>
      </c>
    </row>
    <row r="93" spans="1:7" x14ac:dyDescent="0.25">
      <c r="A93" s="21" t="s">
        <v>2361</v>
      </c>
      <c r="B93" s="19" t="s">
        <v>522</v>
      </c>
      <c r="C93" t="s">
        <v>905</v>
      </c>
      <c r="D93">
        <v>2</v>
      </c>
      <c r="E93" t="s">
        <v>1084</v>
      </c>
      <c r="F93" t="s">
        <v>2774</v>
      </c>
      <c r="G93" t="s">
        <v>2775</v>
      </c>
    </row>
    <row r="94" spans="1:7" x14ac:dyDescent="0.25">
      <c r="A94" s="21" t="s">
        <v>2361</v>
      </c>
      <c r="B94" s="19" t="s">
        <v>482</v>
      </c>
      <c r="C94" t="s">
        <v>1025</v>
      </c>
      <c r="D94">
        <v>57</v>
      </c>
      <c r="E94" t="s">
        <v>1085</v>
      </c>
      <c r="F94" t="s">
        <v>2774</v>
      </c>
      <c r="G94" t="s">
        <v>2775</v>
      </c>
    </row>
    <row r="95" spans="1:7" x14ac:dyDescent="0.25">
      <c r="A95" s="21" t="s">
        <v>2361</v>
      </c>
      <c r="B95" s="19" t="s">
        <v>482</v>
      </c>
      <c r="C95" t="s">
        <v>903</v>
      </c>
      <c r="D95">
        <v>8</v>
      </c>
      <c r="E95" t="s">
        <v>1086</v>
      </c>
      <c r="F95" t="s">
        <v>2774</v>
      </c>
      <c r="G95" t="s">
        <v>2775</v>
      </c>
    </row>
    <row r="96" spans="1:7" x14ac:dyDescent="0.25">
      <c r="A96" s="21" t="s">
        <v>2361</v>
      </c>
      <c r="B96" s="19" t="s">
        <v>482</v>
      </c>
      <c r="C96" t="s">
        <v>950</v>
      </c>
      <c r="D96">
        <v>7</v>
      </c>
      <c r="E96" t="s">
        <v>1088</v>
      </c>
      <c r="F96" t="s">
        <v>2776</v>
      </c>
      <c r="G96" t="s">
        <v>2777</v>
      </c>
    </row>
    <row r="97" spans="1:7" x14ac:dyDescent="0.25">
      <c r="A97" s="21" t="s">
        <v>2361</v>
      </c>
      <c r="B97" s="19" t="s">
        <v>482</v>
      </c>
      <c r="C97" t="s">
        <v>923</v>
      </c>
      <c r="D97">
        <v>6</v>
      </c>
      <c r="E97" t="s">
        <v>1090</v>
      </c>
      <c r="F97" t="s">
        <v>2778</v>
      </c>
      <c r="G97" t="s">
        <v>2779</v>
      </c>
    </row>
    <row r="98" spans="1:7" x14ac:dyDescent="0.25">
      <c r="A98" s="21" t="s">
        <v>2361</v>
      </c>
      <c r="B98" s="19" t="s">
        <v>482</v>
      </c>
      <c r="C98" t="s">
        <v>23</v>
      </c>
      <c r="D98">
        <v>12</v>
      </c>
      <c r="E98" t="s">
        <v>1092</v>
      </c>
      <c r="F98" t="s">
        <v>2778</v>
      </c>
      <c r="G98" t="s">
        <v>2779</v>
      </c>
    </row>
    <row r="99" spans="1:7" x14ac:dyDescent="0.25">
      <c r="A99" s="21" t="s">
        <v>2361</v>
      </c>
      <c r="B99" s="19" t="s">
        <v>482</v>
      </c>
      <c r="C99" t="s">
        <v>941</v>
      </c>
      <c r="D99">
        <v>4</v>
      </c>
      <c r="E99" t="s">
        <v>2730</v>
      </c>
      <c r="F99" t="s">
        <v>2778</v>
      </c>
      <c r="G99" t="s">
        <v>2779</v>
      </c>
    </row>
    <row r="100" spans="1:7" x14ac:dyDescent="0.25">
      <c r="A100" s="21" t="s">
        <v>2361</v>
      </c>
      <c r="B100" s="19" t="s">
        <v>482</v>
      </c>
      <c r="C100" t="s">
        <v>18</v>
      </c>
      <c r="D100">
        <v>3</v>
      </c>
      <c r="E100" t="s">
        <v>1095</v>
      </c>
      <c r="F100" t="s">
        <v>2776</v>
      </c>
      <c r="G100" t="s">
        <v>2777</v>
      </c>
    </row>
    <row r="101" spans="1:7" x14ac:dyDescent="0.25">
      <c r="A101" s="21" t="s">
        <v>2361</v>
      </c>
      <c r="B101" s="19" t="s">
        <v>482</v>
      </c>
      <c r="C101" t="s">
        <v>2374</v>
      </c>
      <c r="D101">
        <v>2</v>
      </c>
      <c r="E101" t="s">
        <v>1097</v>
      </c>
      <c r="F101" t="s">
        <v>2776</v>
      </c>
      <c r="G101" t="s">
        <v>2777</v>
      </c>
    </row>
    <row r="102" spans="1:7" x14ac:dyDescent="0.25">
      <c r="A102" s="21" t="s">
        <v>2361</v>
      </c>
      <c r="B102" s="19" t="s">
        <v>482</v>
      </c>
      <c r="C102" t="s">
        <v>905</v>
      </c>
      <c r="D102">
        <v>1</v>
      </c>
      <c r="E102" t="s">
        <v>1117</v>
      </c>
      <c r="F102" t="s">
        <v>2774</v>
      </c>
      <c r="G102" t="s">
        <v>2775</v>
      </c>
    </row>
    <row r="103" spans="1:7" x14ac:dyDescent="0.25">
      <c r="A103" s="21" t="s">
        <v>2361</v>
      </c>
      <c r="B103" s="19" t="s">
        <v>466</v>
      </c>
      <c r="C103" t="s">
        <v>1025</v>
      </c>
      <c r="D103">
        <v>72</v>
      </c>
      <c r="E103" t="s">
        <v>1099</v>
      </c>
      <c r="F103" t="s">
        <v>2774</v>
      </c>
      <c r="G103" t="s">
        <v>2775</v>
      </c>
    </row>
    <row r="104" spans="1:7" x14ac:dyDescent="0.25">
      <c r="A104" s="21" t="s">
        <v>2361</v>
      </c>
      <c r="B104" s="19" t="s">
        <v>466</v>
      </c>
      <c r="C104" t="s">
        <v>950</v>
      </c>
      <c r="D104">
        <v>10</v>
      </c>
      <c r="E104" t="s">
        <v>1100</v>
      </c>
      <c r="F104" t="s">
        <v>2776</v>
      </c>
      <c r="G104" t="s">
        <v>2777</v>
      </c>
    </row>
    <row r="105" spans="1:7" x14ac:dyDescent="0.25">
      <c r="A105" s="21" t="s">
        <v>2361</v>
      </c>
      <c r="B105" s="19" t="s">
        <v>466</v>
      </c>
      <c r="C105" t="s">
        <v>923</v>
      </c>
      <c r="D105">
        <v>8</v>
      </c>
      <c r="E105" t="s">
        <v>1102</v>
      </c>
      <c r="F105" t="s">
        <v>2778</v>
      </c>
      <c r="G105" t="s">
        <v>2779</v>
      </c>
    </row>
    <row r="106" spans="1:7" x14ac:dyDescent="0.25">
      <c r="A106" s="21" t="s">
        <v>2361</v>
      </c>
      <c r="B106" s="19" t="s">
        <v>466</v>
      </c>
      <c r="C106" t="s">
        <v>23</v>
      </c>
      <c r="D106">
        <v>5</v>
      </c>
      <c r="E106" t="s">
        <v>1103</v>
      </c>
      <c r="F106" t="s">
        <v>2778</v>
      </c>
      <c r="G106" t="s">
        <v>2779</v>
      </c>
    </row>
    <row r="107" spans="1:7" x14ac:dyDescent="0.25">
      <c r="A107" s="21" t="s">
        <v>2361</v>
      </c>
      <c r="B107" s="19" t="s">
        <v>466</v>
      </c>
      <c r="C107" t="s">
        <v>941</v>
      </c>
      <c r="D107">
        <v>2</v>
      </c>
      <c r="E107" t="s">
        <v>2731</v>
      </c>
      <c r="F107" t="s">
        <v>2778</v>
      </c>
      <c r="G107" t="s">
        <v>2779</v>
      </c>
    </row>
    <row r="108" spans="1:7" x14ac:dyDescent="0.25">
      <c r="A108" s="21" t="s">
        <v>2361</v>
      </c>
      <c r="B108" s="19" t="s">
        <v>466</v>
      </c>
      <c r="C108" t="s">
        <v>18</v>
      </c>
      <c r="D108">
        <v>3</v>
      </c>
      <c r="E108" t="s">
        <v>1095</v>
      </c>
      <c r="F108" t="s">
        <v>2776</v>
      </c>
      <c r="G108" t="s">
        <v>2777</v>
      </c>
    </row>
    <row r="109" spans="1:7" x14ac:dyDescent="0.25">
      <c r="A109" s="21" t="s">
        <v>2361</v>
      </c>
      <c r="B109" s="19" t="s">
        <v>476</v>
      </c>
      <c r="C109" t="s">
        <v>1025</v>
      </c>
      <c r="D109">
        <v>53</v>
      </c>
      <c r="E109" t="s">
        <v>1106</v>
      </c>
      <c r="F109" t="s">
        <v>2774</v>
      </c>
      <c r="G109" t="s">
        <v>2775</v>
      </c>
    </row>
    <row r="110" spans="1:7" x14ac:dyDescent="0.25">
      <c r="A110" s="21" t="s">
        <v>2361</v>
      </c>
      <c r="B110" s="19" t="s">
        <v>476</v>
      </c>
      <c r="C110" t="s">
        <v>1028</v>
      </c>
      <c r="D110">
        <v>10</v>
      </c>
      <c r="E110" t="s">
        <v>1107</v>
      </c>
      <c r="F110" t="s">
        <v>2774</v>
      </c>
      <c r="G110" t="s">
        <v>2775</v>
      </c>
    </row>
    <row r="111" spans="1:7" x14ac:dyDescent="0.25">
      <c r="A111" s="21" t="s">
        <v>2361</v>
      </c>
      <c r="B111" s="19" t="s">
        <v>476</v>
      </c>
      <c r="C111" t="s">
        <v>923</v>
      </c>
      <c r="D111">
        <v>15</v>
      </c>
      <c r="E111" t="s">
        <v>1109</v>
      </c>
      <c r="F111" t="s">
        <v>2778</v>
      </c>
      <c r="G111" t="s">
        <v>2779</v>
      </c>
    </row>
    <row r="112" spans="1:7" x14ac:dyDescent="0.25">
      <c r="A112" s="21" t="s">
        <v>2361</v>
      </c>
      <c r="B112" s="19" t="s">
        <v>476</v>
      </c>
      <c r="C112" t="s">
        <v>23</v>
      </c>
      <c r="D112">
        <v>7</v>
      </c>
      <c r="E112" t="s">
        <v>1111</v>
      </c>
      <c r="F112" t="s">
        <v>2778</v>
      </c>
      <c r="G112" t="s">
        <v>2779</v>
      </c>
    </row>
    <row r="113" spans="1:7" x14ac:dyDescent="0.25">
      <c r="A113" s="21" t="s">
        <v>2361</v>
      </c>
      <c r="B113" s="19" t="s">
        <v>476</v>
      </c>
      <c r="C113" t="s">
        <v>941</v>
      </c>
      <c r="D113">
        <v>5</v>
      </c>
      <c r="E113" t="s">
        <v>2732</v>
      </c>
      <c r="F113" t="s">
        <v>2778</v>
      </c>
      <c r="G113" t="s">
        <v>2779</v>
      </c>
    </row>
    <row r="114" spans="1:7" x14ac:dyDescent="0.25">
      <c r="A114" s="21" t="s">
        <v>2361</v>
      </c>
      <c r="B114" s="19" t="s">
        <v>476</v>
      </c>
      <c r="C114" t="s">
        <v>2374</v>
      </c>
      <c r="D114">
        <v>5</v>
      </c>
      <c r="E114" t="s">
        <v>1114</v>
      </c>
      <c r="F114" t="s">
        <v>2776</v>
      </c>
      <c r="G114" t="s">
        <v>2777</v>
      </c>
    </row>
    <row r="115" spans="1:7" x14ac:dyDescent="0.25">
      <c r="A115" s="21" t="s">
        <v>2361</v>
      </c>
      <c r="B115" s="19" t="s">
        <v>476</v>
      </c>
      <c r="C115" t="s">
        <v>950</v>
      </c>
      <c r="D115">
        <v>5</v>
      </c>
      <c r="E115" t="s">
        <v>1116</v>
      </c>
      <c r="F115" t="s">
        <v>2776</v>
      </c>
      <c r="G115" t="s">
        <v>2777</v>
      </c>
    </row>
    <row r="116" spans="1:7" x14ac:dyDescent="0.25">
      <c r="A116" s="21" t="s">
        <v>2361</v>
      </c>
      <c r="B116" s="19" t="s">
        <v>488</v>
      </c>
      <c r="C116" t="s">
        <v>1042</v>
      </c>
      <c r="D116">
        <v>69</v>
      </c>
      <c r="E116" t="s">
        <v>2681</v>
      </c>
      <c r="F116" t="s">
        <v>2774</v>
      </c>
      <c r="G116" t="s">
        <v>2775</v>
      </c>
    </row>
    <row r="117" spans="1:7" x14ac:dyDescent="0.25">
      <c r="A117" s="21" t="s">
        <v>2361</v>
      </c>
      <c r="B117" s="19" t="s">
        <v>488</v>
      </c>
      <c r="C117" t="s">
        <v>1028</v>
      </c>
      <c r="D117">
        <v>5</v>
      </c>
      <c r="E117" t="s">
        <v>1119</v>
      </c>
      <c r="F117" t="s">
        <v>2774</v>
      </c>
      <c r="G117" t="s">
        <v>2775</v>
      </c>
    </row>
    <row r="118" spans="1:7" x14ac:dyDescent="0.25">
      <c r="A118" s="21" t="s">
        <v>2361</v>
      </c>
      <c r="B118" s="19" t="s">
        <v>488</v>
      </c>
      <c r="C118" t="s">
        <v>2374</v>
      </c>
      <c r="D118">
        <v>10</v>
      </c>
      <c r="E118" t="s">
        <v>1121</v>
      </c>
      <c r="F118" t="s">
        <v>2776</v>
      </c>
      <c r="G118" t="s">
        <v>2777</v>
      </c>
    </row>
    <row r="119" spans="1:7" x14ac:dyDescent="0.25">
      <c r="A119" s="21" t="s">
        <v>2361</v>
      </c>
      <c r="B119" s="19" t="s">
        <v>488</v>
      </c>
      <c r="C119" t="s">
        <v>1123</v>
      </c>
      <c r="D119">
        <v>4</v>
      </c>
      <c r="E119" t="s">
        <v>1124</v>
      </c>
      <c r="F119" t="s">
        <v>2776</v>
      </c>
      <c r="G119" t="s">
        <v>2777</v>
      </c>
    </row>
    <row r="120" spans="1:7" x14ac:dyDescent="0.25">
      <c r="A120" s="21" t="s">
        <v>2361</v>
      </c>
      <c r="B120" s="19" t="s">
        <v>488</v>
      </c>
      <c r="C120" t="s">
        <v>1126</v>
      </c>
      <c r="D120">
        <v>3</v>
      </c>
      <c r="E120" t="s">
        <v>1127</v>
      </c>
      <c r="F120" t="s">
        <v>2776</v>
      </c>
      <c r="G120" t="s">
        <v>2777</v>
      </c>
    </row>
    <row r="121" spans="1:7" x14ac:dyDescent="0.25">
      <c r="A121" s="21" t="s">
        <v>2361</v>
      </c>
      <c r="B121" s="19" t="s">
        <v>488</v>
      </c>
      <c r="C121" t="s">
        <v>1129</v>
      </c>
      <c r="D121">
        <v>2</v>
      </c>
      <c r="E121" t="s">
        <v>1130</v>
      </c>
      <c r="F121" t="s">
        <v>2776</v>
      </c>
      <c r="G121" t="s">
        <v>2777</v>
      </c>
    </row>
    <row r="122" spans="1:7" x14ac:dyDescent="0.25">
      <c r="A122" s="21" t="s">
        <v>2361</v>
      </c>
      <c r="B122" s="19" t="s">
        <v>488</v>
      </c>
      <c r="C122" t="s">
        <v>941</v>
      </c>
      <c r="D122">
        <v>4</v>
      </c>
      <c r="E122" t="s">
        <v>2733</v>
      </c>
      <c r="F122" t="s">
        <v>2778</v>
      </c>
      <c r="G122" t="s">
        <v>2779</v>
      </c>
    </row>
    <row r="123" spans="1:7" x14ac:dyDescent="0.25">
      <c r="A123" s="21" t="s">
        <v>2361</v>
      </c>
      <c r="B123" s="19" t="s">
        <v>488</v>
      </c>
      <c r="C123" t="s">
        <v>960</v>
      </c>
      <c r="D123">
        <v>3</v>
      </c>
      <c r="E123" t="s">
        <v>2478</v>
      </c>
      <c r="F123" t="s">
        <v>2778</v>
      </c>
      <c r="G123" t="s">
        <v>2779</v>
      </c>
    </row>
    <row r="124" spans="1:7" x14ac:dyDescent="0.25">
      <c r="A124" s="21" t="s">
        <v>2361</v>
      </c>
      <c r="B124" s="19" t="s">
        <v>528</v>
      </c>
      <c r="C124" t="s">
        <v>1042</v>
      </c>
      <c r="D124">
        <v>64</v>
      </c>
      <c r="E124" t="s">
        <v>1136</v>
      </c>
      <c r="F124" t="s">
        <v>2774</v>
      </c>
      <c r="G124" t="s">
        <v>2775</v>
      </c>
    </row>
    <row r="125" spans="1:7" x14ac:dyDescent="0.25">
      <c r="A125" s="21" t="s">
        <v>2361</v>
      </c>
      <c r="B125" s="19" t="s">
        <v>528</v>
      </c>
      <c r="C125" t="s">
        <v>941</v>
      </c>
      <c r="D125">
        <v>16</v>
      </c>
      <c r="E125" t="s">
        <v>2496</v>
      </c>
      <c r="F125" t="s">
        <v>2778</v>
      </c>
      <c r="G125" t="s">
        <v>2779</v>
      </c>
    </row>
    <row r="126" spans="1:7" x14ac:dyDescent="0.25">
      <c r="A126" s="21" t="s">
        <v>2361</v>
      </c>
      <c r="B126" s="19" t="s">
        <v>528</v>
      </c>
      <c r="C126" t="s">
        <v>1138</v>
      </c>
      <c r="D126">
        <v>4</v>
      </c>
      <c r="E126" t="s">
        <v>1162</v>
      </c>
      <c r="F126" t="s">
        <v>2778</v>
      </c>
      <c r="G126" t="s">
        <v>2779</v>
      </c>
    </row>
    <row r="127" spans="1:7" x14ac:dyDescent="0.25">
      <c r="A127" s="21" t="s">
        <v>2361</v>
      </c>
      <c r="B127" s="19" t="s">
        <v>528</v>
      </c>
      <c r="C127" t="s">
        <v>960</v>
      </c>
      <c r="D127">
        <v>4</v>
      </c>
      <c r="E127" t="s">
        <v>2480</v>
      </c>
      <c r="F127" t="s">
        <v>2778</v>
      </c>
      <c r="G127" t="s">
        <v>2779</v>
      </c>
    </row>
    <row r="128" spans="1:7" x14ac:dyDescent="0.25">
      <c r="A128" s="21" t="s">
        <v>2361</v>
      </c>
      <c r="B128" s="19" t="s">
        <v>528</v>
      </c>
      <c r="C128" t="s">
        <v>1142</v>
      </c>
      <c r="D128">
        <v>6</v>
      </c>
      <c r="E128" t="s">
        <v>1143</v>
      </c>
      <c r="F128" t="s">
        <v>2778</v>
      </c>
      <c r="G128" t="s">
        <v>2779</v>
      </c>
    </row>
    <row r="129" spans="1:7" x14ac:dyDescent="0.25">
      <c r="A129" s="21" t="s">
        <v>2361</v>
      </c>
      <c r="B129" s="19" t="s">
        <v>528</v>
      </c>
      <c r="C129" t="s">
        <v>2374</v>
      </c>
      <c r="D129">
        <v>3</v>
      </c>
      <c r="E129" t="s">
        <v>1145</v>
      </c>
      <c r="F129" t="s">
        <v>2776</v>
      </c>
      <c r="G129" t="s">
        <v>2777</v>
      </c>
    </row>
    <row r="130" spans="1:7" x14ac:dyDescent="0.25">
      <c r="A130" s="21" t="s">
        <v>2361</v>
      </c>
      <c r="B130" s="19" t="s">
        <v>528</v>
      </c>
      <c r="C130" t="s">
        <v>1123</v>
      </c>
      <c r="D130">
        <v>3</v>
      </c>
      <c r="E130" t="s">
        <v>1147</v>
      </c>
      <c r="F130" t="s">
        <v>2776</v>
      </c>
      <c r="G130" t="s">
        <v>2777</v>
      </c>
    </row>
    <row r="131" spans="1:7" x14ac:dyDescent="0.25">
      <c r="A131" s="21" t="s">
        <v>2361</v>
      </c>
      <c r="B131" s="19" t="s">
        <v>506</v>
      </c>
      <c r="C131" t="s">
        <v>1028</v>
      </c>
      <c r="D131">
        <v>68</v>
      </c>
      <c r="E131" t="s">
        <v>2518</v>
      </c>
      <c r="F131" t="s">
        <v>2774</v>
      </c>
      <c r="G131" t="s">
        <v>2775</v>
      </c>
    </row>
    <row r="132" spans="1:7" x14ac:dyDescent="0.25">
      <c r="A132" s="21" t="s">
        <v>2361</v>
      </c>
      <c r="B132" s="19" t="s">
        <v>506</v>
      </c>
      <c r="C132" t="s">
        <v>1025</v>
      </c>
      <c r="D132">
        <v>7</v>
      </c>
      <c r="E132" t="s">
        <v>1165</v>
      </c>
      <c r="F132" t="s">
        <v>2774</v>
      </c>
      <c r="G132" t="s">
        <v>2775</v>
      </c>
    </row>
    <row r="133" spans="1:7" x14ac:dyDescent="0.25">
      <c r="A133" s="21" t="s">
        <v>2361</v>
      </c>
      <c r="B133" s="19" t="s">
        <v>506</v>
      </c>
      <c r="C133" t="s">
        <v>2374</v>
      </c>
      <c r="D133">
        <v>8</v>
      </c>
      <c r="E133" t="s">
        <v>1167</v>
      </c>
      <c r="F133" t="s">
        <v>2776</v>
      </c>
      <c r="G133" t="s">
        <v>2777</v>
      </c>
    </row>
    <row r="134" spans="1:7" x14ac:dyDescent="0.25">
      <c r="A134" s="21" t="s">
        <v>2361</v>
      </c>
      <c r="B134" s="19" t="s">
        <v>506</v>
      </c>
      <c r="C134" t="s">
        <v>923</v>
      </c>
      <c r="D134">
        <v>6</v>
      </c>
      <c r="E134" t="s">
        <v>1169</v>
      </c>
      <c r="F134" t="s">
        <v>2778</v>
      </c>
      <c r="G134" t="s">
        <v>2779</v>
      </c>
    </row>
    <row r="135" spans="1:7" x14ac:dyDescent="0.25">
      <c r="A135" s="21" t="s">
        <v>2361</v>
      </c>
      <c r="B135" s="19" t="s">
        <v>506</v>
      </c>
      <c r="C135" t="s">
        <v>941</v>
      </c>
      <c r="D135">
        <v>4</v>
      </c>
      <c r="E135" t="s">
        <v>2734</v>
      </c>
      <c r="F135" t="s">
        <v>2778</v>
      </c>
      <c r="G135" t="s">
        <v>2779</v>
      </c>
    </row>
    <row r="136" spans="1:7" x14ac:dyDescent="0.25">
      <c r="A136" s="21" t="s">
        <v>2361</v>
      </c>
      <c r="B136" s="19" t="s">
        <v>506</v>
      </c>
      <c r="C136" t="s">
        <v>18</v>
      </c>
      <c r="D136">
        <v>2</v>
      </c>
      <c r="E136" t="s">
        <v>1173</v>
      </c>
      <c r="F136" t="s">
        <v>2776</v>
      </c>
      <c r="G136" t="s">
        <v>2777</v>
      </c>
    </row>
    <row r="137" spans="1:7" x14ac:dyDescent="0.25">
      <c r="A137" s="21" t="s">
        <v>2361</v>
      </c>
      <c r="B137" s="19" t="s">
        <v>506</v>
      </c>
      <c r="C137" t="s">
        <v>23</v>
      </c>
      <c r="D137">
        <v>2</v>
      </c>
      <c r="E137" t="s">
        <v>1174</v>
      </c>
      <c r="F137" t="s">
        <v>2778</v>
      </c>
      <c r="G137" t="s">
        <v>2779</v>
      </c>
    </row>
    <row r="138" spans="1:7" x14ac:dyDescent="0.25">
      <c r="A138" s="21" t="s">
        <v>2361</v>
      </c>
      <c r="B138" s="19" t="s">
        <v>506</v>
      </c>
      <c r="C138" t="s">
        <v>1123</v>
      </c>
      <c r="D138">
        <v>3</v>
      </c>
      <c r="E138" t="s">
        <v>1176</v>
      </c>
      <c r="F138" t="s">
        <v>2776</v>
      </c>
      <c r="G138" t="s">
        <v>2777</v>
      </c>
    </row>
    <row r="139" spans="1:7" x14ac:dyDescent="0.25">
      <c r="A139" s="21" t="s">
        <v>2361</v>
      </c>
      <c r="B139" s="19" t="s">
        <v>526</v>
      </c>
      <c r="C139" t="s">
        <v>950</v>
      </c>
      <c r="D139">
        <v>86</v>
      </c>
      <c r="E139" t="s">
        <v>1188</v>
      </c>
      <c r="F139" t="s">
        <v>2774</v>
      </c>
      <c r="G139" t="s">
        <v>2775</v>
      </c>
    </row>
    <row r="140" spans="1:7" x14ac:dyDescent="0.25">
      <c r="A140" s="21" t="s">
        <v>2361</v>
      </c>
      <c r="B140" s="19" t="s">
        <v>526</v>
      </c>
      <c r="C140" t="s">
        <v>1025</v>
      </c>
      <c r="D140">
        <v>5</v>
      </c>
      <c r="E140" t="s">
        <v>1189</v>
      </c>
      <c r="F140" t="s">
        <v>2780</v>
      </c>
      <c r="G140" t="s">
        <v>2781</v>
      </c>
    </row>
    <row r="141" spans="1:7" x14ac:dyDescent="0.25">
      <c r="A141" s="21" t="s">
        <v>2361</v>
      </c>
      <c r="B141" s="19" t="s">
        <v>526</v>
      </c>
      <c r="C141" t="s">
        <v>903</v>
      </c>
      <c r="D141">
        <v>4</v>
      </c>
      <c r="E141" t="s">
        <v>1191</v>
      </c>
      <c r="F141" t="s">
        <v>2774</v>
      </c>
      <c r="G141" t="s">
        <v>2775</v>
      </c>
    </row>
    <row r="142" spans="1:7" x14ac:dyDescent="0.25">
      <c r="A142" s="21" t="s">
        <v>2361</v>
      </c>
      <c r="B142" s="19" t="s">
        <v>526</v>
      </c>
      <c r="C142" t="s">
        <v>923</v>
      </c>
      <c r="D142">
        <v>2</v>
      </c>
      <c r="E142" t="s">
        <v>1193</v>
      </c>
      <c r="F142" t="s">
        <v>2776</v>
      </c>
      <c r="G142" t="s">
        <v>2777</v>
      </c>
    </row>
    <row r="143" spans="1:7" x14ac:dyDescent="0.25">
      <c r="A143" s="21" t="s">
        <v>2361</v>
      </c>
      <c r="B143" s="19" t="s">
        <v>526</v>
      </c>
      <c r="C143" t="s">
        <v>941</v>
      </c>
      <c r="D143">
        <v>3</v>
      </c>
      <c r="E143" t="s">
        <v>2735</v>
      </c>
      <c r="F143" t="s">
        <v>2778</v>
      </c>
      <c r="G143" t="s">
        <v>2779</v>
      </c>
    </row>
    <row r="144" spans="1:7" x14ac:dyDescent="0.25">
      <c r="A144" s="21" t="s">
        <v>2361</v>
      </c>
      <c r="B144" s="19" t="s">
        <v>480</v>
      </c>
      <c r="C144" t="s">
        <v>1025</v>
      </c>
      <c r="D144">
        <v>69</v>
      </c>
      <c r="E144" t="s">
        <v>1196</v>
      </c>
      <c r="F144" t="s">
        <v>2774</v>
      </c>
      <c r="G144" t="s">
        <v>2775</v>
      </c>
    </row>
    <row r="145" spans="1:7" x14ac:dyDescent="0.25">
      <c r="A145" s="21" t="s">
        <v>2361</v>
      </c>
      <c r="B145" s="19" t="s">
        <v>480</v>
      </c>
      <c r="C145" t="s">
        <v>950</v>
      </c>
      <c r="D145">
        <v>20</v>
      </c>
      <c r="E145" t="s">
        <v>1197</v>
      </c>
      <c r="F145" t="s">
        <v>2774</v>
      </c>
      <c r="G145" t="s">
        <v>2775</v>
      </c>
    </row>
    <row r="146" spans="1:7" x14ac:dyDescent="0.25">
      <c r="A146" s="21" t="s">
        <v>2361</v>
      </c>
      <c r="B146" s="19" t="s">
        <v>480</v>
      </c>
      <c r="C146" t="s">
        <v>903</v>
      </c>
      <c r="D146">
        <v>4</v>
      </c>
      <c r="E146" t="s">
        <v>1200</v>
      </c>
      <c r="F146" t="s">
        <v>2774</v>
      </c>
      <c r="G146" t="s">
        <v>2775</v>
      </c>
    </row>
    <row r="147" spans="1:7" x14ac:dyDescent="0.25">
      <c r="A147" s="21" t="s">
        <v>2361</v>
      </c>
      <c r="B147" s="19" t="s">
        <v>480</v>
      </c>
      <c r="C147" t="s">
        <v>923</v>
      </c>
      <c r="D147">
        <v>4</v>
      </c>
      <c r="E147" t="s">
        <v>1201</v>
      </c>
      <c r="F147" t="s">
        <v>2776</v>
      </c>
      <c r="G147" t="s">
        <v>2777</v>
      </c>
    </row>
    <row r="148" spans="1:7" x14ac:dyDescent="0.25">
      <c r="A148" s="21" t="s">
        <v>2361</v>
      </c>
      <c r="B148" s="19" t="s">
        <v>480</v>
      </c>
      <c r="C148" t="s">
        <v>1202</v>
      </c>
      <c r="D148">
        <v>3</v>
      </c>
      <c r="E148" t="s">
        <v>1203</v>
      </c>
      <c r="F148" t="s">
        <v>2776</v>
      </c>
      <c r="G148" t="s">
        <v>2777</v>
      </c>
    </row>
    <row r="149" spans="1:7" x14ac:dyDescent="0.25">
      <c r="A149" s="21" t="s">
        <v>2361</v>
      </c>
      <c r="B149" s="19" t="s">
        <v>540</v>
      </c>
      <c r="C149" t="s">
        <v>950</v>
      </c>
      <c r="D149">
        <v>58</v>
      </c>
      <c r="E149" t="s">
        <v>1207</v>
      </c>
      <c r="F149" t="s">
        <v>2774</v>
      </c>
      <c r="G149" t="s">
        <v>2775</v>
      </c>
    </row>
    <row r="150" spans="1:7" x14ac:dyDescent="0.25">
      <c r="A150" s="21" t="s">
        <v>2361</v>
      </c>
      <c r="B150" s="19" t="s">
        <v>540</v>
      </c>
      <c r="C150" t="s">
        <v>1025</v>
      </c>
      <c r="D150">
        <v>23</v>
      </c>
      <c r="E150" t="s">
        <v>1208</v>
      </c>
      <c r="F150" t="s">
        <v>2774</v>
      </c>
      <c r="G150" t="s">
        <v>2775</v>
      </c>
    </row>
    <row r="151" spans="1:7" x14ac:dyDescent="0.25">
      <c r="A151" s="21" t="s">
        <v>2361</v>
      </c>
      <c r="B151" s="19" t="s">
        <v>540</v>
      </c>
      <c r="C151" t="s">
        <v>923</v>
      </c>
      <c r="D151">
        <v>8</v>
      </c>
      <c r="E151" t="s">
        <v>1210</v>
      </c>
      <c r="F151" t="s">
        <v>2776</v>
      </c>
      <c r="G151" t="s">
        <v>2777</v>
      </c>
    </row>
    <row r="152" spans="1:7" x14ac:dyDescent="0.25">
      <c r="A152" s="21" t="s">
        <v>2361</v>
      </c>
      <c r="B152" s="19" t="s">
        <v>540</v>
      </c>
      <c r="C152" t="s">
        <v>903</v>
      </c>
      <c r="D152">
        <v>5</v>
      </c>
      <c r="E152" t="s">
        <v>1212</v>
      </c>
      <c r="F152" t="s">
        <v>2774</v>
      </c>
      <c r="G152" t="s">
        <v>2775</v>
      </c>
    </row>
    <row r="153" spans="1:7" x14ac:dyDescent="0.25">
      <c r="A153" s="21" t="s">
        <v>2361</v>
      </c>
      <c r="B153" s="19" t="s">
        <v>540</v>
      </c>
      <c r="C153" t="s">
        <v>941</v>
      </c>
      <c r="D153">
        <v>3</v>
      </c>
      <c r="E153" t="s">
        <v>2736</v>
      </c>
      <c r="F153" t="s">
        <v>2778</v>
      </c>
      <c r="G153" t="s">
        <v>2779</v>
      </c>
    </row>
    <row r="154" spans="1:7" x14ac:dyDescent="0.25">
      <c r="A154" s="21" t="s">
        <v>2361</v>
      </c>
      <c r="B154" s="19" t="s">
        <v>540</v>
      </c>
      <c r="C154" t="s">
        <v>23</v>
      </c>
      <c r="D154">
        <v>3</v>
      </c>
      <c r="E154" t="s">
        <v>1215</v>
      </c>
      <c r="F154" t="s">
        <v>2778</v>
      </c>
      <c r="G154" t="s">
        <v>2779</v>
      </c>
    </row>
    <row r="155" spans="1:7" x14ac:dyDescent="0.25">
      <c r="A155" s="21" t="s">
        <v>2361</v>
      </c>
      <c r="B155" s="19" t="s">
        <v>500</v>
      </c>
      <c r="C155" t="s">
        <v>950</v>
      </c>
      <c r="D155">
        <v>66</v>
      </c>
      <c r="E155" t="s">
        <v>1217</v>
      </c>
      <c r="F155" t="s">
        <v>2774</v>
      </c>
      <c r="G155" t="s">
        <v>2775</v>
      </c>
    </row>
    <row r="156" spans="1:7" x14ac:dyDescent="0.25">
      <c r="A156" s="21" t="s">
        <v>2361</v>
      </c>
      <c r="B156" s="19" t="s">
        <v>500</v>
      </c>
      <c r="C156" t="s">
        <v>1025</v>
      </c>
      <c r="D156">
        <v>14</v>
      </c>
      <c r="E156" t="s">
        <v>1219</v>
      </c>
      <c r="F156" t="s">
        <v>2774</v>
      </c>
      <c r="G156" t="s">
        <v>2775</v>
      </c>
    </row>
    <row r="157" spans="1:7" x14ac:dyDescent="0.25">
      <c r="A157" s="21" t="s">
        <v>2361</v>
      </c>
      <c r="B157" s="19" t="s">
        <v>500</v>
      </c>
      <c r="C157" t="s">
        <v>923</v>
      </c>
      <c r="D157">
        <v>10</v>
      </c>
      <c r="E157" t="s">
        <v>1221</v>
      </c>
      <c r="F157" t="s">
        <v>2776</v>
      </c>
      <c r="G157" t="s">
        <v>2777</v>
      </c>
    </row>
    <row r="158" spans="1:7" x14ac:dyDescent="0.25">
      <c r="A158" s="21" t="s">
        <v>2361</v>
      </c>
      <c r="B158" s="19" t="s">
        <v>500</v>
      </c>
      <c r="C158" t="s">
        <v>23</v>
      </c>
      <c r="D158">
        <v>4</v>
      </c>
      <c r="E158" t="s">
        <v>1223</v>
      </c>
      <c r="F158" t="s">
        <v>2778</v>
      </c>
      <c r="G158" t="s">
        <v>2779</v>
      </c>
    </row>
    <row r="159" spans="1:7" x14ac:dyDescent="0.25">
      <c r="A159" s="21" t="s">
        <v>2361</v>
      </c>
      <c r="B159" s="19" t="s">
        <v>500</v>
      </c>
      <c r="C159" t="s">
        <v>18</v>
      </c>
      <c r="D159">
        <v>2</v>
      </c>
      <c r="E159" t="s">
        <v>1224</v>
      </c>
      <c r="F159" t="s">
        <v>2776</v>
      </c>
      <c r="G159" t="s">
        <v>2777</v>
      </c>
    </row>
    <row r="160" spans="1:7" x14ac:dyDescent="0.25">
      <c r="A160" s="21" t="s">
        <v>2361</v>
      </c>
      <c r="B160" s="19" t="s">
        <v>500</v>
      </c>
      <c r="C160" t="s">
        <v>941</v>
      </c>
      <c r="D160">
        <v>2</v>
      </c>
      <c r="E160" t="s">
        <v>2737</v>
      </c>
      <c r="F160" t="s">
        <v>2778</v>
      </c>
      <c r="G160" t="s">
        <v>2779</v>
      </c>
    </row>
    <row r="161" spans="1:7" x14ac:dyDescent="0.25">
      <c r="A161" s="21" t="s">
        <v>2361</v>
      </c>
      <c r="B161" s="19" t="s">
        <v>500</v>
      </c>
      <c r="C161" t="s">
        <v>1225</v>
      </c>
      <c r="D161">
        <v>2</v>
      </c>
      <c r="E161" t="s">
        <v>1226</v>
      </c>
      <c r="F161" t="s">
        <v>2776</v>
      </c>
      <c r="G161" t="s">
        <v>2777</v>
      </c>
    </row>
    <row r="162" spans="1:7" x14ac:dyDescent="0.25">
      <c r="A162" s="21" t="s">
        <v>2361</v>
      </c>
      <c r="B162" s="19" t="s">
        <v>530</v>
      </c>
      <c r="C162" t="s">
        <v>950</v>
      </c>
      <c r="D162">
        <v>70</v>
      </c>
      <c r="E162" t="s">
        <v>1228</v>
      </c>
      <c r="F162" t="s">
        <v>2774</v>
      </c>
      <c r="G162" t="s">
        <v>2775</v>
      </c>
    </row>
    <row r="163" spans="1:7" x14ac:dyDescent="0.25">
      <c r="A163" s="21" t="s">
        <v>2361</v>
      </c>
      <c r="B163" s="19" t="s">
        <v>530</v>
      </c>
      <c r="C163" t="s">
        <v>923</v>
      </c>
      <c r="D163">
        <v>10</v>
      </c>
      <c r="E163" t="s">
        <v>1229</v>
      </c>
      <c r="F163" t="s">
        <v>2776</v>
      </c>
      <c r="G163" t="s">
        <v>2777</v>
      </c>
    </row>
    <row r="164" spans="1:7" x14ac:dyDescent="0.25">
      <c r="A164" s="21" t="s">
        <v>2361</v>
      </c>
      <c r="B164" s="19" t="s">
        <v>530</v>
      </c>
      <c r="C164" t="s">
        <v>1025</v>
      </c>
      <c r="D164">
        <v>6</v>
      </c>
      <c r="E164" t="s">
        <v>1231</v>
      </c>
      <c r="F164" t="s">
        <v>2780</v>
      </c>
      <c r="G164" t="s">
        <v>2781</v>
      </c>
    </row>
    <row r="165" spans="1:7" x14ac:dyDescent="0.25">
      <c r="A165" s="21" t="s">
        <v>2361</v>
      </c>
      <c r="B165" s="19" t="s">
        <v>530</v>
      </c>
      <c r="C165" t="s">
        <v>23</v>
      </c>
      <c r="D165">
        <v>3</v>
      </c>
      <c r="E165" t="s">
        <v>1233</v>
      </c>
      <c r="F165" t="s">
        <v>2778</v>
      </c>
      <c r="G165" t="s">
        <v>2779</v>
      </c>
    </row>
    <row r="166" spans="1:7" x14ac:dyDescent="0.25">
      <c r="A166" s="21" t="s">
        <v>2361</v>
      </c>
      <c r="B166" s="19" t="s">
        <v>530</v>
      </c>
      <c r="C166" t="s">
        <v>18</v>
      </c>
      <c r="D166">
        <v>2</v>
      </c>
      <c r="E166" t="s">
        <v>1235</v>
      </c>
      <c r="F166" t="s">
        <v>2776</v>
      </c>
      <c r="G166" t="s">
        <v>2777</v>
      </c>
    </row>
    <row r="167" spans="1:7" x14ac:dyDescent="0.25">
      <c r="A167" s="21" t="s">
        <v>2361</v>
      </c>
      <c r="B167" s="19" t="s">
        <v>530</v>
      </c>
      <c r="C167" t="s">
        <v>1225</v>
      </c>
      <c r="D167">
        <v>3</v>
      </c>
      <c r="E167" t="s">
        <v>1237</v>
      </c>
      <c r="F167" t="s">
        <v>2776</v>
      </c>
      <c r="G167" t="s">
        <v>2777</v>
      </c>
    </row>
    <row r="168" spans="1:7" x14ac:dyDescent="0.25">
      <c r="A168" s="21" t="s">
        <v>2361</v>
      </c>
      <c r="B168" s="19" t="s">
        <v>530</v>
      </c>
      <c r="C168" t="s">
        <v>941</v>
      </c>
      <c r="D168">
        <v>2</v>
      </c>
      <c r="E168" t="s">
        <v>2738</v>
      </c>
      <c r="F168" t="s">
        <v>2778</v>
      </c>
      <c r="G168" t="s">
        <v>2779</v>
      </c>
    </row>
    <row r="169" spans="1:7" x14ac:dyDescent="0.25">
      <c r="A169" s="21" t="s">
        <v>2361</v>
      </c>
      <c r="B169" s="19" t="s">
        <v>530</v>
      </c>
      <c r="C169" t="s">
        <v>903</v>
      </c>
      <c r="D169">
        <v>4</v>
      </c>
      <c r="E169" t="s">
        <v>1239</v>
      </c>
      <c r="F169" t="s">
        <v>2774</v>
      </c>
      <c r="G169" t="s">
        <v>2775</v>
      </c>
    </row>
    <row r="170" spans="1:7" x14ac:dyDescent="0.25">
      <c r="A170" s="21" t="s">
        <v>2361</v>
      </c>
      <c r="B170" s="19" t="s">
        <v>538</v>
      </c>
      <c r="C170" t="s">
        <v>1025</v>
      </c>
      <c r="D170">
        <v>50</v>
      </c>
      <c r="E170" t="s">
        <v>1294</v>
      </c>
      <c r="F170" t="s">
        <v>2774</v>
      </c>
      <c r="G170" t="s">
        <v>2775</v>
      </c>
    </row>
    <row r="171" spans="1:7" x14ac:dyDescent="0.25">
      <c r="A171" s="21" t="s">
        <v>2361</v>
      </c>
      <c r="B171" s="19" t="s">
        <v>538</v>
      </c>
      <c r="C171" t="s">
        <v>923</v>
      </c>
      <c r="D171">
        <v>36</v>
      </c>
      <c r="E171" t="s">
        <v>1296</v>
      </c>
      <c r="F171" t="s">
        <v>2774</v>
      </c>
      <c r="G171" t="s">
        <v>2775</v>
      </c>
    </row>
    <row r="172" spans="1:7" x14ac:dyDescent="0.25">
      <c r="A172" s="21" t="s">
        <v>2361</v>
      </c>
      <c r="B172" s="19" t="s">
        <v>538</v>
      </c>
      <c r="C172" t="s">
        <v>1028</v>
      </c>
      <c r="D172">
        <v>8</v>
      </c>
      <c r="E172" t="s">
        <v>1298</v>
      </c>
      <c r="F172" t="s">
        <v>2780</v>
      </c>
      <c r="G172" t="s">
        <v>2781</v>
      </c>
    </row>
    <row r="173" spans="1:7" x14ac:dyDescent="0.25">
      <c r="A173" s="21" t="s">
        <v>2361</v>
      </c>
      <c r="B173" s="19" t="s">
        <v>538</v>
      </c>
      <c r="C173" t="s">
        <v>950</v>
      </c>
      <c r="D173">
        <v>4</v>
      </c>
      <c r="E173" t="s">
        <v>1300</v>
      </c>
      <c r="F173" t="s">
        <v>2780</v>
      </c>
      <c r="G173" t="s">
        <v>2781</v>
      </c>
    </row>
    <row r="174" spans="1:7" x14ac:dyDescent="0.25">
      <c r="A174" s="21" t="s">
        <v>2361</v>
      </c>
      <c r="B174" s="19" t="s">
        <v>538</v>
      </c>
      <c r="C174" t="s">
        <v>941</v>
      </c>
      <c r="D174">
        <v>2</v>
      </c>
      <c r="E174" t="s">
        <v>2737</v>
      </c>
      <c r="F174" t="s">
        <v>2778</v>
      </c>
      <c r="G174" t="s">
        <v>2779</v>
      </c>
    </row>
    <row r="175" spans="1:7" x14ac:dyDescent="0.25">
      <c r="A175" s="21" t="s">
        <v>2361</v>
      </c>
      <c r="B175" s="19" t="s">
        <v>542</v>
      </c>
      <c r="C175" t="s">
        <v>950</v>
      </c>
      <c r="D175">
        <v>69</v>
      </c>
      <c r="E175" t="s">
        <v>1287</v>
      </c>
      <c r="F175" t="s">
        <v>2774</v>
      </c>
      <c r="G175" t="s">
        <v>2775</v>
      </c>
    </row>
    <row r="176" spans="1:7" x14ac:dyDescent="0.25">
      <c r="A176" s="21" t="s">
        <v>2361</v>
      </c>
      <c r="B176" s="19" t="s">
        <v>542</v>
      </c>
      <c r="C176" t="s">
        <v>1025</v>
      </c>
      <c r="D176">
        <v>10</v>
      </c>
      <c r="E176" t="s">
        <v>1288</v>
      </c>
      <c r="F176" t="s">
        <v>2774</v>
      </c>
      <c r="G176" t="s">
        <v>2775</v>
      </c>
    </row>
    <row r="177" spans="1:7" x14ac:dyDescent="0.25">
      <c r="A177" s="21" t="s">
        <v>2361</v>
      </c>
      <c r="B177" s="19" t="s">
        <v>542</v>
      </c>
      <c r="C177" t="s">
        <v>903</v>
      </c>
      <c r="D177">
        <v>6</v>
      </c>
      <c r="E177" t="s">
        <v>1289</v>
      </c>
      <c r="F177" t="s">
        <v>2774</v>
      </c>
      <c r="G177" t="s">
        <v>2775</v>
      </c>
    </row>
    <row r="178" spans="1:7" x14ac:dyDescent="0.25">
      <c r="A178" s="21" t="s">
        <v>2361</v>
      </c>
      <c r="B178" s="19" t="s">
        <v>542</v>
      </c>
      <c r="C178" t="s">
        <v>923</v>
      </c>
      <c r="D178">
        <v>5</v>
      </c>
      <c r="E178" t="s">
        <v>1290</v>
      </c>
      <c r="F178" t="s">
        <v>2776</v>
      </c>
      <c r="G178" t="s">
        <v>2777</v>
      </c>
    </row>
    <row r="179" spans="1:7" x14ac:dyDescent="0.25">
      <c r="A179" s="21" t="s">
        <v>2361</v>
      </c>
      <c r="B179" s="19" t="s">
        <v>542</v>
      </c>
      <c r="C179" t="s">
        <v>23</v>
      </c>
      <c r="D179">
        <v>3</v>
      </c>
      <c r="E179" t="s">
        <v>1292</v>
      </c>
      <c r="F179" t="s">
        <v>2778</v>
      </c>
      <c r="G179" t="s">
        <v>2779</v>
      </c>
    </row>
    <row r="180" spans="1:7" x14ac:dyDescent="0.25">
      <c r="A180" s="21" t="s">
        <v>2361</v>
      </c>
      <c r="B180" s="19" t="s">
        <v>542</v>
      </c>
      <c r="C180" t="s">
        <v>1225</v>
      </c>
      <c r="D180">
        <v>3</v>
      </c>
      <c r="E180" t="s">
        <v>1247</v>
      </c>
      <c r="F180" t="s">
        <v>2776</v>
      </c>
      <c r="G180" t="s">
        <v>2777</v>
      </c>
    </row>
    <row r="181" spans="1:7" x14ac:dyDescent="0.25">
      <c r="A181" s="21" t="s">
        <v>2361</v>
      </c>
      <c r="B181" s="19" t="s">
        <v>542</v>
      </c>
      <c r="C181" t="s">
        <v>941</v>
      </c>
      <c r="D181">
        <v>2</v>
      </c>
      <c r="E181" t="s">
        <v>2736</v>
      </c>
      <c r="F181" t="s">
        <v>2778</v>
      </c>
      <c r="G181" t="s">
        <v>2779</v>
      </c>
    </row>
    <row r="182" spans="1:7" x14ac:dyDescent="0.25">
      <c r="A182" s="21" t="s">
        <v>2361</v>
      </c>
      <c r="B182" s="19" t="s">
        <v>542</v>
      </c>
      <c r="C182" t="s">
        <v>18</v>
      </c>
      <c r="D182">
        <v>2</v>
      </c>
      <c r="E182" t="s">
        <v>1224</v>
      </c>
      <c r="F182" t="s">
        <v>2776</v>
      </c>
      <c r="G182" t="s">
        <v>2777</v>
      </c>
    </row>
    <row r="183" spans="1:7" x14ac:dyDescent="0.25">
      <c r="A183" s="21" t="s">
        <v>2361</v>
      </c>
      <c r="B183" s="19" t="s">
        <v>498</v>
      </c>
      <c r="C183" t="s">
        <v>923</v>
      </c>
      <c r="D183">
        <v>76</v>
      </c>
      <c r="E183" t="s">
        <v>2507</v>
      </c>
      <c r="F183" t="s">
        <v>2774</v>
      </c>
      <c r="G183" t="s">
        <v>2775</v>
      </c>
    </row>
    <row r="184" spans="1:7" x14ac:dyDescent="0.25">
      <c r="A184" s="21" t="s">
        <v>2361</v>
      </c>
      <c r="B184" s="19" t="s">
        <v>498</v>
      </c>
      <c r="C184" t="s">
        <v>1028</v>
      </c>
      <c r="D184">
        <v>10</v>
      </c>
      <c r="E184" t="s">
        <v>2508</v>
      </c>
      <c r="F184" t="s">
        <v>2780</v>
      </c>
      <c r="G184" t="s">
        <v>2781</v>
      </c>
    </row>
    <row r="185" spans="1:7" x14ac:dyDescent="0.25">
      <c r="A185" s="21" t="s">
        <v>2361</v>
      </c>
      <c r="B185" s="19" t="s">
        <v>498</v>
      </c>
      <c r="C185" t="s">
        <v>1025</v>
      </c>
      <c r="D185">
        <v>6</v>
      </c>
      <c r="E185" t="s">
        <v>1310</v>
      </c>
      <c r="F185" t="s">
        <v>2780</v>
      </c>
      <c r="G185" t="s">
        <v>2781</v>
      </c>
    </row>
    <row r="186" spans="1:7" x14ac:dyDescent="0.25">
      <c r="A186" s="21" t="s">
        <v>2361</v>
      </c>
      <c r="B186" s="19" t="s">
        <v>498</v>
      </c>
      <c r="C186" t="s">
        <v>950</v>
      </c>
      <c r="D186">
        <v>4</v>
      </c>
      <c r="E186" t="s">
        <v>1312</v>
      </c>
      <c r="F186" t="s">
        <v>2780</v>
      </c>
      <c r="G186" t="s">
        <v>2781</v>
      </c>
    </row>
    <row r="187" spans="1:7" x14ac:dyDescent="0.25">
      <c r="A187" s="21" t="s">
        <v>2361</v>
      </c>
      <c r="B187" s="19" t="s">
        <v>498</v>
      </c>
      <c r="C187" t="s">
        <v>941</v>
      </c>
      <c r="D187">
        <v>2</v>
      </c>
      <c r="E187" t="s">
        <v>2737</v>
      </c>
      <c r="F187" t="s">
        <v>2778</v>
      </c>
      <c r="G187" t="s">
        <v>2779</v>
      </c>
    </row>
    <row r="188" spans="1:7" x14ac:dyDescent="0.25">
      <c r="A188" s="21" t="s">
        <v>2361</v>
      </c>
      <c r="B188" s="19" t="s">
        <v>498</v>
      </c>
      <c r="C188" t="s">
        <v>23</v>
      </c>
      <c r="D188">
        <v>2</v>
      </c>
      <c r="E188" t="s">
        <v>1314</v>
      </c>
      <c r="F188" t="s">
        <v>2778</v>
      </c>
      <c r="G188" t="s">
        <v>2779</v>
      </c>
    </row>
    <row r="189" spans="1:7" x14ac:dyDescent="0.25">
      <c r="A189" s="21" t="s">
        <v>2361</v>
      </c>
      <c r="B189" s="19" t="s">
        <v>532</v>
      </c>
      <c r="C189" t="s">
        <v>923</v>
      </c>
      <c r="D189">
        <v>80</v>
      </c>
      <c r="E189" t="s">
        <v>2509</v>
      </c>
      <c r="F189" t="s">
        <v>2774</v>
      </c>
      <c r="G189" t="s">
        <v>2775</v>
      </c>
    </row>
    <row r="190" spans="1:7" x14ac:dyDescent="0.25">
      <c r="A190" s="21" t="s">
        <v>2361</v>
      </c>
      <c r="B190" s="19" t="s">
        <v>532</v>
      </c>
      <c r="C190" t="s">
        <v>950</v>
      </c>
      <c r="D190">
        <v>8</v>
      </c>
      <c r="E190" t="s">
        <v>1329</v>
      </c>
      <c r="F190" t="s">
        <v>2774</v>
      </c>
      <c r="G190" t="s">
        <v>2775</v>
      </c>
    </row>
    <row r="191" spans="1:7" x14ac:dyDescent="0.25">
      <c r="A191" s="21" t="s">
        <v>2361</v>
      </c>
      <c r="B191" s="19" t="s">
        <v>532</v>
      </c>
      <c r="C191" t="s">
        <v>1025</v>
      </c>
      <c r="D191">
        <v>4</v>
      </c>
      <c r="E191" t="s">
        <v>1331</v>
      </c>
      <c r="F191" t="s">
        <v>2780</v>
      </c>
      <c r="G191" t="s">
        <v>2781</v>
      </c>
    </row>
    <row r="192" spans="1:7" x14ac:dyDescent="0.25">
      <c r="A192" s="21" t="s">
        <v>2361</v>
      </c>
      <c r="B192" s="19" t="s">
        <v>532</v>
      </c>
      <c r="C192" t="s">
        <v>23</v>
      </c>
      <c r="D192">
        <v>4</v>
      </c>
      <c r="E192" t="s">
        <v>1333</v>
      </c>
      <c r="F192" t="s">
        <v>2778</v>
      </c>
      <c r="G192" t="s">
        <v>2779</v>
      </c>
    </row>
    <row r="193" spans="1:7" x14ac:dyDescent="0.25">
      <c r="A193" s="21" t="s">
        <v>2361</v>
      </c>
      <c r="B193" s="19" t="s">
        <v>532</v>
      </c>
      <c r="C193" t="s">
        <v>941</v>
      </c>
      <c r="D193">
        <v>2</v>
      </c>
      <c r="E193" t="s">
        <v>2736</v>
      </c>
      <c r="F193" t="s">
        <v>2778</v>
      </c>
      <c r="G193" t="s">
        <v>2779</v>
      </c>
    </row>
    <row r="194" spans="1:7" x14ac:dyDescent="0.25">
      <c r="A194" s="21" t="s">
        <v>2361</v>
      </c>
      <c r="B194" s="19" t="s">
        <v>532</v>
      </c>
      <c r="C194" t="s">
        <v>18</v>
      </c>
      <c r="D194">
        <v>2</v>
      </c>
      <c r="E194" t="s">
        <v>1224</v>
      </c>
      <c r="F194" t="s">
        <v>2776</v>
      </c>
      <c r="G194" t="s">
        <v>2777</v>
      </c>
    </row>
    <row r="195" spans="1:7" x14ac:dyDescent="0.25">
      <c r="A195" s="21" t="s">
        <v>2361</v>
      </c>
      <c r="B195" s="19" t="s">
        <v>468</v>
      </c>
      <c r="C195" t="s">
        <v>923</v>
      </c>
      <c r="D195">
        <v>84</v>
      </c>
      <c r="E195" t="s">
        <v>2510</v>
      </c>
      <c r="F195" t="s">
        <v>2774</v>
      </c>
      <c r="G195" t="s">
        <v>2775</v>
      </c>
    </row>
    <row r="196" spans="1:7" x14ac:dyDescent="0.25">
      <c r="A196" s="21" t="s">
        <v>2361</v>
      </c>
      <c r="B196" s="19" t="s">
        <v>468</v>
      </c>
      <c r="C196" t="s">
        <v>950</v>
      </c>
      <c r="D196">
        <v>4</v>
      </c>
      <c r="E196" t="s">
        <v>2511</v>
      </c>
      <c r="F196" t="s">
        <v>2780</v>
      </c>
      <c r="G196" t="s">
        <v>2781</v>
      </c>
    </row>
    <row r="197" spans="1:7" x14ac:dyDescent="0.25">
      <c r="A197" s="21" t="s">
        <v>2361</v>
      </c>
      <c r="B197" s="19" t="s">
        <v>468</v>
      </c>
      <c r="C197" t="s">
        <v>1028</v>
      </c>
      <c r="D197">
        <v>4</v>
      </c>
      <c r="E197" t="s">
        <v>2512</v>
      </c>
      <c r="F197" t="s">
        <v>2780</v>
      </c>
      <c r="G197" t="s">
        <v>2781</v>
      </c>
    </row>
    <row r="198" spans="1:7" x14ac:dyDescent="0.25">
      <c r="A198" s="21" t="s">
        <v>2361</v>
      </c>
      <c r="B198" s="19" t="s">
        <v>468</v>
      </c>
      <c r="C198" t="s">
        <v>18</v>
      </c>
      <c r="D198">
        <v>4</v>
      </c>
      <c r="E198" t="s">
        <v>2492</v>
      </c>
      <c r="F198" t="s">
        <v>2780</v>
      </c>
      <c r="G198" t="s">
        <v>2781</v>
      </c>
    </row>
    <row r="199" spans="1:7" x14ac:dyDescent="0.25">
      <c r="A199" s="21" t="s">
        <v>2361</v>
      </c>
      <c r="B199" s="19" t="s">
        <v>468</v>
      </c>
      <c r="C199" t="s">
        <v>941</v>
      </c>
      <c r="D199">
        <v>2</v>
      </c>
      <c r="E199" t="s">
        <v>2736</v>
      </c>
      <c r="F199" t="s">
        <v>2778</v>
      </c>
      <c r="G199" t="s">
        <v>2779</v>
      </c>
    </row>
    <row r="200" spans="1:7" x14ac:dyDescent="0.25">
      <c r="A200" s="21" t="s">
        <v>2361</v>
      </c>
      <c r="B200" s="19" t="s">
        <v>468</v>
      </c>
      <c r="C200" t="s">
        <v>23</v>
      </c>
      <c r="D200">
        <v>2</v>
      </c>
      <c r="E200" t="s">
        <v>1325</v>
      </c>
      <c r="F200" t="s">
        <v>2778</v>
      </c>
      <c r="G200" t="s">
        <v>2779</v>
      </c>
    </row>
    <row r="201" spans="1:7" x14ac:dyDescent="0.25">
      <c r="A201" s="21" t="s">
        <v>2361</v>
      </c>
      <c r="B201" s="19" t="s">
        <v>472</v>
      </c>
      <c r="C201" t="s">
        <v>923</v>
      </c>
      <c r="D201">
        <v>62</v>
      </c>
      <c r="E201" t="s">
        <v>2783</v>
      </c>
      <c r="F201" t="s">
        <v>2774</v>
      </c>
      <c r="G201" t="s">
        <v>2775</v>
      </c>
    </row>
    <row r="202" spans="1:7" x14ac:dyDescent="0.25">
      <c r="A202" s="21" t="s">
        <v>2361</v>
      </c>
      <c r="B202" s="19" t="s">
        <v>472</v>
      </c>
      <c r="C202" t="s">
        <v>950</v>
      </c>
      <c r="D202">
        <v>18</v>
      </c>
      <c r="E202" t="s">
        <v>1373</v>
      </c>
      <c r="F202" t="s">
        <v>2774</v>
      </c>
      <c r="G202" t="s">
        <v>2775</v>
      </c>
    </row>
    <row r="203" spans="1:7" x14ac:dyDescent="0.25">
      <c r="A203" s="21" t="s">
        <v>2361</v>
      </c>
      <c r="B203" s="19" t="s">
        <v>472</v>
      </c>
      <c r="C203" t="s">
        <v>23</v>
      </c>
      <c r="D203">
        <v>8</v>
      </c>
      <c r="E203" t="s">
        <v>1375</v>
      </c>
      <c r="F203" t="s">
        <v>2778</v>
      </c>
      <c r="G203" t="s">
        <v>2779</v>
      </c>
    </row>
    <row r="204" spans="1:7" x14ac:dyDescent="0.25">
      <c r="A204" s="21" t="s">
        <v>2361</v>
      </c>
      <c r="B204" s="19" t="s">
        <v>472</v>
      </c>
      <c r="C204" t="s">
        <v>1025</v>
      </c>
      <c r="D204">
        <v>4</v>
      </c>
      <c r="E204" t="s">
        <v>1377</v>
      </c>
      <c r="F204" t="s">
        <v>2780</v>
      </c>
      <c r="G204" t="s">
        <v>2781</v>
      </c>
    </row>
    <row r="205" spans="1:7" x14ac:dyDescent="0.25">
      <c r="A205" s="21" t="s">
        <v>2361</v>
      </c>
      <c r="B205" s="19" t="s">
        <v>472</v>
      </c>
      <c r="C205" t="s">
        <v>18</v>
      </c>
      <c r="D205">
        <v>2</v>
      </c>
      <c r="E205" t="s">
        <v>1224</v>
      </c>
      <c r="F205" t="s">
        <v>2776</v>
      </c>
      <c r="G205" t="s">
        <v>2777</v>
      </c>
    </row>
    <row r="206" spans="1:7" x14ac:dyDescent="0.25">
      <c r="A206" s="21" t="s">
        <v>2361</v>
      </c>
      <c r="B206" s="19" t="s">
        <v>472</v>
      </c>
      <c r="C206" t="s">
        <v>941</v>
      </c>
      <c r="D206">
        <v>2</v>
      </c>
      <c r="E206" t="s">
        <v>2739</v>
      </c>
      <c r="F206" t="s">
        <v>2778</v>
      </c>
      <c r="G206" t="s">
        <v>2779</v>
      </c>
    </row>
    <row r="207" spans="1:7" x14ac:dyDescent="0.25">
      <c r="A207" s="21" t="s">
        <v>2361</v>
      </c>
      <c r="B207" s="19" t="s">
        <v>472</v>
      </c>
      <c r="C207" t="s">
        <v>1225</v>
      </c>
      <c r="D207">
        <v>4</v>
      </c>
      <c r="E207" t="s">
        <v>1226</v>
      </c>
      <c r="F207" t="s">
        <v>2776</v>
      </c>
      <c r="G207" t="s">
        <v>2777</v>
      </c>
    </row>
    <row r="208" spans="1:7" x14ac:dyDescent="0.25">
      <c r="A208" s="21" t="s">
        <v>2361</v>
      </c>
      <c r="B208" s="19" t="s">
        <v>496</v>
      </c>
      <c r="C208" t="s">
        <v>1028</v>
      </c>
      <c r="D208">
        <v>50</v>
      </c>
      <c r="E208" t="s">
        <v>2498</v>
      </c>
      <c r="F208" t="s">
        <v>2774</v>
      </c>
      <c r="G208" t="s">
        <v>2775</v>
      </c>
    </row>
    <row r="209" spans="1:7" x14ac:dyDescent="0.25">
      <c r="A209" s="21" t="s">
        <v>2361</v>
      </c>
      <c r="B209" s="19" t="s">
        <v>496</v>
      </c>
      <c r="C209" t="s">
        <v>923</v>
      </c>
      <c r="D209">
        <v>26</v>
      </c>
      <c r="E209" t="s">
        <v>1384</v>
      </c>
      <c r="F209" t="s">
        <v>2774</v>
      </c>
      <c r="G209" t="s">
        <v>2775</v>
      </c>
    </row>
    <row r="210" spans="1:7" x14ac:dyDescent="0.25">
      <c r="A210" s="21" t="s">
        <v>2361</v>
      </c>
      <c r="B210" s="19" t="s">
        <v>496</v>
      </c>
      <c r="C210" t="s">
        <v>18</v>
      </c>
      <c r="D210">
        <v>8</v>
      </c>
      <c r="E210" t="s">
        <v>2499</v>
      </c>
      <c r="F210" t="s">
        <v>2780</v>
      </c>
      <c r="G210" t="s">
        <v>2781</v>
      </c>
    </row>
    <row r="211" spans="1:7" x14ac:dyDescent="0.25">
      <c r="A211" s="21" t="s">
        <v>2361</v>
      </c>
      <c r="B211" s="19" t="s">
        <v>496</v>
      </c>
      <c r="C211" t="s">
        <v>23</v>
      </c>
      <c r="D211">
        <v>6</v>
      </c>
      <c r="E211" t="s">
        <v>2505</v>
      </c>
      <c r="F211" t="s">
        <v>2776</v>
      </c>
      <c r="G211" t="s">
        <v>2777</v>
      </c>
    </row>
    <row r="212" spans="1:7" x14ac:dyDescent="0.25">
      <c r="A212" s="21" t="s">
        <v>2361</v>
      </c>
      <c r="B212" s="19" t="s">
        <v>496</v>
      </c>
      <c r="C212" t="s">
        <v>950</v>
      </c>
      <c r="D212">
        <v>4</v>
      </c>
      <c r="E212" t="s">
        <v>1389</v>
      </c>
      <c r="F212" t="s">
        <v>2780</v>
      </c>
      <c r="G212" t="s">
        <v>2781</v>
      </c>
    </row>
    <row r="213" spans="1:7" x14ac:dyDescent="0.25">
      <c r="A213" s="21" t="s">
        <v>2361</v>
      </c>
      <c r="B213" s="19" t="s">
        <v>496</v>
      </c>
      <c r="C213" t="s">
        <v>2374</v>
      </c>
      <c r="D213">
        <v>4</v>
      </c>
      <c r="E213" t="s">
        <v>1390</v>
      </c>
      <c r="F213" t="s">
        <v>2776</v>
      </c>
      <c r="G213" t="s">
        <v>2777</v>
      </c>
    </row>
    <row r="214" spans="1:7" x14ac:dyDescent="0.25">
      <c r="A214" s="21" t="s">
        <v>2361</v>
      </c>
      <c r="B214" s="19" t="s">
        <v>496</v>
      </c>
      <c r="C214" t="s">
        <v>941</v>
      </c>
      <c r="D214">
        <v>2</v>
      </c>
      <c r="E214" t="s">
        <v>2736</v>
      </c>
      <c r="F214" t="s">
        <v>2778</v>
      </c>
      <c r="G214" t="s">
        <v>2779</v>
      </c>
    </row>
    <row r="215" spans="1:7" x14ac:dyDescent="0.25">
      <c r="A215" s="21" t="s">
        <v>2361</v>
      </c>
      <c r="B215" s="19" t="s">
        <v>19</v>
      </c>
      <c r="C215" t="s">
        <v>23</v>
      </c>
      <c r="D215">
        <v>73</v>
      </c>
      <c r="E215" t="s">
        <v>2500</v>
      </c>
      <c r="F215" t="s">
        <v>2774</v>
      </c>
      <c r="G215" t="s">
        <v>2775</v>
      </c>
    </row>
    <row r="216" spans="1:7" x14ac:dyDescent="0.25">
      <c r="A216" s="21" t="s">
        <v>2361</v>
      </c>
      <c r="B216" s="19" t="s">
        <v>19</v>
      </c>
      <c r="C216" t="s">
        <v>923</v>
      </c>
      <c r="D216">
        <v>7</v>
      </c>
      <c r="E216" t="s">
        <v>1409</v>
      </c>
      <c r="F216" t="s">
        <v>2780</v>
      </c>
      <c r="G216" t="s">
        <v>2781</v>
      </c>
    </row>
    <row r="217" spans="1:7" x14ac:dyDescent="0.25">
      <c r="A217" s="21" t="s">
        <v>2361</v>
      </c>
      <c r="B217" s="19" t="s">
        <v>19</v>
      </c>
      <c r="C217" t="s">
        <v>1225</v>
      </c>
      <c r="D217">
        <v>6</v>
      </c>
      <c r="E217" t="s">
        <v>1411</v>
      </c>
      <c r="F217" t="s">
        <v>2780</v>
      </c>
      <c r="G217" t="s">
        <v>2781</v>
      </c>
    </row>
    <row r="218" spans="1:7" x14ac:dyDescent="0.25">
      <c r="A218" s="21" t="s">
        <v>2361</v>
      </c>
      <c r="B218" s="19" t="s">
        <v>19</v>
      </c>
      <c r="C218" t="s">
        <v>18</v>
      </c>
      <c r="D218">
        <v>5</v>
      </c>
      <c r="E218" t="s">
        <v>1413</v>
      </c>
      <c r="F218" t="s">
        <v>2776</v>
      </c>
      <c r="G218" t="s">
        <v>2777</v>
      </c>
    </row>
    <row r="219" spans="1:7" x14ac:dyDescent="0.25">
      <c r="A219" s="21" t="s">
        <v>2361</v>
      </c>
      <c r="B219" s="19" t="s">
        <v>19</v>
      </c>
      <c r="C219" t="s">
        <v>21</v>
      </c>
      <c r="D219">
        <v>3</v>
      </c>
      <c r="E219" t="s">
        <v>1415</v>
      </c>
      <c r="F219" t="s">
        <v>2776</v>
      </c>
      <c r="G219" t="s">
        <v>2777</v>
      </c>
    </row>
    <row r="220" spans="1:7" x14ac:dyDescent="0.25">
      <c r="A220" s="21" t="s">
        <v>2361</v>
      </c>
      <c r="B220" s="19" t="s">
        <v>19</v>
      </c>
      <c r="C220" t="s">
        <v>1028</v>
      </c>
      <c r="D220">
        <v>3</v>
      </c>
      <c r="E220" t="s">
        <v>2501</v>
      </c>
      <c r="F220" t="s">
        <v>2780</v>
      </c>
      <c r="G220" t="s">
        <v>2781</v>
      </c>
    </row>
    <row r="221" spans="1:7" x14ac:dyDescent="0.25">
      <c r="A221" s="21" t="s">
        <v>2361</v>
      </c>
      <c r="B221" s="19" t="s">
        <v>19</v>
      </c>
      <c r="C221" t="s">
        <v>941</v>
      </c>
      <c r="D221">
        <v>3</v>
      </c>
      <c r="E221" t="s">
        <v>2736</v>
      </c>
      <c r="F221" t="s">
        <v>2778</v>
      </c>
      <c r="G221" t="s">
        <v>2779</v>
      </c>
    </row>
    <row r="222" spans="1:7" x14ac:dyDescent="0.25">
      <c r="A222" s="21" t="s">
        <v>2361</v>
      </c>
      <c r="B222" s="19" t="s">
        <v>486</v>
      </c>
      <c r="C222" t="s">
        <v>908</v>
      </c>
      <c r="D222">
        <v>53</v>
      </c>
      <c r="E222" t="s">
        <v>2444</v>
      </c>
      <c r="F222" t="s">
        <v>2774</v>
      </c>
      <c r="G222" t="s">
        <v>2775</v>
      </c>
    </row>
    <row r="223" spans="1:7" x14ac:dyDescent="0.25">
      <c r="A223" s="21" t="s">
        <v>2361</v>
      </c>
      <c r="B223" s="19" t="s">
        <v>486</v>
      </c>
      <c r="C223" t="s">
        <v>903</v>
      </c>
      <c r="D223">
        <v>18</v>
      </c>
      <c r="E223" t="s">
        <v>1252</v>
      </c>
      <c r="F223" t="s">
        <v>2774</v>
      </c>
      <c r="G223" t="s">
        <v>2775</v>
      </c>
    </row>
    <row r="224" spans="1:7" x14ac:dyDescent="0.25">
      <c r="A224" s="21" t="s">
        <v>2361</v>
      </c>
      <c r="B224" s="19" t="s">
        <v>486</v>
      </c>
      <c r="C224" t="s">
        <v>950</v>
      </c>
      <c r="D224">
        <v>14</v>
      </c>
      <c r="E224" t="s">
        <v>1253</v>
      </c>
      <c r="F224" t="s">
        <v>2774</v>
      </c>
      <c r="G224" t="s">
        <v>2775</v>
      </c>
    </row>
    <row r="225" spans="1:7" x14ac:dyDescent="0.25">
      <c r="A225" s="21" t="s">
        <v>2361</v>
      </c>
      <c r="B225" s="19" t="s">
        <v>486</v>
      </c>
      <c r="C225" t="s">
        <v>899</v>
      </c>
      <c r="D225">
        <v>8</v>
      </c>
      <c r="E225" t="s">
        <v>1256</v>
      </c>
      <c r="F225" t="s">
        <v>2774</v>
      </c>
      <c r="G225" t="s">
        <v>2775</v>
      </c>
    </row>
    <row r="226" spans="1:7" x14ac:dyDescent="0.25">
      <c r="A226" s="21" t="s">
        <v>2361</v>
      </c>
      <c r="B226" s="19" t="s">
        <v>486</v>
      </c>
      <c r="C226" t="s">
        <v>1025</v>
      </c>
      <c r="D226">
        <v>3</v>
      </c>
      <c r="E226" t="s">
        <v>1258</v>
      </c>
      <c r="F226" t="s">
        <v>2780</v>
      </c>
      <c r="G226" t="s">
        <v>2781</v>
      </c>
    </row>
    <row r="227" spans="1:7" x14ac:dyDescent="0.25">
      <c r="A227" s="21" t="s">
        <v>2361</v>
      </c>
      <c r="B227" s="19" t="s">
        <v>486</v>
      </c>
      <c r="C227" t="s">
        <v>941</v>
      </c>
      <c r="D227">
        <v>2</v>
      </c>
      <c r="E227" t="s">
        <v>2736</v>
      </c>
      <c r="F227" t="s">
        <v>2778</v>
      </c>
      <c r="G227" t="s">
        <v>2779</v>
      </c>
    </row>
    <row r="228" spans="1:7" x14ac:dyDescent="0.25">
      <c r="A228" s="21" t="s">
        <v>2361</v>
      </c>
      <c r="B228" s="19" t="s">
        <v>486</v>
      </c>
      <c r="C228" t="s">
        <v>18</v>
      </c>
      <c r="D228">
        <v>2</v>
      </c>
      <c r="E228" t="s">
        <v>1224</v>
      </c>
      <c r="F228" t="s">
        <v>2776</v>
      </c>
      <c r="G228" t="s">
        <v>2777</v>
      </c>
    </row>
    <row r="229" spans="1:7" x14ac:dyDescent="0.25">
      <c r="A229" s="21" t="s">
        <v>2361</v>
      </c>
      <c r="B229" s="19" t="s">
        <v>514</v>
      </c>
      <c r="C229" t="s">
        <v>950</v>
      </c>
      <c r="D229">
        <v>55</v>
      </c>
      <c r="E229" t="s">
        <v>2784</v>
      </c>
      <c r="F229" t="s">
        <v>2774</v>
      </c>
      <c r="G229" t="s">
        <v>2775</v>
      </c>
    </row>
    <row r="230" spans="1:7" x14ac:dyDescent="0.25">
      <c r="A230" s="21" t="s">
        <v>2361</v>
      </c>
      <c r="B230" s="19" t="s">
        <v>514</v>
      </c>
      <c r="C230" t="s">
        <v>903</v>
      </c>
      <c r="D230">
        <v>18</v>
      </c>
      <c r="E230" t="s">
        <v>1261</v>
      </c>
      <c r="F230" t="s">
        <v>2774</v>
      </c>
      <c r="G230" t="s">
        <v>2775</v>
      </c>
    </row>
    <row r="231" spans="1:7" x14ac:dyDescent="0.25">
      <c r="A231" s="21" t="s">
        <v>2361</v>
      </c>
      <c r="B231" s="19" t="s">
        <v>514</v>
      </c>
      <c r="C231" t="s">
        <v>908</v>
      </c>
      <c r="D231">
        <v>8</v>
      </c>
      <c r="E231" t="s">
        <v>1262</v>
      </c>
      <c r="F231" t="s">
        <v>2774</v>
      </c>
      <c r="G231" t="s">
        <v>2775</v>
      </c>
    </row>
    <row r="232" spans="1:7" x14ac:dyDescent="0.25">
      <c r="A232" s="21" t="s">
        <v>2361</v>
      </c>
      <c r="B232" s="19" t="s">
        <v>514</v>
      </c>
      <c r="C232" t="s">
        <v>1025</v>
      </c>
      <c r="D232">
        <v>6</v>
      </c>
      <c r="E232" t="s">
        <v>1264</v>
      </c>
      <c r="F232" t="s">
        <v>2780</v>
      </c>
      <c r="G232" t="s">
        <v>2781</v>
      </c>
    </row>
    <row r="233" spans="1:7" x14ac:dyDescent="0.25">
      <c r="A233" s="21" t="s">
        <v>2361</v>
      </c>
      <c r="B233" s="19" t="s">
        <v>514</v>
      </c>
      <c r="C233" t="s">
        <v>899</v>
      </c>
      <c r="D233">
        <v>6</v>
      </c>
      <c r="E233" t="s">
        <v>1266</v>
      </c>
      <c r="F233" t="s">
        <v>2774</v>
      </c>
      <c r="G233" t="s">
        <v>2775</v>
      </c>
    </row>
    <row r="234" spans="1:7" x14ac:dyDescent="0.25">
      <c r="A234" s="21" t="s">
        <v>2361</v>
      </c>
      <c r="B234" s="19" t="s">
        <v>514</v>
      </c>
      <c r="C234" t="s">
        <v>941</v>
      </c>
      <c r="D234">
        <v>2</v>
      </c>
      <c r="E234" t="s">
        <v>2736</v>
      </c>
      <c r="F234" t="s">
        <v>2778</v>
      </c>
      <c r="G234" t="s">
        <v>2779</v>
      </c>
    </row>
    <row r="235" spans="1:7" x14ac:dyDescent="0.25">
      <c r="A235" s="21" t="s">
        <v>2361</v>
      </c>
      <c r="B235" s="19" t="s">
        <v>514</v>
      </c>
      <c r="C235" t="s">
        <v>18</v>
      </c>
      <c r="D235">
        <v>2</v>
      </c>
      <c r="E235" t="s">
        <v>1224</v>
      </c>
      <c r="F235" t="s">
        <v>2776</v>
      </c>
      <c r="G235" t="s">
        <v>2777</v>
      </c>
    </row>
    <row r="236" spans="1:7" x14ac:dyDescent="0.25">
      <c r="A236" s="21" t="s">
        <v>2361</v>
      </c>
      <c r="B236" s="19" t="s">
        <v>514</v>
      </c>
      <c r="C236" t="s">
        <v>923</v>
      </c>
      <c r="D236">
        <v>3</v>
      </c>
      <c r="E236" t="s">
        <v>1268</v>
      </c>
      <c r="F236" t="s">
        <v>2776</v>
      </c>
      <c r="G236" t="s">
        <v>2777</v>
      </c>
    </row>
    <row r="237" spans="1:7" x14ac:dyDescent="0.25">
      <c r="A237" s="21" t="s">
        <v>2361</v>
      </c>
      <c r="B237" s="19" t="s">
        <v>510</v>
      </c>
      <c r="C237" t="s">
        <v>950</v>
      </c>
      <c r="D237">
        <v>57</v>
      </c>
      <c r="E237" t="s">
        <v>1272</v>
      </c>
      <c r="F237" t="s">
        <v>2774</v>
      </c>
      <c r="G237" t="s">
        <v>2775</v>
      </c>
    </row>
    <row r="238" spans="1:7" x14ac:dyDescent="0.25">
      <c r="A238" s="21" t="s">
        <v>2361</v>
      </c>
      <c r="B238" s="19" t="s">
        <v>510</v>
      </c>
      <c r="C238" t="s">
        <v>903</v>
      </c>
      <c r="D238">
        <v>14</v>
      </c>
      <c r="E238" t="s">
        <v>1273</v>
      </c>
      <c r="F238" t="s">
        <v>2774</v>
      </c>
      <c r="G238" t="s">
        <v>2775</v>
      </c>
    </row>
    <row r="239" spans="1:7" x14ac:dyDescent="0.25">
      <c r="A239" s="21" t="s">
        <v>2361</v>
      </c>
      <c r="B239" s="19" t="s">
        <v>510</v>
      </c>
      <c r="C239" t="s">
        <v>1025</v>
      </c>
      <c r="D239">
        <v>12</v>
      </c>
      <c r="E239" t="s">
        <v>1275</v>
      </c>
      <c r="F239" t="s">
        <v>2774</v>
      </c>
      <c r="G239" t="s">
        <v>2775</v>
      </c>
    </row>
    <row r="240" spans="1:7" x14ac:dyDescent="0.25">
      <c r="A240" s="21" t="s">
        <v>2361</v>
      </c>
      <c r="B240" s="19" t="s">
        <v>510</v>
      </c>
      <c r="C240" t="s">
        <v>908</v>
      </c>
      <c r="D240">
        <v>4</v>
      </c>
      <c r="E240" t="s">
        <v>1277</v>
      </c>
      <c r="F240" t="s">
        <v>2780</v>
      </c>
      <c r="G240" t="s">
        <v>2781</v>
      </c>
    </row>
    <row r="241" spans="1:7" x14ac:dyDescent="0.25">
      <c r="A241" s="21" t="s">
        <v>2361</v>
      </c>
      <c r="B241" s="19" t="s">
        <v>510</v>
      </c>
      <c r="C241" t="s">
        <v>899</v>
      </c>
      <c r="D241">
        <v>5</v>
      </c>
      <c r="E241" t="s">
        <v>1279</v>
      </c>
      <c r="F241" t="s">
        <v>2774</v>
      </c>
      <c r="G241" t="s">
        <v>2775</v>
      </c>
    </row>
    <row r="242" spans="1:7" x14ac:dyDescent="0.25">
      <c r="A242" s="21" t="s">
        <v>2361</v>
      </c>
      <c r="B242" s="19" t="s">
        <v>510</v>
      </c>
      <c r="C242" t="s">
        <v>923</v>
      </c>
      <c r="D242">
        <v>2</v>
      </c>
      <c r="E242" t="s">
        <v>1280</v>
      </c>
      <c r="F242" t="s">
        <v>2776</v>
      </c>
      <c r="G242" t="s">
        <v>2777</v>
      </c>
    </row>
    <row r="243" spans="1:7" x14ac:dyDescent="0.25">
      <c r="A243" s="21" t="s">
        <v>2361</v>
      </c>
      <c r="B243" s="19" t="s">
        <v>510</v>
      </c>
      <c r="C243" t="s">
        <v>941</v>
      </c>
      <c r="D243">
        <v>3</v>
      </c>
      <c r="E243" t="s">
        <v>2736</v>
      </c>
      <c r="F243" t="s">
        <v>2778</v>
      </c>
      <c r="G243" t="s">
        <v>2779</v>
      </c>
    </row>
    <row r="244" spans="1:7" x14ac:dyDescent="0.25">
      <c r="A244" s="21" t="s">
        <v>2361</v>
      </c>
      <c r="B244" s="19" t="s">
        <v>510</v>
      </c>
      <c r="C244" t="s">
        <v>18</v>
      </c>
      <c r="D244">
        <v>3</v>
      </c>
      <c r="E244" t="s">
        <v>1224</v>
      </c>
      <c r="F244" t="s">
        <v>2776</v>
      </c>
      <c r="G244" t="s">
        <v>2777</v>
      </c>
    </row>
    <row r="245" spans="1:7" x14ac:dyDescent="0.25">
      <c r="A245" s="21" t="s">
        <v>2361</v>
      </c>
      <c r="B245" s="19" t="s">
        <v>619</v>
      </c>
      <c r="C245" t="s">
        <v>1225</v>
      </c>
      <c r="D245">
        <v>76</v>
      </c>
      <c r="E245" t="s">
        <v>1419</v>
      </c>
      <c r="F245" t="s">
        <v>2774</v>
      </c>
      <c r="G245" t="s">
        <v>2775</v>
      </c>
    </row>
    <row r="246" spans="1:7" x14ac:dyDescent="0.25">
      <c r="A246" s="21" t="s">
        <v>2361</v>
      </c>
      <c r="B246" s="19" t="s">
        <v>619</v>
      </c>
      <c r="C246" t="s">
        <v>950</v>
      </c>
      <c r="D246">
        <v>8</v>
      </c>
      <c r="E246" t="s">
        <v>1420</v>
      </c>
      <c r="F246" t="s">
        <v>2774</v>
      </c>
      <c r="G246" t="s">
        <v>2775</v>
      </c>
    </row>
    <row r="247" spans="1:7" x14ac:dyDescent="0.25">
      <c r="A247" s="21" t="s">
        <v>2361</v>
      </c>
      <c r="B247" s="19" t="s">
        <v>619</v>
      </c>
      <c r="C247" t="s">
        <v>23</v>
      </c>
      <c r="D247">
        <v>6</v>
      </c>
      <c r="E247" t="s">
        <v>1422</v>
      </c>
      <c r="F247" t="s">
        <v>2776</v>
      </c>
      <c r="G247" t="s">
        <v>2777</v>
      </c>
    </row>
    <row r="248" spans="1:7" x14ac:dyDescent="0.25">
      <c r="A248" s="21" t="s">
        <v>2361</v>
      </c>
      <c r="B248" s="19" t="s">
        <v>619</v>
      </c>
      <c r="C248" t="s">
        <v>21</v>
      </c>
      <c r="D248">
        <v>4</v>
      </c>
      <c r="E248" t="s">
        <v>1424</v>
      </c>
      <c r="F248" t="s">
        <v>2776</v>
      </c>
      <c r="G248" t="s">
        <v>2777</v>
      </c>
    </row>
    <row r="249" spans="1:7" x14ac:dyDescent="0.25">
      <c r="A249" s="21" t="s">
        <v>2361</v>
      </c>
      <c r="B249" s="19" t="s">
        <v>619</v>
      </c>
      <c r="C249" t="s">
        <v>923</v>
      </c>
      <c r="D249">
        <v>2</v>
      </c>
      <c r="E249" t="s">
        <v>1425</v>
      </c>
      <c r="F249" t="s">
        <v>2776</v>
      </c>
      <c r="G249" t="s">
        <v>2777</v>
      </c>
    </row>
    <row r="250" spans="1:7" x14ac:dyDescent="0.25">
      <c r="A250" s="21" t="s">
        <v>2361</v>
      </c>
      <c r="B250" s="19" t="s">
        <v>619</v>
      </c>
      <c r="C250" t="s">
        <v>941</v>
      </c>
      <c r="D250">
        <v>2</v>
      </c>
      <c r="E250" t="s">
        <v>2736</v>
      </c>
      <c r="F250" t="s">
        <v>2778</v>
      </c>
      <c r="G250" t="s">
        <v>2779</v>
      </c>
    </row>
    <row r="251" spans="1:7" x14ac:dyDescent="0.25">
      <c r="A251" s="21" t="s">
        <v>2361</v>
      </c>
      <c r="B251" s="19" t="s">
        <v>619</v>
      </c>
      <c r="C251" t="s">
        <v>18</v>
      </c>
      <c r="D251">
        <v>2</v>
      </c>
      <c r="E251" t="s">
        <v>1224</v>
      </c>
      <c r="F251" t="s">
        <v>2776</v>
      </c>
      <c r="G251" t="s">
        <v>2777</v>
      </c>
    </row>
    <row r="252" spans="1:7" x14ac:dyDescent="0.25">
      <c r="A252" s="21" t="s">
        <v>2361</v>
      </c>
      <c r="B252" s="22" t="s">
        <v>625</v>
      </c>
      <c r="C252" t="s">
        <v>18</v>
      </c>
      <c r="D252">
        <v>36</v>
      </c>
      <c r="E252" t="s">
        <v>2342</v>
      </c>
      <c r="F252" t="s">
        <v>2774</v>
      </c>
      <c r="G252" t="s">
        <v>2775</v>
      </c>
    </row>
    <row r="253" spans="1:7" x14ac:dyDescent="0.25">
      <c r="A253" s="21" t="s">
        <v>2361</v>
      </c>
      <c r="B253" s="22" t="s">
        <v>625</v>
      </c>
      <c r="C253" t="s">
        <v>1025</v>
      </c>
      <c r="D253">
        <v>18</v>
      </c>
      <c r="E253" t="s">
        <v>2344</v>
      </c>
      <c r="F253" t="s">
        <v>2774</v>
      </c>
      <c r="G253" t="s">
        <v>2775</v>
      </c>
    </row>
    <row r="254" spans="1:7" x14ac:dyDescent="0.25">
      <c r="A254" s="21" t="s">
        <v>2361</v>
      </c>
      <c r="B254" s="22" t="s">
        <v>625</v>
      </c>
      <c r="C254" t="s">
        <v>903</v>
      </c>
      <c r="D254">
        <v>8</v>
      </c>
      <c r="E254" t="s">
        <v>2346</v>
      </c>
      <c r="F254" t="s">
        <v>2774</v>
      </c>
      <c r="G254" t="s">
        <v>2775</v>
      </c>
    </row>
    <row r="255" spans="1:7" x14ac:dyDescent="0.25">
      <c r="A255" s="21" t="s">
        <v>2361</v>
      </c>
      <c r="B255" s="22" t="s">
        <v>625</v>
      </c>
      <c r="C255" t="s">
        <v>22</v>
      </c>
      <c r="D255">
        <v>12</v>
      </c>
      <c r="E255" t="s">
        <v>2483</v>
      </c>
      <c r="F255" t="s">
        <v>2776</v>
      </c>
      <c r="G255" t="s">
        <v>2777</v>
      </c>
    </row>
    <row r="256" spans="1:7" x14ac:dyDescent="0.25">
      <c r="A256" s="21" t="s">
        <v>2361</v>
      </c>
      <c r="B256" s="22" t="s">
        <v>625</v>
      </c>
      <c r="C256" t="s">
        <v>21</v>
      </c>
      <c r="D256">
        <v>8</v>
      </c>
      <c r="E256" t="s">
        <v>2350</v>
      </c>
      <c r="F256" t="s">
        <v>2776</v>
      </c>
      <c r="G256" t="s">
        <v>2777</v>
      </c>
    </row>
    <row r="257" spans="1:7" x14ac:dyDescent="0.25">
      <c r="A257" s="21" t="s">
        <v>2361</v>
      </c>
      <c r="B257" s="22" t="s">
        <v>625</v>
      </c>
      <c r="C257" t="s">
        <v>1225</v>
      </c>
      <c r="D257">
        <v>6</v>
      </c>
      <c r="E257" t="s">
        <v>2352</v>
      </c>
      <c r="F257" t="s">
        <v>2776</v>
      </c>
      <c r="G257" t="s">
        <v>2777</v>
      </c>
    </row>
    <row r="258" spans="1:7" x14ac:dyDescent="0.25">
      <c r="A258" s="21" t="s">
        <v>2361</v>
      </c>
      <c r="B258" s="22" t="s">
        <v>625</v>
      </c>
      <c r="C258" t="s">
        <v>698</v>
      </c>
      <c r="D258">
        <v>4</v>
      </c>
      <c r="E258" t="s">
        <v>2354</v>
      </c>
      <c r="F258" t="s">
        <v>2776</v>
      </c>
      <c r="G258" t="s">
        <v>2777</v>
      </c>
    </row>
    <row r="259" spans="1:7" x14ac:dyDescent="0.25">
      <c r="A259" s="21" t="s">
        <v>2361</v>
      </c>
      <c r="B259" s="22" t="s">
        <v>625</v>
      </c>
      <c r="C259" t="s">
        <v>950</v>
      </c>
      <c r="D259">
        <v>4</v>
      </c>
      <c r="E259" t="s">
        <v>2356</v>
      </c>
      <c r="F259" t="s">
        <v>2776</v>
      </c>
      <c r="G259" t="s">
        <v>2777</v>
      </c>
    </row>
    <row r="260" spans="1:7" x14ac:dyDescent="0.25">
      <c r="A260" s="21" t="s">
        <v>2361</v>
      </c>
      <c r="B260" s="22" t="s">
        <v>625</v>
      </c>
      <c r="C260" t="s">
        <v>2374</v>
      </c>
      <c r="D260">
        <v>4</v>
      </c>
      <c r="E260" t="s">
        <v>2358</v>
      </c>
      <c r="F260" t="s">
        <v>2776</v>
      </c>
      <c r="G260" t="s">
        <v>2777</v>
      </c>
    </row>
    <row r="261" spans="1:7" x14ac:dyDescent="0.25">
      <c r="A261" s="21" t="s">
        <v>2361</v>
      </c>
      <c r="B261" t="s">
        <v>512</v>
      </c>
      <c r="C261" t="s">
        <v>1025</v>
      </c>
      <c r="D261">
        <v>65</v>
      </c>
      <c r="E261" t="s">
        <v>2514</v>
      </c>
      <c r="F261" t="s">
        <v>2774</v>
      </c>
      <c r="G261" t="s">
        <v>2775</v>
      </c>
    </row>
    <row r="262" spans="1:7" x14ac:dyDescent="0.25">
      <c r="A262" s="21" t="s">
        <v>2361</v>
      </c>
      <c r="B262" t="s">
        <v>512</v>
      </c>
      <c r="C262" t="s">
        <v>1042</v>
      </c>
      <c r="D262">
        <v>19</v>
      </c>
      <c r="E262" t="s">
        <v>2515</v>
      </c>
      <c r="F262" t="s">
        <v>2776</v>
      </c>
      <c r="G262" t="s">
        <v>2777</v>
      </c>
    </row>
    <row r="263" spans="1:7" x14ac:dyDescent="0.25">
      <c r="A263" s="21" t="s">
        <v>2361</v>
      </c>
      <c r="B263" t="s">
        <v>512</v>
      </c>
      <c r="C263" t="s">
        <v>2374</v>
      </c>
      <c r="D263">
        <v>5</v>
      </c>
      <c r="E263" t="s">
        <v>1078</v>
      </c>
      <c r="F263" t="s">
        <v>2776</v>
      </c>
      <c r="G263" t="s">
        <v>2777</v>
      </c>
    </row>
    <row r="264" spans="1:7" x14ac:dyDescent="0.25">
      <c r="A264" s="21" t="s">
        <v>2361</v>
      </c>
      <c r="B264" t="s">
        <v>512</v>
      </c>
      <c r="C264" t="s">
        <v>941</v>
      </c>
      <c r="D264">
        <v>4</v>
      </c>
      <c r="E264" t="s">
        <v>2497</v>
      </c>
      <c r="F264" t="s">
        <v>2778</v>
      </c>
      <c r="G264" t="s">
        <v>2779</v>
      </c>
    </row>
    <row r="265" spans="1:7" x14ac:dyDescent="0.25">
      <c r="A265" s="21" t="s">
        <v>2361</v>
      </c>
      <c r="B265" t="s">
        <v>512</v>
      </c>
      <c r="C265" t="s">
        <v>923</v>
      </c>
      <c r="D265">
        <v>4</v>
      </c>
      <c r="E265" t="s">
        <v>1080</v>
      </c>
      <c r="F265" t="s">
        <v>2778</v>
      </c>
      <c r="G265" t="s">
        <v>2779</v>
      </c>
    </row>
    <row r="266" spans="1:7" x14ac:dyDescent="0.25">
      <c r="A266" s="21" t="s">
        <v>2361</v>
      </c>
      <c r="B266" t="s">
        <v>512</v>
      </c>
      <c r="C266" t="s">
        <v>23</v>
      </c>
      <c r="D266">
        <v>3</v>
      </c>
      <c r="E266" t="s">
        <v>2680</v>
      </c>
      <c r="F266" t="s">
        <v>2778</v>
      </c>
      <c r="G266" t="s">
        <v>2779</v>
      </c>
    </row>
    <row r="267" spans="1:7" x14ac:dyDescent="0.25">
      <c r="A267" s="21" t="s">
        <v>2361</v>
      </c>
      <c r="B267" t="s">
        <v>478</v>
      </c>
      <c r="C267" t="s">
        <v>18</v>
      </c>
      <c r="D267">
        <v>54</v>
      </c>
      <c r="E267" t="s">
        <v>2785</v>
      </c>
      <c r="F267" t="s">
        <v>2774</v>
      </c>
      <c r="G267" t="s">
        <v>2775</v>
      </c>
    </row>
    <row r="268" spans="1:7" x14ac:dyDescent="0.25">
      <c r="A268" s="21" t="s">
        <v>2361</v>
      </c>
      <c r="B268" t="s">
        <v>478</v>
      </c>
      <c r="C268" t="s">
        <v>1028</v>
      </c>
      <c r="D268">
        <v>20</v>
      </c>
      <c r="E268" t="s">
        <v>2502</v>
      </c>
      <c r="F268" t="s">
        <v>2774</v>
      </c>
      <c r="G268" t="s">
        <v>2775</v>
      </c>
    </row>
    <row r="269" spans="1:7" x14ac:dyDescent="0.25">
      <c r="A269" s="21" t="s">
        <v>2361</v>
      </c>
      <c r="B269" t="s">
        <v>478</v>
      </c>
      <c r="C269" t="s">
        <v>23</v>
      </c>
      <c r="D269">
        <v>14</v>
      </c>
      <c r="E269" t="s">
        <v>20</v>
      </c>
      <c r="F269" t="s">
        <v>2780</v>
      </c>
      <c r="G269" t="s">
        <v>2781</v>
      </c>
    </row>
    <row r="270" spans="1:7" x14ac:dyDescent="0.25">
      <c r="A270" s="21" t="s">
        <v>2361</v>
      </c>
      <c r="B270" t="s">
        <v>478</v>
      </c>
      <c r="C270" t="s">
        <v>923</v>
      </c>
      <c r="D270">
        <v>6</v>
      </c>
      <c r="E270" t="s">
        <v>2503</v>
      </c>
      <c r="F270" t="s">
        <v>2776</v>
      </c>
      <c r="G270" t="s">
        <v>2777</v>
      </c>
    </row>
    <row r="271" spans="1:7" x14ac:dyDescent="0.25">
      <c r="A271" s="21" t="s">
        <v>2361</v>
      </c>
      <c r="B271" t="s">
        <v>478</v>
      </c>
      <c r="C271" t="s">
        <v>2374</v>
      </c>
      <c r="D271">
        <v>4</v>
      </c>
      <c r="E271" t="s">
        <v>1402</v>
      </c>
      <c r="F271" t="s">
        <v>2776</v>
      </c>
      <c r="G271" t="s">
        <v>2777</v>
      </c>
    </row>
    <row r="272" spans="1:7" x14ac:dyDescent="0.25">
      <c r="A272" s="21" t="s">
        <v>2361</v>
      </c>
      <c r="B272" t="s">
        <v>478</v>
      </c>
      <c r="C272" t="s">
        <v>941</v>
      </c>
      <c r="D272">
        <v>2</v>
      </c>
      <c r="E272" t="s">
        <v>2736</v>
      </c>
      <c r="F272" t="s">
        <v>2778</v>
      </c>
      <c r="G272" t="s">
        <v>2779</v>
      </c>
    </row>
    <row r="273" spans="1:7" x14ac:dyDescent="0.25">
      <c r="A273" s="21" t="s">
        <v>2361</v>
      </c>
      <c r="B273" t="s">
        <v>609</v>
      </c>
      <c r="C273" t="s">
        <v>1225</v>
      </c>
      <c r="D273">
        <v>79</v>
      </c>
      <c r="E273" t="s">
        <v>1426</v>
      </c>
      <c r="F273" t="s">
        <v>2774</v>
      </c>
      <c r="G273" t="s">
        <v>2775</v>
      </c>
    </row>
    <row r="274" spans="1:7" x14ac:dyDescent="0.25">
      <c r="A274" s="21" t="s">
        <v>2361</v>
      </c>
      <c r="B274" t="s">
        <v>609</v>
      </c>
      <c r="C274" t="s">
        <v>21</v>
      </c>
      <c r="D274">
        <v>7</v>
      </c>
      <c r="E274" t="s">
        <v>1427</v>
      </c>
      <c r="F274" t="s">
        <v>2776</v>
      </c>
      <c r="G274" t="s">
        <v>2777</v>
      </c>
    </row>
    <row r="275" spans="1:7" x14ac:dyDescent="0.25">
      <c r="A275" s="21" t="s">
        <v>2361</v>
      </c>
      <c r="B275" t="s">
        <v>609</v>
      </c>
      <c r="C275" t="s">
        <v>23</v>
      </c>
      <c r="D275">
        <v>5</v>
      </c>
      <c r="E275" t="s">
        <v>1429</v>
      </c>
      <c r="F275" t="s">
        <v>2776</v>
      </c>
      <c r="G275" t="s">
        <v>2777</v>
      </c>
    </row>
    <row r="276" spans="1:7" x14ac:dyDescent="0.25">
      <c r="A276" s="21" t="s">
        <v>2361</v>
      </c>
      <c r="B276" t="s">
        <v>609</v>
      </c>
      <c r="C276" t="s">
        <v>950</v>
      </c>
      <c r="D276">
        <v>4</v>
      </c>
      <c r="E276" t="s">
        <v>1431</v>
      </c>
      <c r="F276" t="s">
        <v>2774</v>
      </c>
      <c r="G276" t="s">
        <v>2775</v>
      </c>
    </row>
    <row r="277" spans="1:7" x14ac:dyDescent="0.25">
      <c r="A277" s="21" t="s">
        <v>2361</v>
      </c>
      <c r="B277" t="s">
        <v>609</v>
      </c>
      <c r="C277" t="s">
        <v>18</v>
      </c>
      <c r="D277">
        <v>3</v>
      </c>
      <c r="E277" t="s">
        <v>1433</v>
      </c>
      <c r="F277" t="s">
        <v>2776</v>
      </c>
      <c r="G277" t="s">
        <v>2777</v>
      </c>
    </row>
    <row r="278" spans="1:7" x14ac:dyDescent="0.25">
      <c r="A278" s="21" t="s">
        <v>2361</v>
      </c>
      <c r="B278" t="s">
        <v>609</v>
      </c>
      <c r="C278" t="s">
        <v>941</v>
      </c>
      <c r="D278">
        <v>2</v>
      </c>
      <c r="E278" t="s">
        <v>2736</v>
      </c>
      <c r="F278" t="s">
        <v>2778</v>
      </c>
      <c r="G278" t="s">
        <v>2779</v>
      </c>
    </row>
    <row r="279" spans="1:7" x14ac:dyDescent="0.25">
      <c r="A279" s="21" t="s">
        <v>2361</v>
      </c>
      <c r="B279" t="s">
        <v>611</v>
      </c>
      <c r="C279" t="s">
        <v>1225</v>
      </c>
      <c r="D279">
        <v>62</v>
      </c>
      <c r="E279" t="s">
        <v>1435</v>
      </c>
      <c r="F279" t="s">
        <v>2774</v>
      </c>
      <c r="G279" t="s">
        <v>2775</v>
      </c>
    </row>
    <row r="280" spans="1:7" x14ac:dyDescent="0.25">
      <c r="A280" s="21" t="s">
        <v>2361</v>
      </c>
      <c r="B280" t="s">
        <v>611</v>
      </c>
      <c r="C280" t="s">
        <v>23</v>
      </c>
      <c r="D280">
        <v>18</v>
      </c>
      <c r="E280" t="s">
        <v>1436</v>
      </c>
      <c r="F280" t="s">
        <v>2774</v>
      </c>
      <c r="G280" t="s">
        <v>2775</v>
      </c>
    </row>
    <row r="281" spans="1:7" x14ac:dyDescent="0.25">
      <c r="A281" s="21" t="s">
        <v>2361</v>
      </c>
      <c r="B281" t="s">
        <v>611</v>
      </c>
      <c r="C281" t="s">
        <v>21</v>
      </c>
      <c r="D281">
        <v>10</v>
      </c>
      <c r="E281" t="s">
        <v>1438</v>
      </c>
      <c r="F281" t="s">
        <v>2776</v>
      </c>
      <c r="G281" t="s">
        <v>2777</v>
      </c>
    </row>
    <row r="282" spans="1:7" x14ac:dyDescent="0.25">
      <c r="A282" s="21" t="s">
        <v>2361</v>
      </c>
      <c r="B282" t="s">
        <v>611</v>
      </c>
      <c r="C282" t="s">
        <v>950</v>
      </c>
      <c r="D282">
        <v>4</v>
      </c>
      <c r="E282" t="s">
        <v>1440</v>
      </c>
      <c r="F282" t="s">
        <v>2774</v>
      </c>
      <c r="G282" t="s">
        <v>2775</v>
      </c>
    </row>
    <row r="283" spans="1:7" x14ac:dyDescent="0.25">
      <c r="A283" s="21" t="s">
        <v>2361</v>
      </c>
      <c r="B283" t="s">
        <v>611</v>
      </c>
      <c r="C283" t="s">
        <v>18</v>
      </c>
      <c r="D283">
        <v>3</v>
      </c>
      <c r="E283" t="s">
        <v>994</v>
      </c>
      <c r="F283" t="s">
        <v>2776</v>
      </c>
      <c r="G283" t="s">
        <v>2777</v>
      </c>
    </row>
    <row r="284" spans="1:7" x14ac:dyDescent="0.25">
      <c r="A284" s="21" t="s">
        <v>2361</v>
      </c>
      <c r="B284" t="s">
        <v>611</v>
      </c>
      <c r="C284" t="s">
        <v>941</v>
      </c>
      <c r="D284">
        <v>3</v>
      </c>
      <c r="E284" t="s">
        <v>2736</v>
      </c>
      <c r="F284" t="s">
        <v>2778</v>
      </c>
      <c r="G284" t="s">
        <v>2779</v>
      </c>
    </row>
    <row r="285" spans="1:7" x14ac:dyDescent="0.25">
      <c r="A285" s="21" t="s">
        <v>2361</v>
      </c>
      <c r="B285" t="s">
        <v>534</v>
      </c>
      <c r="C285" t="s">
        <v>950</v>
      </c>
      <c r="D285">
        <v>64</v>
      </c>
      <c r="E285" t="s">
        <v>1442</v>
      </c>
      <c r="F285" t="s">
        <v>2774</v>
      </c>
      <c r="G285" t="s">
        <v>2775</v>
      </c>
    </row>
    <row r="286" spans="1:7" x14ac:dyDescent="0.25">
      <c r="A286" s="21" t="s">
        <v>2361</v>
      </c>
      <c r="B286" t="s">
        <v>534</v>
      </c>
      <c r="C286" t="s">
        <v>903</v>
      </c>
      <c r="D286">
        <v>10</v>
      </c>
      <c r="E286" t="s">
        <v>1444</v>
      </c>
      <c r="F286" t="s">
        <v>2774</v>
      </c>
      <c r="G286" t="s">
        <v>2775</v>
      </c>
    </row>
    <row r="287" spans="1:7" x14ac:dyDescent="0.25">
      <c r="A287" s="21" t="s">
        <v>2361</v>
      </c>
      <c r="B287" t="s">
        <v>534</v>
      </c>
      <c r="C287" t="s">
        <v>908</v>
      </c>
      <c r="D287">
        <v>6</v>
      </c>
      <c r="E287" t="s">
        <v>2450</v>
      </c>
      <c r="F287" t="s">
        <v>2780</v>
      </c>
      <c r="G287" t="s">
        <v>2781</v>
      </c>
    </row>
    <row r="288" spans="1:7" x14ac:dyDescent="0.25">
      <c r="A288" s="21" t="s">
        <v>2361</v>
      </c>
      <c r="B288" t="s">
        <v>534</v>
      </c>
      <c r="C288" t="s">
        <v>1225</v>
      </c>
      <c r="D288">
        <v>7</v>
      </c>
      <c r="E288" t="s">
        <v>1448</v>
      </c>
      <c r="F288" t="s">
        <v>2776</v>
      </c>
      <c r="G288" t="s">
        <v>2777</v>
      </c>
    </row>
    <row r="289" spans="1:7" x14ac:dyDescent="0.25">
      <c r="A289" s="21" t="s">
        <v>2361</v>
      </c>
      <c r="B289" t="s">
        <v>534</v>
      </c>
      <c r="C289" t="s">
        <v>23</v>
      </c>
      <c r="D289">
        <v>4</v>
      </c>
      <c r="E289" t="s">
        <v>2486</v>
      </c>
      <c r="F289" t="s">
        <v>2776</v>
      </c>
      <c r="G289" t="s">
        <v>2777</v>
      </c>
    </row>
    <row r="290" spans="1:7" x14ac:dyDescent="0.25">
      <c r="A290" s="21" t="s">
        <v>2361</v>
      </c>
      <c r="B290" t="s">
        <v>534</v>
      </c>
      <c r="C290" t="s">
        <v>1452</v>
      </c>
      <c r="D290">
        <v>2</v>
      </c>
      <c r="E290" t="s">
        <v>1453</v>
      </c>
      <c r="F290" t="s">
        <v>2776</v>
      </c>
      <c r="G290" t="s">
        <v>2777</v>
      </c>
    </row>
    <row r="291" spans="1:7" x14ac:dyDescent="0.25">
      <c r="A291" s="21" t="s">
        <v>2361</v>
      </c>
      <c r="B291" t="s">
        <v>534</v>
      </c>
      <c r="C291" t="s">
        <v>1455</v>
      </c>
      <c r="D291">
        <v>2</v>
      </c>
      <c r="E291" t="s">
        <v>2520</v>
      </c>
      <c r="F291" t="s">
        <v>2776</v>
      </c>
      <c r="G291" t="s">
        <v>2777</v>
      </c>
    </row>
    <row r="292" spans="1:7" x14ac:dyDescent="0.25">
      <c r="A292" s="21" t="s">
        <v>2361</v>
      </c>
      <c r="B292" t="s">
        <v>534</v>
      </c>
      <c r="C292" t="s">
        <v>18</v>
      </c>
      <c r="D292">
        <v>2</v>
      </c>
      <c r="E292" t="s">
        <v>1224</v>
      </c>
      <c r="F292" t="s">
        <v>2776</v>
      </c>
      <c r="G292" t="s">
        <v>2777</v>
      </c>
    </row>
    <row r="293" spans="1:7" x14ac:dyDescent="0.25">
      <c r="A293" s="21" t="s">
        <v>2361</v>
      </c>
      <c r="B293" t="s">
        <v>534</v>
      </c>
      <c r="C293" t="s">
        <v>941</v>
      </c>
      <c r="D293">
        <v>3</v>
      </c>
      <c r="E293" t="s">
        <v>2736</v>
      </c>
      <c r="F293" t="s">
        <v>2778</v>
      </c>
      <c r="G293" t="s">
        <v>2779</v>
      </c>
    </row>
    <row r="294" spans="1:7" x14ac:dyDescent="0.25">
      <c r="A294" s="21" t="s">
        <v>2361</v>
      </c>
      <c r="B294" s="20" t="s">
        <v>756</v>
      </c>
      <c r="C294" t="s">
        <v>1042</v>
      </c>
      <c r="D294">
        <v>81</v>
      </c>
      <c r="E294" t="s">
        <v>2513</v>
      </c>
      <c r="F294" t="s">
        <v>2774</v>
      </c>
      <c r="G294" t="s">
        <v>2775</v>
      </c>
    </row>
    <row r="295" spans="1:7" x14ac:dyDescent="0.25">
      <c r="A295" s="21" t="s">
        <v>2361</v>
      </c>
      <c r="B295" s="20" t="s">
        <v>756</v>
      </c>
      <c r="C295" t="s">
        <v>1025</v>
      </c>
      <c r="D295">
        <v>10</v>
      </c>
      <c r="E295" t="s">
        <v>2679</v>
      </c>
      <c r="F295" t="s">
        <v>2780</v>
      </c>
      <c r="G295" t="s">
        <v>2781</v>
      </c>
    </row>
    <row r="296" spans="1:7" x14ac:dyDescent="0.25">
      <c r="A296" s="21" t="s">
        <v>2361</v>
      </c>
      <c r="B296" s="20" t="s">
        <v>756</v>
      </c>
      <c r="C296" t="s">
        <v>2374</v>
      </c>
      <c r="D296">
        <v>5</v>
      </c>
      <c r="E296" t="s">
        <v>1153</v>
      </c>
      <c r="F296" t="s">
        <v>2776</v>
      </c>
      <c r="G296" t="s">
        <v>2777</v>
      </c>
    </row>
    <row r="297" spans="1:7" x14ac:dyDescent="0.25">
      <c r="A297" s="21" t="s">
        <v>2361</v>
      </c>
      <c r="B297" s="20" t="s">
        <v>756</v>
      </c>
      <c r="C297" t="s">
        <v>1123</v>
      </c>
      <c r="D297">
        <v>4</v>
      </c>
      <c r="E297" t="s">
        <v>1154</v>
      </c>
      <c r="F297" t="s">
        <v>2776</v>
      </c>
      <c r="G297" t="s">
        <v>2777</v>
      </c>
    </row>
    <row r="298" spans="1:7" x14ac:dyDescent="0.25">
      <c r="A298" s="21" t="s">
        <v>2361</v>
      </c>
      <c r="B298" s="20" t="s">
        <v>759</v>
      </c>
      <c r="C298" t="s">
        <v>1028</v>
      </c>
      <c r="D298">
        <v>90</v>
      </c>
      <c r="E298" t="s">
        <v>2516</v>
      </c>
      <c r="F298" t="s">
        <v>2774</v>
      </c>
      <c r="G298" t="s">
        <v>2775</v>
      </c>
    </row>
    <row r="299" spans="1:7" x14ac:dyDescent="0.25">
      <c r="A299" s="21" t="s">
        <v>2361</v>
      </c>
      <c r="B299" s="20" t="s">
        <v>759</v>
      </c>
      <c r="C299" t="s">
        <v>1025</v>
      </c>
      <c r="D299">
        <v>6</v>
      </c>
      <c r="E299" t="s">
        <v>2517</v>
      </c>
      <c r="F299" t="s">
        <v>2780</v>
      </c>
      <c r="G299" t="s">
        <v>2781</v>
      </c>
    </row>
    <row r="300" spans="1:7" x14ac:dyDescent="0.25">
      <c r="A300" s="21" t="s">
        <v>2361</v>
      </c>
      <c r="B300" s="20" t="s">
        <v>759</v>
      </c>
      <c r="C300" t="s">
        <v>2374</v>
      </c>
      <c r="D300">
        <v>2</v>
      </c>
      <c r="E300" t="s">
        <v>1159</v>
      </c>
      <c r="F300" t="s">
        <v>2776</v>
      </c>
      <c r="G300" t="s">
        <v>2777</v>
      </c>
    </row>
    <row r="301" spans="1:7" x14ac:dyDescent="0.25">
      <c r="A301" s="21" t="s">
        <v>2361</v>
      </c>
      <c r="B301" s="20" t="s">
        <v>759</v>
      </c>
      <c r="C301" t="s">
        <v>923</v>
      </c>
      <c r="D301">
        <v>2</v>
      </c>
      <c r="E301" t="s">
        <v>1161</v>
      </c>
      <c r="F301" t="s">
        <v>2778</v>
      </c>
      <c r="G301" t="s">
        <v>2779</v>
      </c>
    </row>
    <row r="302" spans="1:7" x14ac:dyDescent="0.25">
      <c r="A302" s="21" t="s">
        <v>2361</v>
      </c>
      <c r="B302" s="20" t="s">
        <v>520</v>
      </c>
      <c r="C302" t="s">
        <v>1028</v>
      </c>
      <c r="D302">
        <v>74</v>
      </c>
      <c r="E302" t="s">
        <v>1179</v>
      </c>
      <c r="F302" t="s">
        <v>2774</v>
      </c>
      <c r="G302" t="s">
        <v>2775</v>
      </c>
    </row>
    <row r="303" spans="1:7" x14ac:dyDescent="0.25">
      <c r="A303" s="21" t="s">
        <v>2361</v>
      </c>
      <c r="B303" s="20" t="s">
        <v>520</v>
      </c>
      <c r="C303" t="s">
        <v>18</v>
      </c>
      <c r="D303">
        <v>10</v>
      </c>
      <c r="E303" t="s">
        <v>2504</v>
      </c>
      <c r="F303" t="s">
        <v>2780</v>
      </c>
      <c r="G303" t="s">
        <v>2781</v>
      </c>
    </row>
    <row r="304" spans="1:7" x14ac:dyDescent="0.25">
      <c r="A304" s="21" t="s">
        <v>2361</v>
      </c>
      <c r="B304" s="20" t="s">
        <v>520</v>
      </c>
      <c r="C304" t="s">
        <v>2374</v>
      </c>
      <c r="D304">
        <v>8</v>
      </c>
      <c r="E304" t="s">
        <v>1182</v>
      </c>
      <c r="F304" t="s">
        <v>2776</v>
      </c>
      <c r="G304" t="s">
        <v>2777</v>
      </c>
    </row>
    <row r="305" spans="1:7" x14ac:dyDescent="0.25">
      <c r="A305" s="21" t="s">
        <v>2361</v>
      </c>
      <c r="B305" s="20" t="s">
        <v>520</v>
      </c>
      <c r="C305" t="s">
        <v>954</v>
      </c>
      <c r="D305">
        <v>4</v>
      </c>
      <c r="E305" t="s">
        <v>1184</v>
      </c>
      <c r="F305" t="s">
        <v>2780</v>
      </c>
      <c r="G305" t="s">
        <v>2781</v>
      </c>
    </row>
    <row r="306" spans="1:7" x14ac:dyDescent="0.25">
      <c r="A306" s="21" t="s">
        <v>2361</v>
      </c>
      <c r="B306" s="20" t="s">
        <v>520</v>
      </c>
      <c r="C306" t="s">
        <v>941</v>
      </c>
      <c r="D306">
        <v>2</v>
      </c>
      <c r="E306" t="s">
        <v>2736</v>
      </c>
      <c r="F306" t="s">
        <v>2778</v>
      </c>
      <c r="G306" t="s">
        <v>2779</v>
      </c>
    </row>
    <row r="307" spans="1:7" x14ac:dyDescent="0.25">
      <c r="A307" s="21" t="s">
        <v>2361</v>
      </c>
      <c r="B307" s="20" t="s">
        <v>520</v>
      </c>
      <c r="C307" t="s">
        <v>23</v>
      </c>
      <c r="D307">
        <v>2</v>
      </c>
      <c r="E307" t="s">
        <v>20</v>
      </c>
      <c r="F307" t="s">
        <v>2776</v>
      </c>
      <c r="G307" t="s">
        <v>2777</v>
      </c>
    </row>
    <row r="308" spans="1:7" x14ac:dyDescent="0.25">
      <c r="A308" s="21" t="s">
        <v>2361</v>
      </c>
      <c r="B308" s="20" t="s">
        <v>516</v>
      </c>
      <c r="C308" t="s">
        <v>950</v>
      </c>
      <c r="D308">
        <v>81</v>
      </c>
      <c r="E308" t="s">
        <v>1241</v>
      </c>
      <c r="F308" t="s">
        <v>2774</v>
      </c>
      <c r="G308" t="s">
        <v>2775</v>
      </c>
    </row>
    <row r="309" spans="1:7" x14ac:dyDescent="0.25">
      <c r="A309" s="21" t="s">
        <v>2361</v>
      </c>
      <c r="B309" s="20" t="s">
        <v>516</v>
      </c>
      <c r="C309" t="s">
        <v>923</v>
      </c>
      <c r="D309">
        <v>5</v>
      </c>
      <c r="E309" t="s">
        <v>1242</v>
      </c>
      <c r="F309" t="s">
        <v>2776</v>
      </c>
      <c r="G309" t="s">
        <v>2777</v>
      </c>
    </row>
    <row r="310" spans="1:7" x14ac:dyDescent="0.25">
      <c r="A310" s="21" t="s">
        <v>2361</v>
      </c>
      <c r="B310" s="20" t="s">
        <v>516</v>
      </c>
      <c r="C310" t="s">
        <v>1025</v>
      </c>
      <c r="D310">
        <v>4</v>
      </c>
      <c r="E310" t="s">
        <v>1244</v>
      </c>
      <c r="F310" t="s">
        <v>2780</v>
      </c>
      <c r="G310" t="s">
        <v>2781</v>
      </c>
    </row>
    <row r="311" spans="1:7" x14ac:dyDescent="0.25">
      <c r="A311" s="21" t="s">
        <v>2361</v>
      </c>
      <c r="B311" s="20" t="s">
        <v>516</v>
      </c>
      <c r="C311" t="s">
        <v>23</v>
      </c>
      <c r="D311">
        <v>3</v>
      </c>
      <c r="E311" t="s">
        <v>1245</v>
      </c>
      <c r="F311" t="s">
        <v>2778</v>
      </c>
      <c r="G311" t="s">
        <v>2779</v>
      </c>
    </row>
    <row r="312" spans="1:7" x14ac:dyDescent="0.25">
      <c r="A312" s="21" t="s">
        <v>2361</v>
      </c>
      <c r="B312" s="20" t="s">
        <v>516</v>
      </c>
      <c r="C312" t="s">
        <v>1225</v>
      </c>
      <c r="D312">
        <v>3</v>
      </c>
      <c r="E312" t="s">
        <v>1247</v>
      </c>
      <c r="F312" t="s">
        <v>2776</v>
      </c>
      <c r="G312" t="s">
        <v>2777</v>
      </c>
    </row>
    <row r="313" spans="1:7" x14ac:dyDescent="0.25">
      <c r="A313" s="21" t="s">
        <v>2361</v>
      </c>
      <c r="B313" s="20" t="s">
        <v>516</v>
      </c>
      <c r="C313" t="s">
        <v>941</v>
      </c>
      <c r="D313">
        <v>2</v>
      </c>
      <c r="E313" t="s">
        <v>2737</v>
      </c>
      <c r="F313" t="s">
        <v>2778</v>
      </c>
      <c r="G313" t="s">
        <v>2779</v>
      </c>
    </row>
    <row r="314" spans="1:7" x14ac:dyDescent="0.25">
      <c r="A314" s="21" t="s">
        <v>2361</v>
      </c>
      <c r="B314" s="20" t="s">
        <v>516</v>
      </c>
      <c r="C314" t="s">
        <v>903</v>
      </c>
      <c r="D314">
        <v>2</v>
      </c>
      <c r="E314" t="s">
        <v>1249</v>
      </c>
      <c r="F314" t="s">
        <v>2774</v>
      </c>
      <c r="G314" t="s">
        <v>2775</v>
      </c>
    </row>
    <row r="315" spans="1:7" x14ac:dyDescent="0.25">
      <c r="A315" s="21" t="s">
        <v>2361</v>
      </c>
      <c r="B315" s="20" t="s">
        <v>474</v>
      </c>
      <c r="C315" t="s">
        <v>950</v>
      </c>
      <c r="D315">
        <v>87</v>
      </c>
      <c r="E315" t="s">
        <v>1281</v>
      </c>
      <c r="F315" t="s">
        <v>2774</v>
      </c>
      <c r="G315" t="s">
        <v>2775</v>
      </c>
    </row>
    <row r="316" spans="1:7" x14ac:dyDescent="0.25">
      <c r="A316" s="21" t="s">
        <v>2361</v>
      </c>
      <c r="B316" s="20" t="s">
        <v>474</v>
      </c>
      <c r="C316" t="s">
        <v>1025</v>
      </c>
      <c r="D316">
        <v>4</v>
      </c>
      <c r="E316" t="s">
        <v>1282</v>
      </c>
      <c r="F316" t="s">
        <v>2780</v>
      </c>
      <c r="G316" t="s">
        <v>2781</v>
      </c>
    </row>
    <row r="317" spans="1:7" x14ac:dyDescent="0.25">
      <c r="A317" s="21" t="s">
        <v>2361</v>
      </c>
      <c r="B317" s="20" t="s">
        <v>474</v>
      </c>
      <c r="C317" t="s">
        <v>903</v>
      </c>
      <c r="D317">
        <v>3</v>
      </c>
      <c r="E317" t="s">
        <v>1284</v>
      </c>
      <c r="F317" t="s">
        <v>2774</v>
      </c>
      <c r="G317" t="s">
        <v>2775</v>
      </c>
    </row>
    <row r="318" spans="1:7" x14ac:dyDescent="0.25">
      <c r="A318" s="21" t="s">
        <v>2361</v>
      </c>
      <c r="B318" s="20" t="s">
        <v>474</v>
      </c>
      <c r="C318" t="s">
        <v>923</v>
      </c>
      <c r="D318">
        <v>2</v>
      </c>
      <c r="E318" t="s">
        <v>1286</v>
      </c>
      <c r="F318" t="s">
        <v>2776</v>
      </c>
      <c r="G318" t="s">
        <v>2777</v>
      </c>
    </row>
    <row r="319" spans="1:7" x14ac:dyDescent="0.25">
      <c r="A319" s="21" t="s">
        <v>2361</v>
      </c>
      <c r="B319" s="20" t="s">
        <v>474</v>
      </c>
      <c r="C319" t="s">
        <v>941</v>
      </c>
      <c r="D319">
        <v>2</v>
      </c>
      <c r="E319" t="s">
        <v>2740</v>
      </c>
      <c r="F319" t="s">
        <v>2778</v>
      </c>
      <c r="G319" t="s">
        <v>2779</v>
      </c>
    </row>
    <row r="320" spans="1:7" x14ac:dyDescent="0.25">
      <c r="A320" s="21" t="s">
        <v>2361</v>
      </c>
      <c r="B320" s="20" t="s">
        <v>474</v>
      </c>
      <c r="C320" t="s">
        <v>1225</v>
      </c>
      <c r="D320">
        <v>2</v>
      </c>
      <c r="E320" t="s">
        <v>1247</v>
      </c>
      <c r="F320" t="s">
        <v>2776</v>
      </c>
      <c r="G320" t="s">
        <v>2777</v>
      </c>
    </row>
    <row r="321" spans="1:7" x14ac:dyDescent="0.25">
      <c r="A321" s="21" t="s">
        <v>2361</v>
      </c>
      <c r="B321" s="20" t="s">
        <v>762</v>
      </c>
      <c r="C321" t="s">
        <v>923</v>
      </c>
      <c r="D321">
        <v>84</v>
      </c>
      <c r="E321" t="s">
        <v>1336</v>
      </c>
      <c r="F321" t="s">
        <v>2774</v>
      </c>
      <c r="G321" t="s">
        <v>2775</v>
      </c>
    </row>
    <row r="322" spans="1:7" x14ac:dyDescent="0.25">
      <c r="A322" s="21" t="s">
        <v>2361</v>
      </c>
      <c r="B322" s="20" t="s">
        <v>762</v>
      </c>
      <c r="C322" t="s">
        <v>950</v>
      </c>
      <c r="D322">
        <v>6</v>
      </c>
      <c r="E322" t="s">
        <v>1339</v>
      </c>
      <c r="F322" t="s">
        <v>2774</v>
      </c>
      <c r="G322" t="s">
        <v>2775</v>
      </c>
    </row>
    <row r="323" spans="1:7" x14ac:dyDescent="0.25">
      <c r="A323" s="21" t="s">
        <v>2361</v>
      </c>
      <c r="B323" s="20" t="s">
        <v>762</v>
      </c>
      <c r="C323" t="s">
        <v>1028</v>
      </c>
      <c r="D323">
        <v>4</v>
      </c>
      <c r="E323" t="s">
        <v>1341</v>
      </c>
      <c r="F323" t="s">
        <v>2774</v>
      </c>
      <c r="G323" t="s">
        <v>2775</v>
      </c>
    </row>
    <row r="324" spans="1:7" x14ac:dyDescent="0.25">
      <c r="A324" s="21" t="s">
        <v>2361</v>
      </c>
      <c r="B324" s="20" t="s">
        <v>762</v>
      </c>
      <c r="C324" t="s">
        <v>941</v>
      </c>
      <c r="D324">
        <v>2</v>
      </c>
      <c r="E324" t="s">
        <v>2736</v>
      </c>
      <c r="F324" t="s">
        <v>2778</v>
      </c>
      <c r="G324" t="s">
        <v>2779</v>
      </c>
    </row>
    <row r="325" spans="1:7" x14ac:dyDescent="0.25">
      <c r="A325" s="21" t="s">
        <v>2361</v>
      </c>
      <c r="B325" s="20" t="s">
        <v>762</v>
      </c>
      <c r="C325" t="s">
        <v>23</v>
      </c>
      <c r="D325">
        <v>2</v>
      </c>
      <c r="E325" t="s">
        <v>1333</v>
      </c>
      <c r="F325" t="s">
        <v>2778</v>
      </c>
      <c r="G325" t="s">
        <v>2779</v>
      </c>
    </row>
    <row r="326" spans="1:7" x14ac:dyDescent="0.25">
      <c r="A326" s="21" t="s">
        <v>2361</v>
      </c>
      <c r="B326" s="20" t="s">
        <v>678</v>
      </c>
      <c r="C326" t="s">
        <v>923</v>
      </c>
      <c r="D326">
        <v>88</v>
      </c>
      <c r="E326" t="s">
        <v>2786</v>
      </c>
      <c r="F326" t="s">
        <v>2774</v>
      </c>
      <c r="G326" t="s">
        <v>2775</v>
      </c>
    </row>
    <row r="327" spans="1:7" x14ac:dyDescent="0.25">
      <c r="A327" s="21" t="s">
        <v>2361</v>
      </c>
      <c r="B327" s="20" t="s">
        <v>678</v>
      </c>
      <c r="C327" t="s">
        <v>950</v>
      </c>
      <c r="D327">
        <v>4</v>
      </c>
      <c r="E327" t="s">
        <v>1348</v>
      </c>
      <c r="F327" t="s">
        <v>2780</v>
      </c>
      <c r="G327" t="s">
        <v>2781</v>
      </c>
    </row>
    <row r="328" spans="1:7" x14ac:dyDescent="0.25">
      <c r="A328" s="21" t="s">
        <v>2361</v>
      </c>
      <c r="B328" s="20" t="s">
        <v>678</v>
      </c>
      <c r="C328" t="s">
        <v>23</v>
      </c>
      <c r="D328">
        <v>4</v>
      </c>
      <c r="E328" t="s">
        <v>1350</v>
      </c>
      <c r="F328" t="s">
        <v>2778</v>
      </c>
      <c r="G328" t="s">
        <v>2779</v>
      </c>
    </row>
    <row r="329" spans="1:7" x14ac:dyDescent="0.25">
      <c r="A329" s="21" t="s">
        <v>2361</v>
      </c>
      <c r="B329" s="20" t="s">
        <v>678</v>
      </c>
      <c r="C329" t="s">
        <v>941</v>
      </c>
      <c r="D329">
        <v>2</v>
      </c>
      <c r="E329" t="s">
        <v>2736</v>
      </c>
      <c r="F329" t="s">
        <v>2778</v>
      </c>
      <c r="G329" t="s">
        <v>2779</v>
      </c>
    </row>
    <row r="330" spans="1:7" x14ac:dyDescent="0.25">
      <c r="A330" s="21" t="s">
        <v>2361</v>
      </c>
      <c r="B330" s="20" t="s">
        <v>678</v>
      </c>
      <c r="C330" t="s">
        <v>18</v>
      </c>
      <c r="D330">
        <v>2</v>
      </c>
      <c r="E330" t="s">
        <v>1224</v>
      </c>
      <c r="F330" t="s">
        <v>2776</v>
      </c>
      <c r="G330" t="s">
        <v>2777</v>
      </c>
    </row>
    <row r="331" spans="1:7" x14ac:dyDescent="0.25">
      <c r="A331" s="21" t="s">
        <v>2361</v>
      </c>
      <c r="B331" s="20" t="s">
        <v>464</v>
      </c>
      <c r="C331" t="s">
        <v>923</v>
      </c>
      <c r="D331">
        <v>80</v>
      </c>
      <c r="E331" t="s">
        <v>2506</v>
      </c>
      <c r="F331" t="s">
        <v>2774</v>
      </c>
      <c r="G331" t="s">
        <v>2775</v>
      </c>
    </row>
    <row r="332" spans="1:7" x14ac:dyDescent="0.25">
      <c r="A332" s="21" t="s">
        <v>2361</v>
      </c>
      <c r="B332" s="20" t="s">
        <v>464</v>
      </c>
      <c r="C332" t="s">
        <v>1028</v>
      </c>
      <c r="D332">
        <v>8</v>
      </c>
      <c r="E332" t="s">
        <v>1357</v>
      </c>
      <c r="F332" t="s">
        <v>2780</v>
      </c>
      <c r="G332" t="s">
        <v>2781</v>
      </c>
    </row>
    <row r="333" spans="1:7" x14ac:dyDescent="0.25">
      <c r="A333" s="21" t="s">
        <v>2361</v>
      </c>
      <c r="B333" s="20" t="s">
        <v>464</v>
      </c>
      <c r="C333" t="s">
        <v>23</v>
      </c>
      <c r="D333">
        <v>4</v>
      </c>
      <c r="E333" t="s">
        <v>1358</v>
      </c>
      <c r="F333" t="s">
        <v>2778</v>
      </c>
      <c r="G333" t="s">
        <v>2779</v>
      </c>
    </row>
    <row r="334" spans="1:7" x14ac:dyDescent="0.25">
      <c r="A334" s="21" t="s">
        <v>2361</v>
      </c>
      <c r="B334" s="20" t="s">
        <v>464</v>
      </c>
      <c r="C334" t="s">
        <v>950</v>
      </c>
      <c r="D334">
        <v>4</v>
      </c>
      <c r="E334" t="s">
        <v>1359</v>
      </c>
      <c r="F334" t="s">
        <v>2780</v>
      </c>
      <c r="G334" t="s">
        <v>2781</v>
      </c>
    </row>
    <row r="335" spans="1:7" x14ac:dyDescent="0.25">
      <c r="A335" s="21" t="s">
        <v>2361</v>
      </c>
      <c r="B335" s="20" t="s">
        <v>464</v>
      </c>
      <c r="C335" t="s">
        <v>18</v>
      </c>
      <c r="D335">
        <v>2</v>
      </c>
      <c r="E335" t="s">
        <v>2482</v>
      </c>
      <c r="F335" t="s">
        <v>2776</v>
      </c>
      <c r="G335" t="s">
        <v>2777</v>
      </c>
    </row>
    <row r="336" spans="1:7" x14ac:dyDescent="0.25">
      <c r="A336" s="21" t="s">
        <v>2361</v>
      </c>
      <c r="B336" s="20" t="s">
        <v>464</v>
      </c>
      <c r="C336" t="s">
        <v>941</v>
      </c>
      <c r="D336">
        <v>2</v>
      </c>
      <c r="E336" t="s">
        <v>2736</v>
      </c>
      <c r="F336" t="s">
        <v>2778</v>
      </c>
      <c r="G336" t="s">
        <v>2779</v>
      </c>
    </row>
    <row r="337" spans="1:7" x14ac:dyDescent="0.25">
      <c r="A337" s="21" t="s">
        <v>2361</v>
      </c>
      <c r="B337" s="20" t="s">
        <v>1364</v>
      </c>
      <c r="C337" t="s">
        <v>923</v>
      </c>
      <c r="D337">
        <v>82</v>
      </c>
      <c r="E337" t="s">
        <v>2787</v>
      </c>
      <c r="F337" t="s">
        <v>2774</v>
      </c>
      <c r="G337" t="s">
        <v>2775</v>
      </c>
    </row>
    <row r="338" spans="1:7" x14ac:dyDescent="0.25">
      <c r="A338" s="21" t="s">
        <v>2361</v>
      </c>
      <c r="B338" s="20" t="s">
        <v>1364</v>
      </c>
      <c r="C338" t="s">
        <v>950</v>
      </c>
      <c r="D338">
        <v>6</v>
      </c>
      <c r="E338" t="s">
        <v>1366</v>
      </c>
      <c r="F338" t="s">
        <v>2780</v>
      </c>
      <c r="G338" t="s">
        <v>2781</v>
      </c>
    </row>
    <row r="339" spans="1:7" x14ac:dyDescent="0.25">
      <c r="A339" s="21" t="s">
        <v>2361</v>
      </c>
      <c r="B339" s="20" t="s">
        <v>1364</v>
      </c>
      <c r="C339" t="s">
        <v>23</v>
      </c>
      <c r="D339">
        <v>4</v>
      </c>
      <c r="E339" t="s">
        <v>1368</v>
      </c>
      <c r="F339" t="s">
        <v>2778</v>
      </c>
      <c r="G339" t="s">
        <v>2779</v>
      </c>
    </row>
    <row r="340" spans="1:7" x14ac:dyDescent="0.25">
      <c r="A340" s="21" t="s">
        <v>2361</v>
      </c>
      <c r="B340" s="20" t="s">
        <v>1364</v>
      </c>
      <c r="C340" t="s">
        <v>1028</v>
      </c>
      <c r="D340">
        <v>4</v>
      </c>
      <c r="E340" t="s">
        <v>1370</v>
      </c>
      <c r="F340" t="s">
        <v>2780</v>
      </c>
      <c r="G340" t="s">
        <v>2781</v>
      </c>
    </row>
    <row r="341" spans="1:7" x14ac:dyDescent="0.25">
      <c r="A341" s="21" t="s">
        <v>2361</v>
      </c>
      <c r="B341" s="20" t="s">
        <v>1364</v>
      </c>
      <c r="C341" t="s">
        <v>941</v>
      </c>
      <c r="D341">
        <v>2</v>
      </c>
      <c r="E341" t="s">
        <v>2736</v>
      </c>
      <c r="F341" t="s">
        <v>2778</v>
      </c>
      <c r="G341" t="s">
        <v>2779</v>
      </c>
    </row>
    <row r="342" spans="1:7" x14ac:dyDescent="0.25">
      <c r="A342" s="21" t="s">
        <v>2361</v>
      </c>
      <c r="B342" s="20" t="s">
        <v>1364</v>
      </c>
      <c r="C342" t="s">
        <v>18</v>
      </c>
      <c r="D342">
        <v>2</v>
      </c>
      <c r="E342" t="s">
        <v>1224</v>
      </c>
      <c r="F342" t="s">
        <v>2776</v>
      </c>
      <c r="G342" t="s">
        <v>2777</v>
      </c>
    </row>
    <row r="343" spans="1:7" x14ac:dyDescent="0.25">
      <c r="A343" s="21" t="s">
        <v>2361</v>
      </c>
      <c r="B343" t="s">
        <v>2582</v>
      </c>
      <c r="C343" t="s">
        <v>899</v>
      </c>
      <c r="D343">
        <v>68</v>
      </c>
      <c r="E343" t="s">
        <v>2592</v>
      </c>
      <c r="F343" t="s">
        <v>2774</v>
      </c>
      <c r="G343" t="s">
        <v>2775</v>
      </c>
    </row>
    <row r="344" spans="1:7" x14ac:dyDescent="0.25">
      <c r="A344" s="21" t="s">
        <v>2361</v>
      </c>
      <c r="B344" t="s">
        <v>2582</v>
      </c>
      <c r="C344" t="s">
        <v>903</v>
      </c>
      <c r="D344">
        <v>27</v>
      </c>
      <c r="E344" t="s">
        <v>2592</v>
      </c>
      <c r="F344" t="s">
        <v>2774</v>
      </c>
      <c r="G344" t="s">
        <v>2775</v>
      </c>
    </row>
    <row r="345" spans="1:7" x14ac:dyDescent="0.25">
      <c r="A345" s="21" t="s">
        <v>2361</v>
      </c>
      <c r="B345" t="s">
        <v>2582</v>
      </c>
      <c r="C345" t="s">
        <v>905</v>
      </c>
      <c r="D345">
        <v>5</v>
      </c>
      <c r="E345" t="s">
        <v>2592</v>
      </c>
      <c r="F345" t="s">
        <v>2774</v>
      </c>
      <c r="G345" t="s">
        <v>2775</v>
      </c>
    </row>
    <row r="346" spans="1:7" x14ac:dyDescent="0.25">
      <c r="A346" s="21" t="s">
        <v>2361</v>
      </c>
      <c r="B346" t="s">
        <v>2583</v>
      </c>
      <c r="C346" t="s">
        <v>1042</v>
      </c>
      <c r="D346">
        <v>62</v>
      </c>
      <c r="E346" t="s">
        <v>2597</v>
      </c>
      <c r="F346" t="s">
        <v>2774</v>
      </c>
      <c r="G346" t="s">
        <v>2775</v>
      </c>
    </row>
    <row r="347" spans="1:7" x14ac:dyDescent="0.25">
      <c r="A347" s="21" t="s">
        <v>2361</v>
      </c>
      <c r="B347" t="s">
        <v>2583</v>
      </c>
      <c r="C347" t="s">
        <v>954</v>
      </c>
      <c r="D347">
        <v>33</v>
      </c>
      <c r="E347" t="s">
        <v>2598</v>
      </c>
      <c r="F347" t="s">
        <v>2776</v>
      </c>
      <c r="G347" t="s">
        <v>2777</v>
      </c>
    </row>
    <row r="348" spans="1:7" x14ac:dyDescent="0.25">
      <c r="A348" s="21" t="s">
        <v>2361</v>
      </c>
      <c r="B348" t="s">
        <v>2583</v>
      </c>
      <c r="C348" t="s">
        <v>2374</v>
      </c>
      <c r="D348">
        <v>5</v>
      </c>
      <c r="E348" t="s">
        <v>2599</v>
      </c>
      <c r="F348" t="s">
        <v>2778</v>
      </c>
      <c r="G348" t="s">
        <v>2779</v>
      </c>
    </row>
    <row r="349" spans="1:7" x14ac:dyDescent="0.25">
      <c r="A349" s="21" t="s">
        <v>2361</v>
      </c>
      <c r="B349" s="15" t="s">
        <v>2638</v>
      </c>
      <c r="C349" s="28" t="s">
        <v>1025</v>
      </c>
      <c r="D349" s="13">
        <v>82</v>
      </c>
      <c r="E349" s="15" t="s">
        <v>2639</v>
      </c>
      <c r="F349" t="s">
        <v>2778</v>
      </c>
      <c r="G349" t="s">
        <v>2779</v>
      </c>
    </row>
    <row r="350" spans="1:7" x14ac:dyDescent="0.25">
      <c r="A350" s="21" t="s">
        <v>2361</v>
      </c>
      <c r="B350" s="15" t="s">
        <v>2638</v>
      </c>
      <c r="C350" s="28" t="s">
        <v>903</v>
      </c>
      <c r="D350" s="13">
        <v>18</v>
      </c>
      <c r="E350" s="15" t="s">
        <v>2640</v>
      </c>
      <c r="F350" t="s">
        <v>2778</v>
      </c>
      <c r="G350" t="s">
        <v>2779</v>
      </c>
    </row>
    <row r="351" spans="1:7" x14ac:dyDescent="0.25">
      <c r="A351" s="11" t="s">
        <v>2362</v>
      </c>
      <c r="B351" t="s">
        <v>581</v>
      </c>
      <c r="C351" t="s">
        <v>903</v>
      </c>
      <c r="D351">
        <v>18</v>
      </c>
      <c r="E351" t="s">
        <v>2771</v>
      </c>
      <c r="F351" t="s">
        <v>2778</v>
      </c>
      <c r="G351" t="s">
        <v>2779</v>
      </c>
    </row>
    <row r="352" spans="1:7" x14ac:dyDescent="0.25">
      <c r="A352" s="11" t="s">
        <v>2362</v>
      </c>
      <c r="B352" t="s">
        <v>581</v>
      </c>
      <c r="C352" t="s">
        <v>954</v>
      </c>
      <c r="D352">
        <v>16</v>
      </c>
      <c r="E352" t="s">
        <v>2742</v>
      </c>
      <c r="F352" t="s">
        <v>2778</v>
      </c>
      <c r="G352" t="s">
        <v>2779</v>
      </c>
    </row>
    <row r="353" spans="1:7" x14ac:dyDescent="0.25">
      <c r="A353" s="11" t="s">
        <v>2362</v>
      </c>
      <c r="B353" t="s">
        <v>581</v>
      </c>
      <c r="C353" t="s">
        <v>1025</v>
      </c>
      <c r="D353">
        <v>10</v>
      </c>
      <c r="E353" t="s">
        <v>2743</v>
      </c>
      <c r="F353" t="s">
        <v>2778</v>
      </c>
      <c r="G353" t="s">
        <v>2779</v>
      </c>
    </row>
    <row r="354" spans="1:7" x14ac:dyDescent="0.25">
      <c r="A354" s="11" t="s">
        <v>2362</v>
      </c>
      <c r="B354" t="s">
        <v>581</v>
      </c>
      <c r="C354" t="s">
        <v>941</v>
      </c>
      <c r="D354">
        <v>16</v>
      </c>
      <c r="E354" t="s">
        <v>2744</v>
      </c>
      <c r="F354" t="s">
        <v>2780</v>
      </c>
      <c r="G354" t="s">
        <v>2781</v>
      </c>
    </row>
    <row r="355" spans="1:7" x14ac:dyDescent="0.25">
      <c r="A355" s="11" t="s">
        <v>2362</v>
      </c>
      <c r="B355" t="s">
        <v>581</v>
      </c>
      <c r="C355" t="s">
        <v>960</v>
      </c>
      <c r="D355">
        <v>5</v>
      </c>
      <c r="E355" t="s">
        <v>2745</v>
      </c>
      <c r="F355" t="s">
        <v>2776</v>
      </c>
      <c r="G355" t="s">
        <v>2777</v>
      </c>
    </row>
    <row r="356" spans="1:7" x14ac:dyDescent="0.25">
      <c r="A356" s="11" t="s">
        <v>2362</v>
      </c>
      <c r="B356" t="s">
        <v>581</v>
      </c>
      <c r="C356" t="s">
        <v>1129</v>
      </c>
      <c r="D356">
        <v>16</v>
      </c>
      <c r="E356" t="s">
        <v>2746</v>
      </c>
      <c r="F356" t="s">
        <v>2774</v>
      </c>
      <c r="G356" t="s">
        <v>2775</v>
      </c>
    </row>
    <row r="357" spans="1:7" x14ac:dyDescent="0.25">
      <c r="A357" s="11" t="s">
        <v>2362</v>
      </c>
      <c r="B357" t="s">
        <v>581</v>
      </c>
      <c r="C357" t="s">
        <v>1123</v>
      </c>
      <c r="D357">
        <v>6</v>
      </c>
      <c r="E357" t="s">
        <v>2747</v>
      </c>
      <c r="F357" t="s">
        <v>2778</v>
      </c>
      <c r="G357" t="s">
        <v>2779</v>
      </c>
    </row>
    <row r="358" spans="1:7" x14ac:dyDescent="0.25">
      <c r="A358" s="11" t="s">
        <v>2362</v>
      </c>
      <c r="B358" t="s">
        <v>581</v>
      </c>
      <c r="C358" t="s">
        <v>1565</v>
      </c>
      <c r="D358">
        <v>3</v>
      </c>
      <c r="E358" t="s">
        <v>2748</v>
      </c>
      <c r="F358" t="s">
        <v>2778</v>
      </c>
      <c r="G358" t="s">
        <v>2779</v>
      </c>
    </row>
    <row r="359" spans="1:7" x14ac:dyDescent="0.25">
      <c r="A359" s="11" t="s">
        <v>2362</v>
      </c>
      <c r="B359" t="s">
        <v>581</v>
      </c>
      <c r="C359" t="s">
        <v>18</v>
      </c>
      <c r="D359">
        <v>2</v>
      </c>
      <c r="E359" t="s">
        <v>2083</v>
      </c>
      <c r="F359" t="s">
        <v>2776</v>
      </c>
      <c r="G359" t="s">
        <v>2777</v>
      </c>
    </row>
    <row r="360" spans="1:7" x14ac:dyDescent="0.25">
      <c r="A360" s="11" t="s">
        <v>2362</v>
      </c>
      <c r="B360" t="s">
        <v>581</v>
      </c>
      <c r="C360" t="s">
        <v>617</v>
      </c>
      <c r="D360">
        <v>2</v>
      </c>
      <c r="E360" t="s">
        <v>2749</v>
      </c>
      <c r="F360" t="s">
        <v>2778</v>
      </c>
      <c r="G360" t="s">
        <v>2779</v>
      </c>
    </row>
    <row r="361" spans="1:7" x14ac:dyDescent="0.25">
      <c r="A361" s="11" t="s">
        <v>2362</v>
      </c>
      <c r="B361" t="s">
        <v>581</v>
      </c>
      <c r="C361" t="s">
        <v>2002</v>
      </c>
      <c r="D361">
        <v>2</v>
      </c>
      <c r="E361" t="s">
        <v>2750</v>
      </c>
      <c r="F361" t="s">
        <v>2776</v>
      </c>
      <c r="G361" t="s">
        <v>2777</v>
      </c>
    </row>
    <row r="362" spans="1:7" x14ac:dyDescent="0.25">
      <c r="A362" s="11" t="s">
        <v>2362</v>
      </c>
      <c r="B362" t="s">
        <v>581</v>
      </c>
      <c r="C362" t="s">
        <v>905</v>
      </c>
      <c r="D362">
        <v>2</v>
      </c>
      <c r="E362" t="s">
        <v>2751</v>
      </c>
      <c r="F362" t="s">
        <v>2778</v>
      </c>
      <c r="G362" t="s">
        <v>2779</v>
      </c>
    </row>
    <row r="363" spans="1:7" x14ac:dyDescent="0.25">
      <c r="A363" s="11" t="s">
        <v>2362</v>
      </c>
      <c r="B363" t="s">
        <v>581</v>
      </c>
      <c r="C363" t="s">
        <v>899</v>
      </c>
      <c r="D363">
        <v>2</v>
      </c>
      <c r="E363" t="s">
        <v>2752</v>
      </c>
      <c r="F363" t="s">
        <v>2778</v>
      </c>
      <c r="G363" t="s">
        <v>2779</v>
      </c>
    </row>
    <row r="364" spans="1:7" x14ac:dyDescent="0.25">
      <c r="A364" s="11" t="s">
        <v>2362</v>
      </c>
      <c r="B364" t="s">
        <v>555</v>
      </c>
      <c r="C364" t="s">
        <v>954</v>
      </c>
      <c r="D364">
        <v>25</v>
      </c>
      <c r="E364" t="s">
        <v>2755</v>
      </c>
      <c r="F364" t="s">
        <v>2774</v>
      </c>
      <c r="G364" t="s">
        <v>2775</v>
      </c>
    </row>
    <row r="365" spans="1:7" x14ac:dyDescent="0.25">
      <c r="A365" s="11" t="s">
        <v>2362</v>
      </c>
      <c r="B365" t="s">
        <v>555</v>
      </c>
      <c r="C365" t="s">
        <v>903</v>
      </c>
      <c r="D365">
        <v>15</v>
      </c>
      <c r="E365" t="s">
        <v>2756</v>
      </c>
      <c r="F365" t="s">
        <v>2774</v>
      </c>
      <c r="G365" t="s">
        <v>2775</v>
      </c>
    </row>
    <row r="366" spans="1:7" x14ac:dyDescent="0.25">
      <c r="A366" s="11" t="s">
        <v>2362</v>
      </c>
      <c r="B366" t="s">
        <v>555</v>
      </c>
      <c r="C366" t="s">
        <v>1025</v>
      </c>
      <c r="D366">
        <v>17</v>
      </c>
      <c r="E366" t="s">
        <v>2788</v>
      </c>
      <c r="F366" t="s">
        <v>2774</v>
      </c>
      <c r="G366" t="s">
        <v>2775</v>
      </c>
    </row>
    <row r="367" spans="1:7" x14ac:dyDescent="0.25">
      <c r="A367" s="11" t="s">
        <v>2362</v>
      </c>
      <c r="B367" t="s">
        <v>555</v>
      </c>
      <c r="C367" t="s">
        <v>941</v>
      </c>
      <c r="D367">
        <v>8</v>
      </c>
      <c r="E367" t="s">
        <v>2759</v>
      </c>
      <c r="F367" t="s">
        <v>2774</v>
      </c>
      <c r="G367" t="s">
        <v>2775</v>
      </c>
    </row>
    <row r="368" spans="1:7" x14ac:dyDescent="0.25">
      <c r="A368" s="11" t="s">
        <v>2362</v>
      </c>
      <c r="B368" t="s">
        <v>555</v>
      </c>
      <c r="C368" t="s">
        <v>960</v>
      </c>
      <c r="D368">
        <v>6</v>
      </c>
      <c r="E368" t="s">
        <v>2104</v>
      </c>
      <c r="F368" t="s">
        <v>2776</v>
      </c>
      <c r="G368" t="s">
        <v>2777</v>
      </c>
    </row>
    <row r="369" spans="1:7" x14ac:dyDescent="0.25">
      <c r="A369" s="11" t="s">
        <v>2362</v>
      </c>
      <c r="B369" t="s">
        <v>555</v>
      </c>
      <c r="C369" t="s">
        <v>1129</v>
      </c>
      <c r="D369">
        <v>6</v>
      </c>
      <c r="E369" t="s">
        <v>2760</v>
      </c>
      <c r="F369" t="s">
        <v>2776</v>
      </c>
      <c r="G369" t="s">
        <v>2777</v>
      </c>
    </row>
    <row r="370" spans="1:7" x14ac:dyDescent="0.25">
      <c r="A370" s="11" t="s">
        <v>2362</v>
      </c>
      <c r="B370" t="s">
        <v>555</v>
      </c>
      <c r="C370" t="s">
        <v>1123</v>
      </c>
      <c r="D370">
        <v>4</v>
      </c>
      <c r="E370" t="s">
        <v>2753</v>
      </c>
      <c r="F370" t="s">
        <v>2776</v>
      </c>
      <c r="G370" t="s">
        <v>2777</v>
      </c>
    </row>
    <row r="371" spans="1:7" x14ac:dyDescent="0.25">
      <c r="A371" s="11" t="s">
        <v>2362</v>
      </c>
      <c r="B371" t="s">
        <v>555</v>
      </c>
      <c r="C371" t="s">
        <v>18</v>
      </c>
      <c r="D371">
        <v>4</v>
      </c>
      <c r="E371" t="s">
        <v>2109</v>
      </c>
      <c r="F371" t="s">
        <v>2776</v>
      </c>
      <c r="G371" t="s">
        <v>2777</v>
      </c>
    </row>
    <row r="372" spans="1:7" x14ac:dyDescent="0.25">
      <c r="A372" s="11" t="s">
        <v>2362</v>
      </c>
      <c r="B372" t="s">
        <v>555</v>
      </c>
      <c r="C372" t="s">
        <v>1565</v>
      </c>
      <c r="D372">
        <v>4</v>
      </c>
      <c r="E372" t="s">
        <v>2754</v>
      </c>
      <c r="F372" t="s">
        <v>2778</v>
      </c>
      <c r="G372" t="s">
        <v>2779</v>
      </c>
    </row>
    <row r="373" spans="1:7" x14ac:dyDescent="0.25">
      <c r="A373" s="11" t="s">
        <v>2362</v>
      </c>
      <c r="B373" t="s">
        <v>555</v>
      </c>
      <c r="C373" t="s">
        <v>617</v>
      </c>
      <c r="D373">
        <v>3</v>
      </c>
      <c r="E373" t="s">
        <v>2761</v>
      </c>
      <c r="F373" t="s">
        <v>2778</v>
      </c>
      <c r="G373" t="s">
        <v>2779</v>
      </c>
    </row>
    <row r="374" spans="1:7" x14ac:dyDescent="0.25">
      <c r="A374" s="11" t="s">
        <v>2362</v>
      </c>
      <c r="B374" t="s">
        <v>555</v>
      </c>
      <c r="C374" t="s">
        <v>2009</v>
      </c>
      <c r="D374">
        <v>2</v>
      </c>
      <c r="E374" t="s">
        <v>2010</v>
      </c>
      <c r="F374" t="s">
        <v>2778</v>
      </c>
      <c r="G374" t="s">
        <v>2779</v>
      </c>
    </row>
    <row r="375" spans="1:7" x14ac:dyDescent="0.25">
      <c r="A375" s="11" t="s">
        <v>2362</v>
      </c>
      <c r="B375" t="s">
        <v>555</v>
      </c>
      <c r="C375" t="s">
        <v>1557</v>
      </c>
      <c r="D375">
        <v>2</v>
      </c>
      <c r="E375" t="s">
        <v>2446</v>
      </c>
      <c r="F375" t="s">
        <v>2776</v>
      </c>
      <c r="G375" t="s">
        <v>2777</v>
      </c>
    </row>
    <row r="376" spans="1:7" x14ac:dyDescent="0.25">
      <c r="A376" s="11" t="s">
        <v>2362</v>
      </c>
      <c r="B376" t="s">
        <v>555</v>
      </c>
      <c r="C376" t="s">
        <v>905</v>
      </c>
      <c r="D376">
        <v>2</v>
      </c>
      <c r="E376" t="s">
        <v>2757</v>
      </c>
      <c r="F376" t="s">
        <v>2774</v>
      </c>
      <c r="G376" t="s">
        <v>2775</v>
      </c>
    </row>
    <row r="377" spans="1:7" x14ac:dyDescent="0.25">
      <c r="A377" s="11" t="s">
        <v>2362</v>
      </c>
      <c r="B377" t="s">
        <v>555</v>
      </c>
      <c r="C377" t="s">
        <v>899</v>
      </c>
      <c r="D377">
        <v>2</v>
      </c>
      <c r="E377" t="s">
        <v>2758</v>
      </c>
      <c r="F377" t="s">
        <v>2774</v>
      </c>
      <c r="G377" t="s">
        <v>2775</v>
      </c>
    </row>
    <row r="378" spans="1:7" x14ac:dyDescent="0.25">
      <c r="A378" s="11" t="s">
        <v>2362</v>
      </c>
      <c r="B378" t="s">
        <v>571</v>
      </c>
      <c r="C378" t="s">
        <v>1129</v>
      </c>
      <c r="D378">
        <v>62</v>
      </c>
      <c r="E378" t="s">
        <v>1827</v>
      </c>
      <c r="F378" t="s">
        <v>2774</v>
      </c>
      <c r="G378" t="s">
        <v>2775</v>
      </c>
    </row>
    <row r="379" spans="1:7" x14ac:dyDescent="0.25">
      <c r="A379" s="11" t="s">
        <v>2362</v>
      </c>
      <c r="B379" t="s">
        <v>571</v>
      </c>
      <c r="C379" t="s">
        <v>1828</v>
      </c>
      <c r="D379">
        <v>20</v>
      </c>
      <c r="E379" t="s">
        <v>1829</v>
      </c>
      <c r="F379" t="s">
        <v>2774</v>
      </c>
      <c r="G379" t="s">
        <v>2775</v>
      </c>
    </row>
    <row r="380" spans="1:7" x14ac:dyDescent="0.25">
      <c r="A380" s="11" t="s">
        <v>2362</v>
      </c>
      <c r="B380" t="s">
        <v>571</v>
      </c>
      <c r="C380" t="s">
        <v>1123</v>
      </c>
      <c r="D380">
        <v>5</v>
      </c>
      <c r="E380" t="s">
        <v>1831</v>
      </c>
      <c r="F380" t="s">
        <v>2776</v>
      </c>
      <c r="G380" t="s">
        <v>2777</v>
      </c>
    </row>
    <row r="381" spans="1:7" x14ac:dyDescent="0.25">
      <c r="A381" s="11" t="s">
        <v>2362</v>
      </c>
      <c r="B381" t="s">
        <v>571</v>
      </c>
      <c r="C381" t="s">
        <v>960</v>
      </c>
      <c r="D381">
        <v>4</v>
      </c>
      <c r="E381" t="s">
        <v>1833</v>
      </c>
      <c r="F381" t="s">
        <v>2776</v>
      </c>
      <c r="G381" t="s">
        <v>2777</v>
      </c>
    </row>
    <row r="382" spans="1:7" x14ac:dyDescent="0.25">
      <c r="A382" s="11" t="s">
        <v>2362</v>
      </c>
      <c r="B382" t="s">
        <v>571</v>
      </c>
      <c r="C382" t="s">
        <v>1126</v>
      </c>
      <c r="D382">
        <v>4</v>
      </c>
      <c r="E382" t="s">
        <v>1835</v>
      </c>
      <c r="F382" t="s">
        <v>2776</v>
      </c>
      <c r="G382" t="s">
        <v>2777</v>
      </c>
    </row>
    <row r="383" spans="1:7" x14ac:dyDescent="0.25">
      <c r="A383" s="11" t="s">
        <v>2362</v>
      </c>
      <c r="B383" t="s">
        <v>571</v>
      </c>
      <c r="C383" t="s">
        <v>1042</v>
      </c>
      <c r="D383">
        <v>3</v>
      </c>
      <c r="E383" t="s">
        <v>1837</v>
      </c>
      <c r="F383" t="s">
        <v>2780</v>
      </c>
      <c r="G383" t="s">
        <v>2781</v>
      </c>
    </row>
    <row r="384" spans="1:7" x14ac:dyDescent="0.25">
      <c r="A384" s="11" t="s">
        <v>2362</v>
      </c>
      <c r="B384" t="s">
        <v>571</v>
      </c>
      <c r="C384" t="s">
        <v>941</v>
      </c>
      <c r="D384">
        <v>2</v>
      </c>
      <c r="E384" t="s">
        <v>2737</v>
      </c>
      <c r="F384" t="s">
        <v>2778</v>
      </c>
      <c r="G384" t="s">
        <v>2779</v>
      </c>
    </row>
    <row r="385" spans="1:7" x14ac:dyDescent="0.25">
      <c r="A385" s="11" t="s">
        <v>2362</v>
      </c>
      <c r="B385" t="s">
        <v>569</v>
      </c>
      <c r="C385" t="s">
        <v>960</v>
      </c>
      <c r="D385">
        <v>89</v>
      </c>
      <c r="E385" t="s">
        <v>1877</v>
      </c>
      <c r="F385" t="s">
        <v>2774</v>
      </c>
      <c r="G385" t="s">
        <v>2775</v>
      </c>
    </row>
    <row r="386" spans="1:7" x14ac:dyDescent="0.25">
      <c r="A386" s="11" t="s">
        <v>2362</v>
      </c>
      <c r="B386" t="s">
        <v>569</v>
      </c>
      <c r="C386" t="s">
        <v>941</v>
      </c>
      <c r="D386">
        <v>6</v>
      </c>
      <c r="E386" t="s">
        <v>2737</v>
      </c>
      <c r="F386" t="s">
        <v>2778</v>
      </c>
      <c r="G386" t="s">
        <v>2779</v>
      </c>
    </row>
    <row r="387" spans="1:7" x14ac:dyDescent="0.25">
      <c r="A387" s="11" t="s">
        <v>2362</v>
      </c>
      <c r="B387" t="s">
        <v>569</v>
      </c>
      <c r="C387" t="s">
        <v>1123</v>
      </c>
      <c r="D387">
        <v>2</v>
      </c>
      <c r="E387" t="s">
        <v>1831</v>
      </c>
      <c r="F387" t="s">
        <v>2776</v>
      </c>
      <c r="G387" t="s">
        <v>2777</v>
      </c>
    </row>
    <row r="388" spans="1:7" x14ac:dyDescent="0.25">
      <c r="A388" s="11" t="s">
        <v>2362</v>
      </c>
      <c r="B388" t="s">
        <v>569</v>
      </c>
      <c r="C388" t="s">
        <v>1129</v>
      </c>
      <c r="D388">
        <v>2</v>
      </c>
      <c r="E388" t="s">
        <v>1878</v>
      </c>
      <c r="F388" t="s">
        <v>2776</v>
      </c>
      <c r="G388" t="s">
        <v>2777</v>
      </c>
    </row>
    <row r="389" spans="1:7" x14ac:dyDescent="0.25">
      <c r="A389" s="11" t="s">
        <v>2362</v>
      </c>
      <c r="B389" t="s">
        <v>569</v>
      </c>
      <c r="C389" t="s">
        <v>1042</v>
      </c>
      <c r="D389">
        <v>1</v>
      </c>
      <c r="E389" t="s">
        <v>1879</v>
      </c>
      <c r="F389" t="s">
        <v>2780</v>
      </c>
      <c r="G389" t="s">
        <v>2781</v>
      </c>
    </row>
    <row r="390" spans="1:7" x14ac:dyDescent="0.25">
      <c r="A390" s="11" t="s">
        <v>2362</v>
      </c>
      <c r="B390" t="s">
        <v>559</v>
      </c>
      <c r="C390" t="s">
        <v>960</v>
      </c>
      <c r="D390">
        <v>30</v>
      </c>
      <c r="E390" t="s">
        <v>1863</v>
      </c>
      <c r="F390" t="s">
        <v>2774</v>
      </c>
      <c r="G390" t="s">
        <v>2775</v>
      </c>
    </row>
    <row r="391" spans="1:7" x14ac:dyDescent="0.25">
      <c r="A391" s="11" t="s">
        <v>2362</v>
      </c>
      <c r="B391" t="s">
        <v>559</v>
      </c>
      <c r="C391" t="s">
        <v>1129</v>
      </c>
      <c r="D391">
        <v>40</v>
      </c>
      <c r="E391" t="s">
        <v>1864</v>
      </c>
      <c r="F391" t="s">
        <v>2776</v>
      </c>
      <c r="G391" t="s">
        <v>2777</v>
      </c>
    </row>
    <row r="392" spans="1:7" x14ac:dyDescent="0.25">
      <c r="A392" s="11" t="s">
        <v>2362</v>
      </c>
      <c r="B392" t="s">
        <v>559</v>
      </c>
      <c r="C392" t="s">
        <v>1123</v>
      </c>
      <c r="D392">
        <v>18</v>
      </c>
      <c r="E392" t="s">
        <v>1866</v>
      </c>
      <c r="F392" t="s">
        <v>2776</v>
      </c>
      <c r="G392" t="s">
        <v>2777</v>
      </c>
    </row>
    <row r="393" spans="1:7" x14ac:dyDescent="0.25">
      <c r="A393" s="11" t="s">
        <v>2362</v>
      </c>
      <c r="B393" t="s">
        <v>559</v>
      </c>
      <c r="C393" t="s">
        <v>941</v>
      </c>
      <c r="D393">
        <v>7</v>
      </c>
      <c r="E393" t="s">
        <v>2737</v>
      </c>
      <c r="F393" t="s">
        <v>2778</v>
      </c>
      <c r="G393" t="s">
        <v>2779</v>
      </c>
    </row>
    <row r="394" spans="1:7" x14ac:dyDescent="0.25">
      <c r="A394" s="11" t="s">
        <v>2362</v>
      </c>
      <c r="B394" t="s">
        <v>559</v>
      </c>
      <c r="C394" t="s">
        <v>1042</v>
      </c>
      <c r="D394">
        <v>4</v>
      </c>
      <c r="E394" t="s">
        <v>1837</v>
      </c>
      <c r="F394" t="s">
        <v>2780</v>
      </c>
      <c r="G394" t="s">
        <v>2781</v>
      </c>
    </row>
    <row r="395" spans="1:7" x14ac:dyDescent="0.25">
      <c r="A395" s="11" t="s">
        <v>2362</v>
      </c>
      <c r="B395" t="s">
        <v>559</v>
      </c>
      <c r="C395" t="s">
        <v>1142</v>
      </c>
      <c r="D395">
        <v>1</v>
      </c>
      <c r="E395" t="s">
        <v>1592</v>
      </c>
      <c r="F395" t="s">
        <v>2776</v>
      </c>
      <c r="G395" t="s">
        <v>2777</v>
      </c>
    </row>
    <row r="396" spans="1:7" x14ac:dyDescent="0.25">
      <c r="A396" s="11" t="s">
        <v>2362</v>
      </c>
      <c r="B396" t="s">
        <v>561</v>
      </c>
      <c r="C396" t="s">
        <v>960</v>
      </c>
      <c r="D396">
        <v>77</v>
      </c>
      <c r="E396" t="s">
        <v>1870</v>
      </c>
      <c r="F396" t="s">
        <v>2774</v>
      </c>
      <c r="G396" t="s">
        <v>2775</v>
      </c>
    </row>
    <row r="397" spans="1:7" x14ac:dyDescent="0.25">
      <c r="A397" s="11" t="s">
        <v>2362</v>
      </c>
      <c r="B397" t="s">
        <v>561</v>
      </c>
      <c r="C397" t="s">
        <v>1123</v>
      </c>
      <c r="D397">
        <v>8</v>
      </c>
      <c r="E397" t="s">
        <v>1831</v>
      </c>
      <c r="F397" t="s">
        <v>2776</v>
      </c>
      <c r="G397" t="s">
        <v>2777</v>
      </c>
    </row>
    <row r="398" spans="1:7" x14ac:dyDescent="0.25">
      <c r="A398" s="11" t="s">
        <v>2362</v>
      </c>
      <c r="B398" t="s">
        <v>561</v>
      </c>
      <c r="C398" t="s">
        <v>1129</v>
      </c>
      <c r="D398">
        <v>6</v>
      </c>
      <c r="E398" t="s">
        <v>1871</v>
      </c>
      <c r="F398" t="s">
        <v>2776</v>
      </c>
      <c r="G398" t="s">
        <v>2777</v>
      </c>
    </row>
    <row r="399" spans="1:7" x14ac:dyDescent="0.25">
      <c r="A399" s="11" t="s">
        <v>2362</v>
      </c>
      <c r="B399" t="s">
        <v>561</v>
      </c>
      <c r="C399" t="s">
        <v>941</v>
      </c>
      <c r="D399">
        <v>6</v>
      </c>
      <c r="E399" t="s">
        <v>2737</v>
      </c>
      <c r="F399" t="s">
        <v>2778</v>
      </c>
      <c r="G399" t="s">
        <v>2779</v>
      </c>
    </row>
    <row r="400" spans="1:7" x14ac:dyDescent="0.25">
      <c r="A400" s="11" t="s">
        <v>2362</v>
      </c>
      <c r="B400" t="s">
        <v>561</v>
      </c>
      <c r="C400" t="s">
        <v>1042</v>
      </c>
      <c r="D400">
        <v>2</v>
      </c>
      <c r="E400" t="s">
        <v>1837</v>
      </c>
      <c r="F400" t="s">
        <v>2780</v>
      </c>
      <c r="G400" t="s">
        <v>2781</v>
      </c>
    </row>
    <row r="401" spans="1:7" x14ac:dyDescent="0.25">
      <c r="A401" s="11" t="s">
        <v>2362</v>
      </c>
      <c r="B401" t="s">
        <v>561</v>
      </c>
      <c r="C401" t="s">
        <v>1142</v>
      </c>
      <c r="D401">
        <v>1</v>
      </c>
      <c r="E401" t="s">
        <v>1592</v>
      </c>
      <c r="F401" t="s">
        <v>2776</v>
      </c>
      <c r="G401" t="s">
        <v>2777</v>
      </c>
    </row>
    <row r="402" spans="1:7" x14ac:dyDescent="0.25">
      <c r="A402" s="11" t="s">
        <v>2362</v>
      </c>
      <c r="B402" t="s">
        <v>557</v>
      </c>
      <c r="C402" t="s">
        <v>1129</v>
      </c>
      <c r="D402">
        <v>80</v>
      </c>
      <c r="E402" t="s">
        <v>1854</v>
      </c>
      <c r="F402" t="s">
        <v>2774</v>
      </c>
      <c r="G402" t="s">
        <v>2775</v>
      </c>
    </row>
    <row r="403" spans="1:7" x14ac:dyDescent="0.25">
      <c r="A403" s="11" t="s">
        <v>2362</v>
      </c>
      <c r="B403" t="s">
        <v>557</v>
      </c>
      <c r="C403" t="s">
        <v>960</v>
      </c>
      <c r="D403">
        <v>8</v>
      </c>
      <c r="E403" t="s">
        <v>1849</v>
      </c>
      <c r="F403" t="s">
        <v>2776</v>
      </c>
      <c r="G403" t="s">
        <v>2777</v>
      </c>
    </row>
    <row r="404" spans="1:7" x14ac:dyDescent="0.25">
      <c r="A404" s="11" t="s">
        <v>2362</v>
      </c>
      <c r="B404" t="s">
        <v>557</v>
      </c>
      <c r="C404" t="s">
        <v>1828</v>
      </c>
      <c r="D404">
        <v>4</v>
      </c>
      <c r="E404" t="s">
        <v>1855</v>
      </c>
      <c r="F404" t="s">
        <v>2774</v>
      </c>
      <c r="G404" t="s">
        <v>2775</v>
      </c>
    </row>
    <row r="405" spans="1:7" x14ac:dyDescent="0.25">
      <c r="A405" s="11" t="s">
        <v>2362</v>
      </c>
      <c r="B405" t="s">
        <v>557</v>
      </c>
      <c r="C405" t="s">
        <v>1123</v>
      </c>
      <c r="D405">
        <v>3</v>
      </c>
      <c r="E405" t="s">
        <v>1831</v>
      </c>
      <c r="F405" t="s">
        <v>2776</v>
      </c>
      <c r="G405" t="s">
        <v>2777</v>
      </c>
    </row>
    <row r="406" spans="1:7" x14ac:dyDescent="0.25">
      <c r="A406" s="11" t="s">
        <v>2362</v>
      </c>
      <c r="B406" t="s">
        <v>557</v>
      </c>
      <c r="C406" t="s">
        <v>1042</v>
      </c>
      <c r="D406">
        <v>3</v>
      </c>
      <c r="E406" t="s">
        <v>1837</v>
      </c>
      <c r="F406" t="s">
        <v>2780</v>
      </c>
      <c r="G406" t="s">
        <v>2781</v>
      </c>
    </row>
    <row r="407" spans="1:7" x14ac:dyDescent="0.25">
      <c r="A407" s="11" t="s">
        <v>2362</v>
      </c>
      <c r="B407" t="s">
        <v>557</v>
      </c>
      <c r="C407" t="s">
        <v>941</v>
      </c>
      <c r="D407">
        <v>2</v>
      </c>
      <c r="E407" t="s">
        <v>2737</v>
      </c>
      <c r="F407" t="s">
        <v>2778</v>
      </c>
      <c r="G407" t="s">
        <v>2779</v>
      </c>
    </row>
    <row r="408" spans="1:7" x14ac:dyDescent="0.25">
      <c r="A408" s="11" t="s">
        <v>2362</v>
      </c>
      <c r="B408" t="s">
        <v>579</v>
      </c>
      <c r="C408" t="s">
        <v>960</v>
      </c>
      <c r="D408">
        <v>68</v>
      </c>
      <c r="E408" t="s">
        <v>1882</v>
      </c>
      <c r="F408" t="s">
        <v>2774</v>
      </c>
      <c r="G408" t="s">
        <v>2775</v>
      </c>
    </row>
    <row r="409" spans="1:7" x14ac:dyDescent="0.25">
      <c r="A409" s="11" t="s">
        <v>2362</v>
      </c>
      <c r="B409" t="s">
        <v>579</v>
      </c>
      <c r="C409" t="s">
        <v>1565</v>
      </c>
      <c r="D409">
        <v>10</v>
      </c>
      <c r="E409" t="s">
        <v>2552</v>
      </c>
      <c r="F409" t="s">
        <v>2776</v>
      </c>
      <c r="G409" t="s">
        <v>2777</v>
      </c>
    </row>
    <row r="410" spans="1:7" x14ac:dyDescent="0.25">
      <c r="A410" s="11" t="s">
        <v>2362</v>
      </c>
      <c r="B410" t="s">
        <v>579</v>
      </c>
      <c r="C410" t="s">
        <v>1123</v>
      </c>
      <c r="D410">
        <v>8</v>
      </c>
      <c r="E410" t="s">
        <v>1885</v>
      </c>
      <c r="F410" t="s">
        <v>2776</v>
      </c>
      <c r="G410" t="s">
        <v>2777</v>
      </c>
    </row>
    <row r="411" spans="1:7" x14ac:dyDescent="0.25">
      <c r="A411" s="11" t="s">
        <v>2362</v>
      </c>
      <c r="B411" t="s">
        <v>579</v>
      </c>
      <c r="C411" t="s">
        <v>941</v>
      </c>
      <c r="D411">
        <v>8</v>
      </c>
      <c r="E411" t="s">
        <v>2737</v>
      </c>
      <c r="F411" t="s">
        <v>2778</v>
      </c>
      <c r="G411" t="s">
        <v>2779</v>
      </c>
    </row>
    <row r="412" spans="1:7" x14ac:dyDescent="0.25">
      <c r="A412" s="11" t="s">
        <v>2362</v>
      </c>
      <c r="B412" t="s">
        <v>579</v>
      </c>
      <c r="C412" t="s">
        <v>1042</v>
      </c>
      <c r="D412">
        <v>3</v>
      </c>
      <c r="E412" t="s">
        <v>1887</v>
      </c>
      <c r="F412" t="s">
        <v>2780</v>
      </c>
      <c r="G412" t="s">
        <v>2781</v>
      </c>
    </row>
    <row r="413" spans="1:7" x14ac:dyDescent="0.25">
      <c r="A413" s="11" t="s">
        <v>2362</v>
      </c>
      <c r="B413" t="s">
        <v>579</v>
      </c>
      <c r="C413" t="s">
        <v>1129</v>
      </c>
      <c r="D413">
        <v>3</v>
      </c>
      <c r="E413" t="s">
        <v>1888</v>
      </c>
      <c r="F413" t="s">
        <v>2776</v>
      </c>
      <c r="G413" t="s">
        <v>2777</v>
      </c>
    </row>
    <row r="414" spans="1:7" x14ac:dyDescent="0.25">
      <c r="A414" s="11" t="s">
        <v>2362</v>
      </c>
      <c r="B414" t="s">
        <v>567</v>
      </c>
      <c r="C414" t="s">
        <v>960</v>
      </c>
      <c r="D414">
        <v>90</v>
      </c>
      <c r="E414" t="s">
        <v>1903</v>
      </c>
      <c r="F414" t="s">
        <v>2774</v>
      </c>
      <c r="G414" t="s">
        <v>2775</v>
      </c>
    </row>
    <row r="415" spans="1:7" x14ac:dyDescent="0.25">
      <c r="A415" s="11" t="s">
        <v>2362</v>
      </c>
      <c r="B415" t="s">
        <v>567</v>
      </c>
      <c r="C415" t="s">
        <v>941</v>
      </c>
      <c r="D415">
        <v>6</v>
      </c>
      <c r="E415" t="s">
        <v>2737</v>
      </c>
      <c r="F415" t="s">
        <v>2778</v>
      </c>
      <c r="G415" t="s">
        <v>2779</v>
      </c>
    </row>
    <row r="416" spans="1:7" x14ac:dyDescent="0.25">
      <c r="A416" s="11" t="s">
        <v>2362</v>
      </c>
      <c r="B416" t="s">
        <v>567</v>
      </c>
      <c r="C416" t="s">
        <v>1123</v>
      </c>
      <c r="D416">
        <v>3</v>
      </c>
      <c r="E416" t="s">
        <v>1904</v>
      </c>
      <c r="F416" t="s">
        <v>2776</v>
      </c>
      <c r="G416" t="s">
        <v>2777</v>
      </c>
    </row>
    <row r="417" spans="1:7" x14ac:dyDescent="0.25">
      <c r="A417" s="11" t="s">
        <v>2362</v>
      </c>
      <c r="B417" t="s">
        <v>567</v>
      </c>
      <c r="C417" t="s">
        <v>1042</v>
      </c>
      <c r="D417">
        <v>1</v>
      </c>
      <c r="E417" t="s">
        <v>1905</v>
      </c>
      <c r="F417" t="s">
        <v>2780</v>
      </c>
      <c r="G417" t="s">
        <v>2781</v>
      </c>
    </row>
    <row r="418" spans="1:7" x14ac:dyDescent="0.25">
      <c r="A418" s="11" t="s">
        <v>2362</v>
      </c>
      <c r="B418" t="s">
        <v>785</v>
      </c>
      <c r="C418" t="s">
        <v>960</v>
      </c>
      <c r="D418">
        <v>48</v>
      </c>
      <c r="E418" t="s">
        <v>2489</v>
      </c>
      <c r="F418" t="s">
        <v>2774</v>
      </c>
      <c r="G418" t="s">
        <v>2775</v>
      </c>
    </row>
    <row r="419" spans="1:7" x14ac:dyDescent="0.25">
      <c r="A419" s="11" t="s">
        <v>2362</v>
      </c>
      <c r="B419" t="s">
        <v>785</v>
      </c>
      <c r="C419" t="s">
        <v>1123</v>
      </c>
      <c r="D419">
        <v>15</v>
      </c>
      <c r="E419" t="s">
        <v>2490</v>
      </c>
      <c r="F419" t="s">
        <v>2774</v>
      </c>
      <c r="G419" t="s">
        <v>2775</v>
      </c>
    </row>
    <row r="420" spans="1:7" x14ac:dyDescent="0.25">
      <c r="A420" s="11" t="s">
        <v>2362</v>
      </c>
      <c r="B420" t="s">
        <v>785</v>
      </c>
      <c r="C420" t="s">
        <v>970</v>
      </c>
      <c r="D420">
        <v>14</v>
      </c>
      <c r="E420" t="s">
        <v>2770</v>
      </c>
      <c r="F420" t="s">
        <v>2774</v>
      </c>
      <c r="G420" t="s">
        <v>2775</v>
      </c>
    </row>
    <row r="421" spans="1:7" x14ac:dyDescent="0.25">
      <c r="A421" s="11" t="s">
        <v>2362</v>
      </c>
      <c r="B421" t="s">
        <v>785</v>
      </c>
      <c r="C421" t="s">
        <v>2059</v>
      </c>
      <c r="D421">
        <v>9</v>
      </c>
      <c r="E421" t="s">
        <v>2699</v>
      </c>
      <c r="F421" t="s">
        <v>2774</v>
      </c>
      <c r="G421" t="s">
        <v>2775</v>
      </c>
    </row>
    <row r="422" spans="1:7" x14ac:dyDescent="0.25">
      <c r="A422" s="11" t="s">
        <v>2362</v>
      </c>
      <c r="B422" t="s">
        <v>785</v>
      </c>
      <c r="C422" t="s">
        <v>1142</v>
      </c>
      <c r="D422">
        <v>8</v>
      </c>
      <c r="E422" t="s">
        <v>2491</v>
      </c>
      <c r="F422" t="s">
        <v>2776</v>
      </c>
      <c r="G422" t="s">
        <v>2777</v>
      </c>
    </row>
    <row r="423" spans="1:7" x14ac:dyDescent="0.25">
      <c r="A423" s="11" t="s">
        <v>2362</v>
      </c>
      <c r="B423" t="s">
        <v>785</v>
      </c>
      <c r="C423" t="s">
        <v>1591</v>
      </c>
      <c r="D423">
        <v>4</v>
      </c>
      <c r="E423" t="s">
        <v>2491</v>
      </c>
      <c r="F423" t="s">
        <v>2776</v>
      </c>
      <c r="G423" t="s">
        <v>2777</v>
      </c>
    </row>
    <row r="424" spans="1:7" x14ac:dyDescent="0.25">
      <c r="A424" s="11" t="s">
        <v>2362</v>
      </c>
      <c r="B424" t="s">
        <v>785</v>
      </c>
      <c r="C424" t="s">
        <v>1042</v>
      </c>
      <c r="D424">
        <v>2</v>
      </c>
      <c r="E424" t="s">
        <v>1976</v>
      </c>
      <c r="F424" t="s">
        <v>2780</v>
      </c>
      <c r="G424" t="s">
        <v>2781</v>
      </c>
    </row>
    <row r="425" spans="1:7" x14ac:dyDescent="0.25">
      <c r="A425" s="11" t="s">
        <v>2362</v>
      </c>
      <c r="B425" t="s">
        <v>788</v>
      </c>
      <c r="C425" t="s">
        <v>1123</v>
      </c>
      <c r="D425">
        <v>32</v>
      </c>
      <c r="E425" t="s">
        <v>2553</v>
      </c>
      <c r="F425" t="s">
        <v>2774</v>
      </c>
      <c r="G425" t="s">
        <v>2775</v>
      </c>
    </row>
    <row r="426" spans="1:7" x14ac:dyDescent="0.25">
      <c r="A426" s="11" t="s">
        <v>2362</v>
      </c>
      <c r="B426" t="s">
        <v>788</v>
      </c>
      <c r="C426" t="s">
        <v>960</v>
      </c>
      <c r="D426">
        <v>30</v>
      </c>
      <c r="E426" t="s">
        <v>2451</v>
      </c>
      <c r="F426" t="s">
        <v>2774</v>
      </c>
      <c r="G426" t="s">
        <v>2775</v>
      </c>
    </row>
    <row r="427" spans="1:7" x14ac:dyDescent="0.25">
      <c r="A427" s="11" t="s">
        <v>2362</v>
      </c>
      <c r="B427" t="s">
        <v>788</v>
      </c>
      <c r="C427" t="s">
        <v>970</v>
      </c>
      <c r="D427">
        <v>18</v>
      </c>
      <c r="E427" t="s">
        <v>2554</v>
      </c>
      <c r="F427" t="s">
        <v>2774</v>
      </c>
      <c r="G427" t="s">
        <v>2775</v>
      </c>
    </row>
    <row r="428" spans="1:7" x14ac:dyDescent="0.25">
      <c r="A428" s="11" t="s">
        <v>2362</v>
      </c>
      <c r="B428" t="s">
        <v>788</v>
      </c>
      <c r="C428" t="s">
        <v>1142</v>
      </c>
      <c r="D428">
        <v>8</v>
      </c>
      <c r="E428" t="s">
        <v>1592</v>
      </c>
      <c r="F428" t="s">
        <v>2776</v>
      </c>
      <c r="G428" t="s">
        <v>2777</v>
      </c>
    </row>
    <row r="429" spans="1:7" x14ac:dyDescent="0.25">
      <c r="A429" s="11" t="s">
        <v>2362</v>
      </c>
      <c r="B429" t="s">
        <v>788</v>
      </c>
      <c r="C429" t="s">
        <v>1129</v>
      </c>
      <c r="D429">
        <v>4</v>
      </c>
      <c r="E429" t="s">
        <v>1985</v>
      </c>
      <c r="F429" t="s">
        <v>2776</v>
      </c>
      <c r="G429" t="s">
        <v>2777</v>
      </c>
    </row>
    <row r="430" spans="1:7" x14ac:dyDescent="0.25">
      <c r="A430" s="11" t="s">
        <v>2362</v>
      </c>
      <c r="B430" t="s">
        <v>788</v>
      </c>
      <c r="C430" t="s">
        <v>941</v>
      </c>
      <c r="D430">
        <v>6</v>
      </c>
      <c r="E430" t="s">
        <v>2737</v>
      </c>
      <c r="F430" t="s">
        <v>2778</v>
      </c>
      <c r="G430" t="s">
        <v>2779</v>
      </c>
    </row>
    <row r="431" spans="1:7" x14ac:dyDescent="0.25">
      <c r="A431" s="11" t="s">
        <v>2362</v>
      </c>
      <c r="B431" t="s">
        <v>788</v>
      </c>
      <c r="C431" t="s">
        <v>1042</v>
      </c>
      <c r="D431">
        <v>2</v>
      </c>
      <c r="E431" t="s">
        <v>1986</v>
      </c>
      <c r="F431" t="s">
        <v>2780</v>
      </c>
      <c r="G431" t="s">
        <v>2781</v>
      </c>
    </row>
    <row r="432" spans="1:7" x14ac:dyDescent="0.25">
      <c r="A432" s="11" t="s">
        <v>2362</v>
      </c>
      <c r="B432" t="s">
        <v>791</v>
      </c>
      <c r="C432" t="s">
        <v>960</v>
      </c>
      <c r="D432">
        <v>76</v>
      </c>
      <c r="E432" t="s">
        <v>2487</v>
      </c>
      <c r="F432" t="s">
        <v>2774</v>
      </c>
      <c r="G432" t="s">
        <v>2775</v>
      </c>
    </row>
    <row r="433" spans="1:7" x14ac:dyDescent="0.25">
      <c r="A433" s="11" t="s">
        <v>2362</v>
      </c>
      <c r="B433" t="s">
        <v>791</v>
      </c>
      <c r="C433" t="s">
        <v>1123</v>
      </c>
      <c r="D433">
        <v>12</v>
      </c>
      <c r="E433" t="s">
        <v>1991</v>
      </c>
      <c r="F433" t="s">
        <v>2776</v>
      </c>
      <c r="G433" t="s">
        <v>2777</v>
      </c>
    </row>
    <row r="434" spans="1:7" x14ac:dyDescent="0.25">
      <c r="A434" s="11" t="s">
        <v>2362</v>
      </c>
      <c r="B434" t="s">
        <v>791</v>
      </c>
      <c r="C434" t="s">
        <v>941</v>
      </c>
      <c r="D434">
        <v>5</v>
      </c>
      <c r="E434" t="s">
        <v>2737</v>
      </c>
      <c r="F434" t="s">
        <v>2778</v>
      </c>
      <c r="G434" t="s">
        <v>2779</v>
      </c>
    </row>
    <row r="435" spans="1:7" x14ac:dyDescent="0.25">
      <c r="A435" s="11" t="s">
        <v>2362</v>
      </c>
      <c r="B435" t="s">
        <v>791</v>
      </c>
      <c r="C435" t="s">
        <v>1129</v>
      </c>
      <c r="D435">
        <v>3</v>
      </c>
      <c r="E435" t="s">
        <v>1992</v>
      </c>
      <c r="F435" t="s">
        <v>2776</v>
      </c>
      <c r="G435" t="s">
        <v>2777</v>
      </c>
    </row>
    <row r="436" spans="1:7" x14ac:dyDescent="0.25">
      <c r="A436" s="11" t="s">
        <v>2362</v>
      </c>
      <c r="B436" t="s">
        <v>791</v>
      </c>
      <c r="C436" t="s">
        <v>1042</v>
      </c>
      <c r="D436">
        <v>3</v>
      </c>
      <c r="E436" t="s">
        <v>1993</v>
      </c>
      <c r="F436" t="s">
        <v>2780</v>
      </c>
      <c r="G436" t="s">
        <v>2781</v>
      </c>
    </row>
    <row r="437" spans="1:7" x14ac:dyDescent="0.25">
      <c r="A437" s="11" t="s">
        <v>2362</v>
      </c>
      <c r="B437" t="s">
        <v>791</v>
      </c>
      <c r="C437" t="s">
        <v>1142</v>
      </c>
      <c r="D437">
        <v>1</v>
      </c>
      <c r="E437" t="s">
        <v>1592</v>
      </c>
      <c r="F437" t="s">
        <v>2776</v>
      </c>
      <c r="G437" t="s">
        <v>2777</v>
      </c>
    </row>
    <row r="438" spans="1:7" x14ac:dyDescent="0.25">
      <c r="A438" s="11" t="s">
        <v>2362</v>
      </c>
      <c r="B438" t="s">
        <v>794</v>
      </c>
      <c r="C438" t="s">
        <v>960</v>
      </c>
      <c r="D438">
        <v>74</v>
      </c>
      <c r="E438" t="s">
        <v>2487</v>
      </c>
      <c r="F438" t="s">
        <v>2774</v>
      </c>
      <c r="G438" t="s">
        <v>2775</v>
      </c>
    </row>
    <row r="439" spans="1:7" x14ac:dyDescent="0.25">
      <c r="A439" s="11" t="s">
        <v>2362</v>
      </c>
      <c r="B439" t="s">
        <v>794</v>
      </c>
      <c r="C439" t="s">
        <v>1123</v>
      </c>
      <c r="D439">
        <v>12</v>
      </c>
      <c r="E439" t="s">
        <v>1991</v>
      </c>
      <c r="F439" t="s">
        <v>2776</v>
      </c>
      <c r="G439" t="s">
        <v>2777</v>
      </c>
    </row>
    <row r="440" spans="1:7" x14ac:dyDescent="0.25">
      <c r="A440" s="11" t="s">
        <v>2362</v>
      </c>
      <c r="B440" t="s">
        <v>794</v>
      </c>
      <c r="C440" t="s">
        <v>941</v>
      </c>
      <c r="D440">
        <v>5</v>
      </c>
      <c r="E440" t="s">
        <v>2737</v>
      </c>
      <c r="F440" t="s">
        <v>2778</v>
      </c>
      <c r="G440" t="s">
        <v>2779</v>
      </c>
    </row>
    <row r="441" spans="1:7" x14ac:dyDescent="0.25">
      <c r="A441" s="11" t="s">
        <v>2362</v>
      </c>
      <c r="B441" t="s">
        <v>794</v>
      </c>
      <c r="C441" t="s">
        <v>1129</v>
      </c>
      <c r="D441">
        <v>3</v>
      </c>
      <c r="E441" t="s">
        <v>1992</v>
      </c>
      <c r="F441" t="s">
        <v>2776</v>
      </c>
      <c r="G441" t="s">
        <v>2777</v>
      </c>
    </row>
    <row r="442" spans="1:7" x14ac:dyDescent="0.25">
      <c r="A442" s="11" t="s">
        <v>2362</v>
      </c>
      <c r="B442" t="s">
        <v>794</v>
      </c>
      <c r="C442" t="s">
        <v>1042</v>
      </c>
      <c r="D442">
        <v>3</v>
      </c>
      <c r="E442" t="s">
        <v>1993</v>
      </c>
      <c r="F442" t="s">
        <v>2780</v>
      </c>
      <c r="G442" t="s">
        <v>2781</v>
      </c>
    </row>
    <row r="443" spans="1:7" x14ac:dyDescent="0.25">
      <c r="A443" s="11" t="s">
        <v>2362</v>
      </c>
      <c r="B443" t="s">
        <v>794</v>
      </c>
      <c r="C443" t="s">
        <v>1142</v>
      </c>
      <c r="D443">
        <v>3</v>
      </c>
      <c r="E443" t="s">
        <v>1592</v>
      </c>
      <c r="F443" t="s">
        <v>2776</v>
      </c>
      <c r="G443" t="s">
        <v>2777</v>
      </c>
    </row>
    <row r="444" spans="1:7" x14ac:dyDescent="0.25">
      <c r="A444" s="11" t="s">
        <v>2362</v>
      </c>
      <c r="B444" t="s">
        <v>777</v>
      </c>
      <c r="C444" t="s">
        <v>960</v>
      </c>
      <c r="D444">
        <v>88</v>
      </c>
      <c r="E444" t="s">
        <v>2484</v>
      </c>
      <c r="F444" t="s">
        <v>2774</v>
      </c>
      <c r="G444" t="s">
        <v>2775</v>
      </c>
    </row>
    <row r="445" spans="1:7" x14ac:dyDescent="0.25">
      <c r="A445" s="11" t="s">
        <v>2362</v>
      </c>
      <c r="B445" t="s">
        <v>777</v>
      </c>
      <c r="C445" t="s">
        <v>941</v>
      </c>
      <c r="D445">
        <v>6</v>
      </c>
      <c r="E445" t="s">
        <v>2737</v>
      </c>
      <c r="F445" t="s">
        <v>2778</v>
      </c>
      <c r="G445" t="s">
        <v>2779</v>
      </c>
    </row>
    <row r="446" spans="1:7" x14ac:dyDescent="0.25">
      <c r="A446" s="11" t="s">
        <v>2362</v>
      </c>
      <c r="B446" t="s">
        <v>777</v>
      </c>
      <c r="C446" t="s">
        <v>1123</v>
      </c>
      <c r="D446">
        <v>4</v>
      </c>
      <c r="E446" t="s">
        <v>1892</v>
      </c>
      <c r="F446" t="s">
        <v>2776</v>
      </c>
      <c r="G446" t="s">
        <v>2777</v>
      </c>
    </row>
    <row r="447" spans="1:7" x14ac:dyDescent="0.25">
      <c r="A447" s="11" t="s">
        <v>2362</v>
      </c>
      <c r="B447" t="s">
        <v>777</v>
      </c>
      <c r="C447" t="s">
        <v>1042</v>
      </c>
      <c r="D447">
        <v>2</v>
      </c>
      <c r="E447" t="s">
        <v>1905</v>
      </c>
      <c r="F447" t="s">
        <v>2780</v>
      </c>
      <c r="G447" t="s">
        <v>2781</v>
      </c>
    </row>
    <row r="448" spans="1:7" x14ac:dyDescent="0.25">
      <c r="A448" s="11" t="s">
        <v>2362</v>
      </c>
      <c r="B448" t="s">
        <v>780</v>
      </c>
      <c r="C448" t="s">
        <v>960</v>
      </c>
      <c r="D448">
        <v>90</v>
      </c>
      <c r="E448" t="s">
        <v>2484</v>
      </c>
      <c r="F448" t="s">
        <v>2774</v>
      </c>
      <c r="G448" t="s">
        <v>2775</v>
      </c>
    </row>
    <row r="449" spans="1:7" x14ac:dyDescent="0.25">
      <c r="A449" s="11" t="s">
        <v>2362</v>
      </c>
      <c r="B449" t="s">
        <v>780</v>
      </c>
      <c r="C449" t="s">
        <v>941</v>
      </c>
      <c r="D449">
        <v>6</v>
      </c>
      <c r="E449" t="s">
        <v>2737</v>
      </c>
      <c r="F449" t="s">
        <v>2778</v>
      </c>
      <c r="G449" t="s">
        <v>2779</v>
      </c>
    </row>
    <row r="450" spans="1:7" x14ac:dyDescent="0.25">
      <c r="A450" s="11" t="s">
        <v>2362</v>
      </c>
      <c r="B450" t="s">
        <v>780</v>
      </c>
      <c r="C450" t="s">
        <v>1123</v>
      </c>
      <c r="D450">
        <v>3</v>
      </c>
      <c r="E450" t="s">
        <v>1892</v>
      </c>
      <c r="F450" t="s">
        <v>2776</v>
      </c>
      <c r="G450" t="s">
        <v>2777</v>
      </c>
    </row>
    <row r="451" spans="1:7" x14ac:dyDescent="0.25">
      <c r="A451" s="11" t="s">
        <v>2362</v>
      </c>
      <c r="B451" t="s">
        <v>780</v>
      </c>
      <c r="C451" t="s">
        <v>1042</v>
      </c>
      <c r="D451">
        <v>1</v>
      </c>
      <c r="E451" t="s">
        <v>1905</v>
      </c>
      <c r="F451" t="s">
        <v>2780</v>
      </c>
      <c r="G451" t="s">
        <v>2781</v>
      </c>
    </row>
    <row r="452" spans="1:7" x14ac:dyDescent="0.25">
      <c r="A452" s="11" t="s">
        <v>2362</v>
      </c>
      <c r="B452" t="s">
        <v>782</v>
      </c>
      <c r="C452" t="s">
        <v>1123</v>
      </c>
      <c r="D452">
        <v>48</v>
      </c>
      <c r="E452" t="s">
        <v>2452</v>
      </c>
      <c r="F452" t="s">
        <v>2774</v>
      </c>
      <c r="G452" t="s">
        <v>2775</v>
      </c>
    </row>
    <row r="453" spans="1:7" x14ac:dyDescent="0.25">
      <c r="A453" s="11" t="s">
        <v>2362</v>
      </c>
      <c r="B453" t="s">
        <v>782</v>
      </c>
      <c r="C453" t="s">
        <v>960</v>
      </c>
      <c r="D453">
        <v>24</v>
      </c>
      <c r="E453" t="s">
        <v>1913</v>
      </c>
      <c r="F453" t="s">
        <v>2774</v>
      </c>
      <c r="G453" t="s">
        <v>2775</v>
      </c>
    </row>
    <row r="454" spans="1:7" x14ac:dyDescent="0.25">
      <c r="A454" s="11" t="s">
        <v>2362</v>
      </c>
      <c r="B454" t="s">
        <v>782</v>
      </c>
      <c r="C454" t="s">
        <v>1142</v>
      </c>
      <c r="D454">
        <v>10</v>
      </c>
      <c r="E454" t="s">
        <v>1592</v>
      </c>
      <c r="F454" t="s">
        <v>2776</v>
      </c>
      <c r="G454" t="s">
        <v>2777</v>
      </c>
    </row>
    <row r="455" spans="1:7" x14ac:dyDescent="0.25">
      <c r="A455" s="11" t="s">
        <v>2362</v>
      </c>
      <c r="B455" t="s">
        <v>782</v>
      </c>
      <c r="C455" t="s">
        <v>1126</v>
      </c>
      <c r="D455">
        <v>8</v>
      </c>
      <c r="E455" t="s">
        <v>1916</v>
      </c>
      <c r="F455" t="s">
        <v>2776</v>
      </c>
      <c r="G455" t="s">
        <v>2777</v>
      </c>
    </row>
    <row r="456" spans="1:7" x14ac:dyDescent="0.25">
      <c r="A456" s="11" t="s">
        <v>2362</v>
      </c>
      <c r="B456" t="s">
        <v>782</v>
      </c>
      <c r="C456" t="s">
        <v>941</v>
      </c>
      <c r="D456">
        <v>6</v>
      </c>
      <c r="E456" t="s">
        <v>2737</v>
      </c>
      <c r="F456" t="s">
        <v>2778</v>
      </c>
      <c r="G456" t="s">
        <v>2779</v>
      </c>
    </row>
    <row r="457" spans="1:7" x14ac:dyDescent="0.25">
      <c r="A457" s="11" t="s">
        <v>2362</v>
      </c>
      <c r="B457" t="s">
        <v>782</v>
      </c>
      <c r="C457" t="s">
        <v>1042</v>
      </c>
      <c r="D457">
        <v>4</v>
      </c>
      <c r="E457" t="s">
        <v>1917</v>
      </c>
      <c r="F457" t="s">
        <v>2780</v>
      </c>
      <c r="G457" t="s">
        <v>2781</v>
      </c>
    </row>
    <row r="458" spans="1:7" x14ac:dyDescent="0.25">
      <c r="A458" s="11" t="s">
        <v>2362</v>
      </c>
      <c r="B458" t="s">
        <v>767</v>
      </c>
      <c r="C458" t="s">
        <v>960</v>
      </c>
      <c r="D458">
        <v>92</v>
      </c>
      <c r="E458" t="s">
        <v>1890</v>
      </c>
      <c r="F458" t="s">
        <v>2774</v>
      </c>
      <c r="G458" t="s">
        <v>2775</v>
      </c>
    </row>
    <row r="459" spans="1:7" x14ac:dyDescent="0.25">
      <c r="A459" s="11" t="s">
        <v>2362</v>
      </c>
      <c r="B459" t="s">
        <v>767</v>
      </c>
      <c r="C459" t="s">
        <v>941</v>
      </c>
      <c r="D459">
        <v>5</v>
      </c>
      <c r="E459" t="s">
        <v>2737</v>
      </c>
      <c r="F459" t="s">
        <v>2778</v>
      </c>
      <c r="G459" t="s">
        <v>2779</v>
      </c>
    </row>
    <row r="460" spans="1:7" x14ac:dyDescent="0.25">
      <c r="A460" s="11" t="s">
        <v>2362</v>
      </c>
      <c r="B460" t="s">
        <v>767</v>
      </c>
      <c r="C460" t="s">
        <v>1123</v>
      </c>
      <c r="D460">
        <v>2</v>
      </c>
      <c r="E460" t="s">
        <v>1892</v>
      </c>
      <c r="F460" t="s">
        <v>2776</v>
      </c>
      <c r="G460" t="s">
        <v>2777</v>
      </c>
    </row>
    <row r="461" spans="1:7" x14ac:dyDescent="0.25">
      <c r="A461" s="11" t="s">
        <v>2362</v>
      </c>
      <c r="B461" t="s">
        <v>767</v>
      </c>
      <c r="C461" t="s">
        <v>1042</v>
      </c>
      <c r="D461">
        <v>1</v>
      </c>
      <c r="E461" t="s">
        <v>1893</v>
      </c>
      <c r="F461" t="s">
        <v>2780</v>
      </c>
      <c r="G461" t="s">
        <v>2781</v>
      </c>
    </row>
    <row r="462" spans="1:7" x14ac:dyDescent="0.25">
      <c r="A462" s="11" t="s">
        <v>2362</v>
      </c>
      <c r="B462" t="s">
        <v>770</v>
      </c>
      <c r="C462" t="s">
        <v>960</v>
      </c>
      <c r="D462">
        <v>92</v>
      </c>
      <c r="E462" t="s">
        <v>1895</v>
      </c>
      <c r="F462" t="s">
        <v>2774</v>
      </c>
      <c r="G462" t="s">
        <v>2775</v>
      </c>
    </row>
    <row r="463" spans="1:7" x14ac:dyDescent="0.25">
      <c r="A463" s="11" t="s">
        <v>2362</v>
      </c>
      <c r="B463" t="s">
        <v>770</v>
      </c>
      <c r="C463" t="s">
        <v>941</v>
      </c>
      <c r="D463">
        <v>5</v>
      </c>
      <c r="E463" t="s">
        <v>2737</v>
      </c>
      <c r="F463" t="s">
        <v>2778</v>
      </c>
      <c r="G463" t="s">
        <v>2779</v>
      </c>
    </row>
    <row r="464" spans="1:7" x14ac:dyDescent="0.25">
      <c r="A464" s="11" t="s">
        <v>2362</v>
      </c>
      <c r="B464" t="s">
        <v>770</v>
      </c>
      <c r="C464" t="s">
        <v>1123</v>
      </c>
      <c r="D464">
        <v>2</v>
      </c>
      <c r="E464" t="s">
        <v>1892</v>
      </c>
      <c r="F464" t="s">
        <v>2776</v>
      </c>
      <c r="G464" t="s">
        <v>2777</v>
      </c>
    </row>
    <row r="465" spans="1:7" x14ac:dyDescent="0.25">
      <c r="A465" s="11" t="s">
        <v>2362</v>
      </c>
      <c r="B465" t="s">
        <v>770</v>
      </c>
      <c r="C465" t="s">
        <v>1042</v>
      </c>
      <c r="D465">
        <v>1</v>
      </c>
      <c r="E465" t="s">
        <v>1897</v>
      </c>
      <c r="F465" t="s">
        <v>2780</v>
      </c>
      <c r="G465" t="s">
        <v>2781</v>
      </c>
    </row>
    <row r="466" spans="1:7" x14ac:dyDescent="0.25">
      <c r="A466" s="11" t="s">
        <v>2362</v>
      </c>
      <c r="B466" t="s">
        <v>774</v>
      </c>
      <c r="C466" t="s">
        <v>960</v>
      </c>
      <c r="D466">
        <v>92</v>
      </c>
      <c r="E466" t="s">
        <v>2453</v>
      </c>
      <c r="F466" t="s">
        <v>2774</v>
      </c>
      <c r="G466" t="s">
        <v>2775</v>
      </c>
    </row>
    <row r="467" spans="1:7" x14ac:dyDescent="0.25">
      <c r="A467" s="11" t="s">
        <v>2362</v>
      </c>
      <c r="B467" t="s">
        <v>774</v>
      </c>
      <c r="C467" t="s">
        <v>941</v>
      </c>
      <c r="D467">
        <v>5</v>
      </c>
      <c r="E467" t="s">
        <v>2737</v>
      </c>
      <c r="F467" t="s">
        <v>2778</v>
      </c>
      <c r="G467" t="s">
        <v>2779</v>
      </c>
    </row>
    <row r="468" spans="1:7" x14ac:dyDescent="0.25">
      <c r="A468" s="11" t="s">
        <v>2362</v>
      </c>
      <c r="B468" t="s">
        <v>774</v>
      </c>
      <c r="C468" t="s">
        <v>1123</v>
      </c>
      <c r="D468">
        <v>2</v>
      </c>
      <c r="E468" t="s">
        <v>1892</v>
      </c>
      <c r="F468" t="s">
        <v>2776</v>
      </c>
      <c r="G468" t="s">
        <v>2777</v>
      </c>
    </row>
    <row r="469" spans="1:7" x14ac:dyDescent="0.25">
      <c r="A469" s="11" t="s">
        <v>2362</v>
      </c>
      <c r="B469" t="s">
        <v>774</v>
      </c>
      <c r="C469" t="s">
        <v>1042</v>
      </c>
      <c r="D469">
        <v>1</v>
      </c>
      <c r="E469" t="s">
        <v>1901</v>
      </c>
      <c r="F469" t="s">
        <v>2780</v>
      </c>
      <c r="G469" t="s">
        <v>2781</v>
      </c>
    </row>
    <row r="470" spans="1:7" x14ac:dyDescent="0.25">
      <c r="A470" s="11" t="s">
        <v>2362</v>
      </c>
      <c r="B470" t="s">
        <v>575</v>
      </c>
      <c r="C470" t="s">
        <v>1129</v>
      </c>
      <c r="D470">
        <v>60</v>
      </c>
      <c r="E470" t="s">
        <v>1857</v>
      </c>
      <c r="F470" t="s">
        <v>2774</v>
      </c>
      <c r="G470" t="s">
        <v>2775</v>
      </c>
    </row>
    <row r="471" spans="1:7" x14ac:dyDescent="0.25">
      <c r="A471" s="11" t="s">
        <v>2362</v>
      </c>
      <c r="B471" t="s">
        <v>575</v>
      </c>
      <c r="C471" t="s">
        <v>960</v>
      </c>
      <c r="D471">
        <v>14</v>
      </c>
      <c r="E471" t="s">
        <v>1849</v>
      </c>
      <c r="F471" t="s">
        <v>2776</v>
      </c>
      <c r="G471" t="s">
        <v>2777</v>
      </c>
    </row>
    <row r="472" spans="1:7" x14ac:dyDescent="0.25">
      <c r="A472" s="11" t="s">
        <v>2362</v>
      </c>
      <c r="B472" t="s">
        <v>575</v>
      </c>
      <c r="C472" t="s">
        <v>1123</v>
      </c>
      <c r="D472">
        <v>12</v>
      </c>
      <c r="E472" t="s">
        <v>1859</v>
      </c>
      <c r="F472" t="s">
        <v>2776</v>
      </c>
      <c r="G472" t="s">
        <v>2777</v>
      </c>
    </row>
    <row r="473" spans="1:7" x14ac:dyDescent="0.25">
      <c r="A473" s="11" t="s">
        <v>2362</v>
      </c>
      <c r="B473" t="s">
        <v>575</v>
      </c>
      <c r="C473" t="s">
        <v>1828</v>
      </c>
      <c r="D473">
        <v>4</v>
      </c>
      <c r="E473" t="s">
        <v>1861</v>
      </c>
      <c r="F473" t="s">
        <v>2774</v>
      </c>
      <c r="G473" t="s">
        <v>2775</v>
      </c>
    </row>
    <row r="474" spans="1:7" x14ac:dyDescent="0.25">
      <c r="A474" s="11" t="s">
        <v>2362</v>
      </c>
      <c r="B474" t="s">
        <v>575</v>
      </c>
      <c r="C474" t="s">
        <v>1042</v>
      </c>
      <c r="D474">
        <v>4</v>
      </c>
      <c r="E474" t="s">
        <v>1837</v>
      </c>
      <c r="F474" t="s">
        <v>2780</v>
      </c>
      <c r="G474" t="s">
        <v>2781</v>
      </c>
    </row>
    <row r="475" spans="1:7" x14ac:dyDescent="0.25">
      <c r="A475" s="11" t="s">
        <v>2362</v>
      </c>
      <c r="B475" t="s">
        <v>575</v>
      </c>
      <c r="C475" t="s">
        <v>941</v>
      </c>
      <c r="D475">
        <v>3</v>
      </c>
      <c r="E475" t="s">
        <v>2737</v>
      </c>
      <c r="F475" t="s">
        <v>2778</v>
      </c>
      <c r="G475" t="s">
        <v>2779</v>
      </c>
    </row>
    <row r="476" spans="1:7" x14ac:dyDescent="0.25">
      <c r="A476" s="11" t="s">
        <v>2362</v>
      </c>
      <c r="B476" t="s">
        <v>575</v>
      </c>
      <c r="C476" t="s">
        <v>1126</v>
      </c>
      <c r="D476">
        <v>3</v>
      </c>
      <c r="E476" t="s">
        <v>1862</v>
      </c>
      <c r="F476" t="s">
        <v>2776</v>
      </c>
      <c r="G476" t="s">
        <v>2777</v>
      </c>
    </row>
    <row r="477" spans="1:7" x14ac:dyDescent="0.25">
      <c r="A477" s="11" t="s">
        <v>2362</v>
      </c>
      <c r="B477" t="s">
        <v>563</v>
      </c>
      <c r="C477" t="s">
        <v>1129</v>
      </c>
      <c r="D477">
        <v>50</v>
      </c>
      <c r="E477" t="s">
        <v>1840</v>
      </c>
      <c r="F477" t="s">
        <v>2774</v>
      </c>
      <c r="G477" t="s">
        <v>2775</v>
      </c>
    </row>
    <row r="478" spans="1:7" x14ac:dyDescent="0.25">
      <c r="A478" s="11" t="s">
        <v>2362</v>
      </c>
      <c r="B478" t="s">
        <v>563</v>
      </c>
      <c r="C478" t="s">
        <v>1828</v>
      </c>
      <c r="D478">
        <v>36</v>
      </c>
      <c r="E478" t="s">
        <v>1842</v>
      </c>
      <c r="F478" t="s">
        <v>2774</v>
      </c>
      <c r="G478" t="s">
        <v>2775</v>
      </c>
    </row>
    <row r="479" spans="1:7" x14ac:dyDescent="0.25">
      <c r="A479" s="11" t="s">
        <v>2362</v>
      </c>
      <c r="B479" t="s">
        <v>563</v>
      </c>
      <c r="C479" t="s">
        <v>1123</v>
      </c>
      <c r="D479">
        <v>4</v>
      </c>
      <c r="E479" t="s">
        <v>1831</v>
      </c>
      <c r="F479" t="s">
        <v>2776</v>
      </c>
      <c r="G479" t="s">
        <v>2777</v>
      </c>
    </row>
    <row r="480" spans="1:7" x14ac:dyDescent="0.25">
      <c r="A480" s="11" t="s">
        <v>2362</v>
      </c>
      <c r="B480" t="s">
        <v>563</v>
      </c>
      <c r="C480" t="s">
        <v>960</v>
      </c>
      <c r="D480">
        <v>4</v>
      </c>
      <c r="E480" t="s">
        <v>1833</v>
      </c>
      <c r="F480" t="s">
        <v>2776</v>
      </c>
      <c r="G480" t="s">
        <v>2777</v>
      </c>
    </row>
    <row r="481" spans="1:7" x14ac:dyDescent="0.25">
      <c r="A481" s="11" t="s">
        <v>2362</v>
      </c>
      <c r="B481" t="s">
        <v>563</v>
      </c>
      <c r="C481" t="s">
        <v>1126</v>
      </c>
      <c r="D481">
        <v>4</v>
      </c>
      <c r="E481" t="s">
        <v>1835</v>
      </c>
      <c r="F481" t="s">
        <v>2776</v>
      </c>
      <c r="G481" t="s">
        <v>2777</v>
      </c>
    </row>
    <row r="482" spans="1:7" x14ac:dyDescent="0.25">
      <c r="A482" s="11" t="s">
        <v>2362</v>
      </c>
      <c r="B482" t="s">
        <v>563</v>
      </c>
      <c r="C482" t="s">
        <v>1042</v>
      </c>
      <c r="D482">
        <v>2</v>
      </c>
      <c r="E482" t="s">
        <v>1837</v>
      </c>
      <c r="F482" t="s">
        <v>2780</v>
      </c>
      <c r="G482" t="s">
        <v>2781</v>
      </c>
    </row>
    <row r="483" spans="1:7" x14ac:dyDescent="0.25">
      <c r="A483" s="11" t="s">
        <v>2362</v>
      </c>
      <c r="B483" t="s">
        <v>565</v>
      </c>
      <c r="C483" t="s">
        <v>1129</v>
      </c>
      <c r="D483">
        <v>73</v>
      </c>
      <c r="E483" t="s">
        <v>1846</v>
      </c>
      <c r="F483" t="s">
        <v>2774</v>
      </c>
      <c r="G483" t="s">
        <v>2775</v>
      </c>
    </row>
    <row r="484" spans="1:7" x14ac:dyDescent="0.25">
      <c r="A484" s="11" t="s">
        <v>2362</v>
      </c>
      <c r="B484" t="s">
        <v>565</v>
      </c>
      <c r="C484" t="s">
        <v>1828</v>
      </c>
      <c r="D484">
        <v>11</v>
      </c>
      <c r="E484" t="s">
        <v>1847</v>
      </c>
      <c r="F484" t="s">
        <v>2774</v>
      </c>
      <c r="G484" t="s">
        <v>2775</v>
      </c>
    </row>
    <row r="485" spans="1:7" x14ac:dyDescent="0.25">
      <c r="A485" s="11" t="s">
        <v>2362</v>
      </c>
      <c r="B485" t="s">
        <v>565</v>
      </c>
      <c r="C485" t="s">
        <v>960</v>
      </c>
      <c r="D485">
        <v>8</v>
      </c>
      <c r="E485" t="s">
        <v>1849</v>
      </c>
      <c r="F485" t="s">
        <v>2776</v>
      </c>
      <c r="G485" t="s">
        <v>2777</v>
      </c>
    </row>
    <row r="486" spans="1:7" x14ac:dyDescent="0.25">
      <c r="A486" s="11" t="s">
        <v>2362</v>
      </c>
      <c r="B486" t="s">
        <v>565</v>
      </c>
      <c r="C486" t="s">
        <v>1123</v>
      </c>
      <c r="D486">
        <v>3</v>
      </c>
      <c r="E486" t="s">
        <v>1831</v>
      </c>
      <c r="F486" t="s">
        <v>2776</v>
      </c>
      <c r="G486" t="s">
        <v>2777</v>
      </c>
    </row>
    <row r="487" spans="1:7" x14ac:dyDescent="0.25">
      <c r="A487" s="11" t="s">
        <v>2362</v>
      </c>
      <c r="B487" t="s">
        <v>565</v>
      </c>
      <c r="C487" t="s">
        <v>1042</v>
      </c>
      <c r="D487">
        <v>3</v>
      </c>
      <c r="E487" t="s">
        <v>1837</v>
      </c>
      <c r="F487" t="s">
        <v>2780</v>
      </c>
      <c r="G487" t="s">
        <v>2781</v>
      </c>
    </row>
    <row r="488" spans="1:7" x14ac:dyDescent="0.25">
      <c r="A488" s="11" t="s">
        <v>2362</v>
      </c>
      <c r="B488" t="s">
        <v>565</v>
      </c>
      <c r="C488" t="s">
        <v>941</v>
      </c>
      <c r="D488">
        <v>2</v>
      </c>
      <c r="E488" t="s">
        <v>2737</v>
      </c>
      <c r="F488" t="s">
        <v>2778</v>
      </c>
      <c r="G488" t="s">
        <v>2779</v>
      </c>
    </row>
    <row r="489" spans="1:7" x14ac:dyDescent="0.25">
      <c r="A489" s="11" t="s">
        <v>2362</v>
      </c>
      <c r="B489" t="s">
        <v>577</v>
      </c>
      <c r="C489" t="s">
        <v>1129</v>
      </c>
      <c r="D489">
        <v>74</v>
      </c>
      <c r="E489" t="s">
        <v>1850</v>
      </c>
      <c r="F489" t="s">
        <v>2774</v>
      </c>
      <c r="G489" t="s">
        <v>2775</v>
      </c>
    </row>
    <row r="490" spans="1:7" x14ac:dyDescent="0.25">
      <c r="A490" s="11" t="s">
        <v>2362</v>
      </c>
      <c r="B490" t="s">
        <v>577</v>
      </c>
      <c r="C490" t="s">
        <v>1828</v>
      </c>
      <c r="D490">
        <v>12</v>
      </c>
      <c r="E490" t="s">
        <v>1851</v>
      </c>
      <c r="F490" t="s">
        <v>2774</v>
      </c>
      <c r="G490" t="s">
        <v>2775</v>
      </c>
    </row>
    <row r="491" spans="1:7" x14ac:dyDescent="0.25">
      <c r="A491" s="11" t="s">
        <v>2362</v>
      </c>
      <c r="B491" t="s">
        <v>577</v>
      </c>
      <c r="C491" t="s">
        <v>960</v>
      </c>
      <c r="D491">
        <v>6</v>
      </c>
      <c r="E491" t="s">
        <v>1849</v>
      </c>
      <c r="F491" t="s">
        <v>2776</v>
      </c>
      <c r="G491" t="s">
        <v>2777</v>
      </c>
    </row>
    <row r="492" spans="1:7" x14ac:dyDescent="0.25">
      <c r="A492" s="11" t="s">
        <v>2362</v>
      </c>
      <c r="B492" t="s">
        <v>577</v>
      </c>
      <c r="C492" t="s">
        <v>1123</v>
      </c>
      <c r="D492">
        <v>3</v>
      </c>
      <c r="E492" t="s">
        <v>1831</v>
      </c>
      <c r="F492" t="s">
        <v>2776</v>
      </c>
      <c r="G492" t="s">
        <v>2777</v>
      </c>
    </row>
    <row r="493" spans="1:7" x14ac:dyDescent="0.25">
      <c r="A493" s="11" t="s">
        <v>2362</v>
      </c>
      <c r="B493" t="s">
        <v>577</v>
      </c>
      <c r="C493" t="s">
        <v>1042</v>
      </c>
      <c r="D493">
        <v>3</v>
      </c>
      <c r="E493" t="s">
        <v>1837</v>
      </c>
      <c r="F493" t="s">
        <v>2780</v>
      </c>
      <c r="G493" t="s">
        <v>2781</v>
      </c>
    </row>
    <row r="494" spans="1:7" x14ac:dyDescent="0.25">
      <c r="A494" s="11" t="s">
        <v>2362</v>
      </c>
      <c r="B494" t="s">
        <v>577</v>
      </c>
      <c r="C494" t="s">
        <v>941</v>
      </c>
      <c r="D494">
        <v>2</v>
      </c>
      <c r="E494" t="s">
        <v>2737</v>
      </c>
      <c r="F494" t="s">
        <v>2778</v>
      </c>
      <c r="G494" t="s">
        <v>2779</v>
      </c>
    </row>
    <row r="495" spans="1:7" x14ac:dyDescent="0.25">
      <c r="A495" s="11" t="s">
        <v>2362</v>
      </c>
      <c r="B495" t="s">
        <v>573</v>
      </c>
      <c r="C495" t="s">
        <v>1129</v>
      </c>
      <c r="D495">
        <v>76</v>
      </c>
      <c r="E495" t="s">
        <v>1852</v>
      </c>
      <c r="F495" t="s">
        <v>2774</v>
      </c>
      <c r="G495" t="s">
        <v>2775</v>
      </c>
    </row>
    <row r="496" spans="1:7" x14ac:dyDescent="0.25">
      <c r="A496" s="11" t="s">
        <v>2362</v>
      </c>
      <c r="B496" t="s">
        <v>573</v>
      </c>
      <c r="C496" t="s">
        <v>1828</v>
      </c>
      <c r="D496">
        <v>10</v>
      </c>
      <c r="E496" t="s">
        <v>1853</v>
      </c>
      <c r="F496" t="s">
        <v>2774</v>
      </c>
      <c r="G496" t="s">
        <v>2775</v>
      </c>
    </row>
    <row r="497" spans="1:7" x14ac:dyDescent="0.25">
      <c r="A497" s="11" t="s">
        <v>2362</v>
      </c>
      <c r="B497" t="s">
        <v>573</v>
      </c>
      <c r="C497" t="s">
        <v>960</v>
      </c>
      <c r="D497">
        <v>6</v>
      </c>
      <c r="E497" t="s">
        <v>1849</v>
      </c>
      <c r="F497" t="s">
        <v>2776</v>
      </c>
      <c r="G497" t="s">
        <v>2777</v>
      </c>
    </row>
    <row r="498" spans="1:7" x14ac:dyDescent="0.25">
      <c r="A498" s="11" t="s">
        <v>2362</v>
      </c>
      <c r="B498" t="s">
        <v>573</v>
      </c>
      <c r="C498" t="s">
        <v>1123</v>
      </c>
      <c r="D498">
        <v>3</v>
      </c>
      <c r="E498" t="s">
        <v>1831</v>
      </c>
      <c r="F498" t="s">
        <v>2776</v>
      </c>
      <c r="G498" t="s">
        <v>2777</v>
      </c>
    </row>
    <row r="499" spans="1:7" x14ac:dyDescent="0.25">
      <c r="A499" s="11" t="s">
        <v>2362</v>
      </c>
      <c r="B499" t="s">
        <v>573</v>
      </c>
      <c r="C499" t="s">
        <v>1042</v>
      </c>
      <c r="D499">
        <v>3</v>
      </c>
      <c r="E499" t="s">
        <v>1837</v>
      </c>
      <c r="F499" t="s">
        <v>2780</v>
      </c>
      <c r="G499" t="s">
        <v>2781</v>
      </c>
    </row>
    <row r="500" spans="1:7" x14ac:dyDescent="0.25">
      <c r="A500" s="11" t="s">
        <v>2362</v>
      </c>
      <c r="B500" t="s">
        <v>573</v>
      </c>
      <c r="C500" t="s">
        <v>941</v>
      </c>
      <c r="D500">
        <v>2</v>
      </c>
      <c r="E500" t="s">
        <v>2737</v>
      </c>
      <c r="F500" t="s">
        <v>2778</v>
      </c>
      <c r="G500" t="s">
        <v>2779</v>
      </c>
    </row>
    <row r="501" spans="1:7" x14ac:dyDescent="0.25">
      <c r="A501" s="11" t="s">
        <v>2362</v>
      </c>
      <c r="B501" t="s">
        <v>764</v>
      </c>
      <c r="C501" t="s">
        <v>1129</v>
      </c>
      <c r="D501">
        <v>52</v>
      </c>
      <c r="E501" t="s">
        <v>2593</v>
      </c>
      <c r="F501" t="s">
        <v>2774</v>
      </c>
      <c r="G501" t="s">
        <v>2775</v>
      </c>
    </row>
    <row r="502" spans="1:7" x14ac:dyDescent="0.25">
      <c r="A502" s="11" t="s">
        <v>2362</v>
      </c>
      <c r="B502" t="s">
        <v>764</v>
      </c>
      <c r="C502" t="s">
        <v>960</v>
      </c>
      <c r="D502">
        <v>28</v>
      </c>
      <c r="E502" t="s">
        <v>2594</v>
      </c>
      <c r="F502" t="s">
        <v>2776</v>
      </c>
      <c r="G502" t="s">
        <v>2777</v>
      </c>
    </row>
    <row r="503" spans="1:7" x14ac:dyDescent="0.25">
      <c r="A503" s="11" t="s">
        <v>2362</v>
      </c>
      <c r="B503" t="s">
        <v>764</v>
      </c>
      <c r="C503" t="s">
        <v>1042</v>
      </c>
      <c r="D503">
        <v>15</v>
      </c>
      <c r="E503" t="s">
        <v>2595</v>
      </c>
      <c r="F503" t="s">
        <v>2774</v>
      </c>
      <c r="G503" t="s">
        <v>2775</v>
      </c>
    </row>
    <row r="504" spans="1:7" x14ac:dyDescent="0.25">
      <c r="A504" s="11" t="s">
        <v>2362</v>
      </c>
      <c r="B504" t="s">
        <v>764</v>
      </c>
      <c r="C504" t="s">
        <v>1123</v>
      </c>
      <c r="D504">
        <v>5</v>
      </c>
      <c r="E504" t="s">
        <v>2596</v>
      </c>
      <c r="F504" t="s">
        <v>2776</v>
      </c>
      <c r="G504" t="s">
        <v>2777</v>
      </c>
    </row>
    <row r="505" spans="1:7" x14ac:dyDescent="0.25">
      <c r="A505" s="11" t="s">
        <v>2362</v>
      </c>
      <c r="B505" t="s">
        <v>2586</v>
      </c>
      <c r="C505" t="s">
        <v>960</v>
      </c>
      <c r="D505">
        <v>62</v>
      </c>
      <c r="E505" t="s">
        <v>2617</v>
      </c>
      <c r="F505" t="s">
        <v>2780</v>
      </c>
      <c r="G505" t="s">
        <v>2781</v>
      </c>
    </row>
    <row r="506" spans="1:7" x14ac:dyDescent="0.25">
      <c r="A506" s="11" t="s">
        <v>2362</v>
      </c>
      <c r="B506" t="s">
        <v>2586</v>
      </c>
      <c r="C506" t="s">
        <v>954</v>
      </c>
      <c r="D506">
        <v>23</v>
      </c>
      <c r="E506" t="s">
        <v>2616</v>
      </c>
      <c r="F506" t="s">
        <v>2776</v>
      </c>
      <c r="G506" t="s">
        <v>2777</v>
      </c>
    </row>
    <row r="507" spans="1:7" x14ac:dyDescent="0.25">
      <c r="A507" s="11" t="s">
        <v>2362</v>
      </c>
      <c r="B507" t="s">
        <v>2586</v>
      </c>
      <c r="C507" t="s">
        <v>1129</v>
      </c>
      <c r="D507">
        <v>10</v>
      </c>
      <c r="E507" t="s">
        <v>2618</v>
      </c>
      <c r="F507" t="s">
        <v>2776</v>
      </c>
      <c r="G507" t="s">
        <v>2777</v>
      </c>
    </row>
    <row r="508" spans="1:7" x14ac:dyDescent="0.25">
      <c r="A508" s="11" t="s">
        <v>2362</v>
      </c>
      <c r="B508" t="s">
        <v>2586</v>
      </c>
      <c r="C508" t="s">
        <v>1042</v>
      </c>
      <c r="D508">
        <v>5</v>
      </c>
      <c r="E508" t="s">
        <v>2619</v>
      </c>
      <c r="F508" t="s">
        <v>2776</v>
      </c>
      <c r="G508" t="s">
        <v>2777</v>
      </c>
    </row>
    <row r="509" spans="1:7" x14ac:dyDescent="0.25">
      <c r="A509" s="11" t="s">
        <v>2362</v>
      </c>
      <c r="B509" t="s">
        <v>2587</v>
      </c>
      <c r="C509" t="s">
        <v>960</v>
      </c>
      <c r="D509">
        <v>55</v>
      </c>
      <c r="E509" t="s">
        <v>2614</v>
      </c>
      <c r="F509" t="s">
        <v>2780</v>
      </c>
      <c r="G509" t="s">
        <v>2781</v>
      </c>
    </row>
    <row r="510" spans="1:7" x14ac:dyDescent="0.25">
      <c r="A510" s="11" t="s">
        <v>2362</v>
      </c>
      <c r="B510" t="s">
        <v>2587</v>
      </c>
      <c r="C510" t="s">
        <v>1129</v>
      </c>
      <c r="D510">
        <v>20</v>
      </c>
      <c r="E510" t="s">
        <v>2615</v>
      </c>
      <c r="F510" t="s">
        <v>2776</v>
      </c>
      <c r="G510" t="s">
        <v>2777</v>
      </c>
    </row>
    <row r="511" spans="1:7" x14ac:dyDescent="0.25">
      <c r="A511" s="11" t="s">
        <v>2362</v>
      </c>
      <c r="B511" t="s">
        <v>2587</v>
      </c>
      <c r="C511" t="s">
        <v>954</v>
      </c>
      <c r="D511">
        <v>15</v>
      </c>
      <c r="E511" t="s">
        <v>2762</v>
      </c>
      <c r="F511" t="s">
        <v>2776</v>
      </c>
      <c r="G511" t="s">
        <v>2777</v>
      </c>
    </row>
    <row r="512" spans="1:7" x14ac:dyDescent="0.25">
      <c r="A512" s="11" t="s">
        <v>2362</v>
      </c>
      <c r="B512" t="s">
        <v>2587</v>
      </c>
      <c r="C512" t="s">
        <v>1042</v>
      </c>
      <c r="D512">
        <v>10</v>
      </c>
      <c r="E512" t="s">
        <v>2769</v>
      </c>
      <c r="F512" t="s">
        <v>2776</v>
      </c>
      <c r="G512" t="s">
        <v>2777</v>
      </c>
    </row>
    <row r="513" spans="1:7" x14ac:dyDescent="0.25">
      <c r="A513" s="11" t="s">
        <v>2362</v>
      </c>
      <c r="B513" t="s">
        <v>2588</v>
      </c>
      <c r="C513" t="s">
        <v>960</v>
      </c>
      <c r="D513">
        <v>55</v>
      </c>
      <c r="E513" t="s">
        <v>2611</v>
      </c>
      <c r="F513" t="s">
        <v>2780</v>
      </c>
      <c r="G513" t="s">
        <v>2781</v>
      </c>
    </row>
    <row r="514" spans="1:7" x14ac:dyDescent="0.25">
      <c r="A514" s="11" t="s">
        <v>2362</v>
      </c>
      <c r="B514" t="s">
        <v>2588</v>
      </c>
      <c r="C514" t="s">
        <v>954</v>
      </c>
      <c r="D514">
        <v>30</v>
      </c>
      <c r="E514" t="s">
        <v>2612</v>
      </c>
      <c r="F514" t="s">
        <v>2776</v>
      </c>
      <c r="G514" t="s">
        <v>2777</v>
      </c>
    </row>
    <row r="515" spans="1:7" x14ac:dyDescent="0.25">
      <c r="A515" s="11" t="s">
        <v>2362</v>
      </c>
      <c r="B515" t="s">
        <v>2588</v>
      </c>
      <c r="C515" t="s">
        <v>1129</v>
      </c>
      <c r="D515">
        <v>10</v>
      </c>
      <c r="E515" t="s">
        <v>2613</v>
      </c>
      <c r="F515" t="s">
        <v>2776</v>
      </c>
      <c r="G515" t="s">
        <v>2777</v>
      </c>
    </row>
    <row r="516" spans="1:7" x14ac:dyDescent="0.25">
      <c r="A516" s="11" t="s">
        <v>2362</v>
      </c>
      <c r="B516" t="s">
        <v>2588</v>
      </c>
      <c r="C516" t="s">
        <v>903</v>
      </c>
      <c r="D516">
        <v>5</v>
      </c>
      <c r="E516" t="s">
        <v>2763</v>
      </c>
      <c r="F516" t="s">
        <v>2776</v>
      </c>
      <c r="G516" t="s">
        <v>2777</v>
      </c>
    </row>
    <row r="517" spans="1:7" x14ac:dyDescent="0.25">
      <c r="A517" s="11" t="s">
        <v>2362</v>
      </c>
      <c r="B517" t="s">
        <v>549</v>
      </c>
      <c r="C517" t="s">
        <v>960</v>
      </c>
      <c r="D517">
        <v>58</v>
      </c>
      <c r="E517" t="s">
        <v>2764</v>
      </c>
      <c r="F517" t="s">
        <v>2780</v>
      </c>
      <c r="G517" t="s">
        <v>2781</v>
      </c>
    </row>
    <row r="518" spans="1:7" x14ac:dyDescent="0.25">
      <c r="A518" s="11" t="s">
        <v>2362</v>
      </c>
      <c r="B518" t="s">
        <v>549</v>
      </c>
      <c r="C518" t="s">
        <v>954</v>
      </c>
      <c r="D518">
        <v>27</v>
      </c>
      <c r="E518" t="s">
        <v>2609</v>
      </c>
      <c r="F518" t="s">
        <v>2776</v>
      </c>
      <c r="G518" t="s">
        <v>2777</v>
      </c>
    </row>
    <row r="519" spans="1:7" x14ac:dyDescent="0.25">
      <c r="A519" s="11" t="s">
        <v>2362</v>
      </c>
      <c r="B519" t="s">
        <v>549</v>
      </c>
      <c r="C519" t="s">
        <v>903</v>
      </c>
      <c r="D519">
        <v>10</v>
      </c>
      <c r="E519" t="s">
        <v>2765</v>
      </c>
      <c r="F519" t="s">
        <v>2776</v>
      </c>
      <c r="G519" t="s">
        <v>2777</v>
      </c>
    </row>
    <row r="520" spans="1:7" x14ac:dyDescent="0.25">
      <c r="A520" s="11" t="s">
        <v>2362</v>
      </c>
      <c r="B520" t="s">
        <v>549</v>
      </c>
      <c r="C520" t="s">
        <v>1129</v>
      </c>
      <c r="D520">
        <v>5</v>
      </c>
      <c r="E520" t="s">
        <v>2610</v>
      </c>
      <c r="F520" t="s">
        <v>2776</v>
      </c>
      <c r="G520" t="s">
        <v>2777</v>
      </c>
    </row>
    <row r="521" spans="1:7" x14ac:dyDescent="0.25">
      <c r="A521" s="11" t="s">
        <v>2362</v>
      </c>
      <c r="B521" s="15" t="s">
        <v>2620</v>
      </c>
      <c r="C521" s="13" t="s">
        <v>960</v>
      </c>
      <c r="D521" s="13">
        <v>72</v>
      </c>
      <c r="E521" s="15" t="s">
        <v>2668</v>
      </c>
      <c r="F521" t="s">
        <v>2778</v>
      </c>
      <c r="G521" t="s">
        <v>2779</v>
      </c>
    </row>
    <row r="522" spans="1:7" x14ac:dyDescent="0.25">
      <c r="A522" s="11" t="s">
        <v>2362</v>
      </c>
      <c r="B522" s="15" t="s">
        <v>2620</v>
      </c>
      <c r="C522" s="13" t="s">
        <v>954</v>
      </c>
      <c r="D522" s="13">
        <v>18</v>
      </c>
      <c r="E522" s="15" t="s">
        <v>2621</v>
      </c>
      <c r="F522" t="s">
        <v>2778</v>
      </c>
      <c r="G522" t="s">
        <v>2779</v>
      </c>
    </row>
    <row r="523" spans="1:7" x14ac:dyDescent="0.25">
      <c r="A523" s="11" t="s">
        <v>2362</v>
      </c>
      <c r="B523" s="15" t="s">
        <v>2620</v>
      </c>
      <c r="C523" s="13" t="s">
        <v>1129</v>
      </c>
      <c r="D523" s="13">
        <v>10</v>
      </c>
      <c r="E523" s="15" t="s">
        <v>2622</v>
      </c>
      <c r="F523" t="s">
        <v>2778</v>
      </c>
      <c r="G523" t="s">
        <v>2779</v>
      </c>
    </row>
    <row r="524" spans="1:7" x14ac:dyDescent="0.25">
      <c r="A524" s="11" t="s">
        <v>2362</v>
      </c>
      <c r="B524" s="15" t="s">
        <v>551</v>
      </c>
      <c r="C524" s="13" t="s">
        <v>960</v>
      </c>
      <c r="D524" s="13">
        <v>68</v>
      </c>
      <c r="E524" s="15" t="s">
        <v>2669</v>
      </c>
      <c r="F524" t="s">
        <v>2778</v>
      </c>
      <c r="G524" t="s">
        <v>2779</v>
      </c>
    </row>
    <row r="525" spans="1:7" x14ac:dyDescent="0.25">
      <c r="A525" s="11" t="s">
        <v>2362</v>
      </c>
      <c r="B525" s="15" t="s">
        <v>551</v>
      </c>
      <c r="C525" s="13" t="s">
        <v>954</v>
      </c>
      <c r="D525" s="13">
        <v>20</v>
      </c>
      <c r="E525" s="15" t="s">
        <v>2621</v>
      </c>
      <c r="F525" t="s">
        <v>2778</v>
      </c>
      <c r="G525" t="s">
        <v>2779</v>
      </c>
    </row>
    <row r="526" spans="1:7" x14ac:dyDescent="0.25">
      <c r="A526" s="11" t="s">
        <v>2362</v>
      </c>
      <c r="B526" s="15" t="s">
        <v>551</v>
      </c>
      <c r="C526" s="13" t="s">
        <v>1129</v>
      </c>
      <c r="D526" s="13">
        <v>12</v>
      </c>
      <c r="E526" s="15" t="s">
        <v>2622</v>
      </c>
      <c r="F526" t="s">
        <v>2778</v>
      </c>
      <c r="G526" t="s">
        <v>2779</v>
      </c>
    </row>
    <row r="527" spans="1:7" x14ac:dyDescent="0.25">
      <c r="A527" s="11" t="s">
        <v>2362</v>
      </c>
      <c r="B527" s="15" t="s">
        <v>553</v>
      </c>
      <c r="C527" s="13" t="s">
        <v>1129</v>
      </c>
      <c r="D527" s="13">
        <v>48</v>
      </c>
      <c r="E527" s="15" t="s">
        <v>2623</v>
      </c>
      <c r="F527" t="s">
        <v>2778</v>
      </c>
      <c r="G527" t="s">
        <v>2779</v>
      </c>
    </row>
    <row r="528" spans="1:7" x14ac:dyDescent="0.25">
      <c r="A528" s="11" t="s">
        <v>2362</v>
      </c>
      <c r="B528" s="15" t="s">
        <v>553</v>
      </c>
      <c r="C528" s="13" t="s">
        <v>960</v>
      </c>
      <c r="D528" s="13">
        <v>22</v>
      </c>
      <c r="E528" s="15" t="s">
        <v>2670</v>
      </c>
      <c r="F528" t="s">
        <v>2778</v>
      </c>
      <c r="G528" t="s">
        <v>2779</v>
      </c>
    </row>
    <row r="529" spans="1:7" ht="30" x14ac:dyDescent="0.25">
      <c r="A529" s="11" t="s">
        <v>2362</v>
      </c>
      <c r="B529" s="15" t="s">
        <v>553</v>
      </c>
      <c r="C529" s="13" t="s">
        <v>1828</v>
      </c>
      <c r="D529" s="13">
        <v>18</v>
      </c>
      <c r="E529" s="15" t="s">
        <v>2624</v>
      </c>
      <c r="F529" t="s">
        <v>2778</v>
      </c>
      <c r="G529" t="s">
        <v>2779</v>
      </c>
    </row>
    <row r="530" spans="1:7" x14ac:dyDescent="0.25">
      <c r="A530" s="11" t="s">
        <v>2362</v>
      </c>
      <c r="B530" s="15" t="s">
        <v>553</v>
      </c>
      <c r="C530" s="13" t="s">
        <v>954</v>
      </c>
      <c r="D530" s="13">
        <v>12</v>
      </c>
      <c r="E530" s="15" t="s">
        <v>2625</v>
      </c>
      <c r="F530" t="s">
        <v>2778</v>
      </c>
      <c r="G530" t="s">
        <v>2779</v>
      </c>
    </row>
    <row r="531" spans="1:7" x14ac:dyDescent="0.25">
      <c r="A531" s="11" t="s">
        <v>2362</v>
      </c>
      <c r="B531" s="15" t="s">
        <v>2629</v>
      </c>
      <c r="C531" s="13" t="s">
        <v>960</v>
      </c>
      <c r="D531" s="13">
        <v>75</v>
      </c>
      <c r="E531" s="15" t="s">
        <v>2671</v>
      </c>
      <c r="F531" t="s">
        <v>2778</v>
      </c>
      <c r="G531" t="s">
        <v>2779</v>
      </c>
    </row>
    <row r="532" spans="1:7" x14ac:dyDescent="0.25">
      <c r="A532" s="11" t="s">
        <v>2362</v>
      </c>
      <c r="B532" s="15" t="s">
        <v>2629</v>
      </c>
      <c r="C532" s="13" t="s">
        <v>954</v>
      </c>
      <c r="D532" s="13">
        <v>15</v>
      </c>
      <c r="E532" s="15" t="s">
        <v>2621</v>
      </c>
      <c r="F532" t="s">
        <v>2778</v>
      </c>
      <c r="G532" t="s">
        <v>2779</v>
      </c>
    </row>
    <row r="533" spans="1:7" x14ac:dyDescent="0.25">
      <c r="A533" s="11" t="s">
        <v>2362</v>
      </c>
      <c r="B533" s="15" t="s">
        <v>2629</v>
      </c>
      <c r="C533" s="13" t="s">
        <v>1129</v>
      </c>
      <c r="D533" s="13">
        <v>10</v>
      </c>
      <c r="E533" s="15" t="s">
        <v>2622</v>
      </c>
      <c r="F533" t="s">
        <v>2778</v>
      </c>
      <c r="G533" t="s">
        <v>2779</v>
      </c>
    </row>
    <row r="534" spans="1:7" ht="30" x14ac:dyDescent="0.25">
      <c r="A534" s="11" t="s">
        <v>2362</v>
      </c>
      <c r="B534" s="15" t="s">
        <v>2667</v>
      </c>
      <c r="C534" s="13" t="s">
        <v>960</v>
      </c>
      <c r="D534" s="13">
        <v>74</v>
      </c>
      <c r="E534" s="15" t="s">
        <v>2668</v>
      </c>
      <c r="F534" t="s">
        <v>2778</v>
      </c>
      <c r="G534" t="s">
        <v>2779</v>
      </c>
    </row>
    <row r="535" spans="1:7" ht="30" x14ac:dyDescent="0.25">
      <c r="A535" s="11" t="s">
        <v>2362</v>
      </c>
      <c r="B535" s="15" t="s">
        <v>2667</v>
      </c>
      <c r="C535" s="13" t="s">
        <v>954</v>
      </c>
      <c r="D535" s="13">
        <v>15</v>
      </c>
      <c r="E535" s="15" t="s">
        <v>2621</v>
      </c>
      <c r="F535" t="s">
        <v>2778</v>
      </c>
      <c r="G535" t="s">
        <v>2779</v>
      </c>
    </row>
    <row r="536" spans="1:7" ht="30" x14ac:dyDescent="0.25">
      <c r="A536" s="11" t="s">
        <v>2362</v>
      </c>
      <c r="B536" s="15" t="s">
        <v>2667</v>
      </c>
      <c r="C536" s="13" t="s">
        <v>1129</v>
      </c>
      <c r="D536" s="13">
        <v>11</v>
      </c>
      <c r="E536" s="15" t="s">
        <v>2622</v>
      </c>
      <c r="F536" t="s">
        <v>2778</v>
      </c>
      <c r="G536" t="s">
        <v>2779</v>
      </c>
    </row>
    <row r="537" spans="1:7" x14ac:dyDescent="0.25">
      <c r="A537" s="11" t="s">
        <v>2362</v>
      </c>
      <c r="B537" s="15" t="s">
        <v>2664</v>
      </c>
      <c r="C537" s="13" t="s">
        <v>960</v>
      </c>
      <c r="D537" s="13">
        <v>72</v>
      </c>
      <c r="E537" s="15" t="s">
        <v>2673</v>
      </c>
      <c r="F537" t="s">
        <v>2778</v>
      </c>
      <c r="G537" t="s">
        <v>2779</v>
      </c>
    </row>
    <row r="538" spans="1:7" x14ac:dyDescent="0.25">
      <c r="A538" s="11" t="s">
        <v>2362</v>
      </c>
      <c r="B538" s="15" t="s">
        <v>2664</v>
      </c>
      <c r="C538" s="13" t="s">
        <v>954</v>
      </c>
      <c r="D538" s="13">
        <v>18</v>
      </c>
      <c r="E538" s="15" t="s">
        <v>2621</v>
      </c>
      <c r="F538" t="s">
        <v>2778</v>
      </c>
      <c r="G538" t="s">
        <v>2779</v>
      </c>
    </row>
    <row r="539" spans="1:7" x14ac:dyDescent="0.25">
      <c r="A539" s="11" t="s">
        <v>2362</v>
      </c>
      <c r="B539" s="15" t="s">
        <v>2664</v>
      </c>
      <c r="C539" s="13" t="s">
        <v>1129</v>
      </c>
      <c r="D539" s="13">
        <v>10</v>
      </c>
      <c r="E539" s="15" t="s">
        <v>2622</v>
      </c>
      <c r="F539" t="s">
        <v>2778</v>
      </c>
      <c r="G539" t="s">
        <v>2779</v>
      </c>
    </row>
    <row r="540" spans="1:7" x14ac:dyDescent="0.25">
      <c r="A540" s="7" t="s">
        <v>2363</v>
      </c>
      <c r="B540" t="s">
        <v>593</v>
      </c>
      <c r="C540" t="s">
        <v>1123</v>
      </c>
      <c r="D540">
        <v>64</v>
      </c>
      <c r="E540" t="s">
        <v>1919</v>
      </c>
      <c r="F540" t="s">
        <v>2774</v>
      </c>
      <c r="G540" t="s">
        <v>2775</v>
      </c>
    </row>
    <row r="541" spans="1:7" x14ac:dyDescent="0.25">
      <c r="A541" s="7" t="s">
        <v>2363</v>
      </c>
      <c r="B541" t="s">
        <v>593</v>
      </c>
      <c r="C541" t="s">
        <v>1126</v>
      </c>
      <c r="D541">
        <v>12</v>
      </c>
      <c r="E541" t="s">
        <v>1920</v>
      </c>
      <c r="F541" t="s">
        <v>2774</v>
      </c>
      <c r="G541" t="s">
        <v>2775</v>
      </c>
    </row>
    <row r="542" spans="1:7" x14ac:dyDescent="0.25">
      <c r="A542" s="7" t="s">
        <v>2363</v>
      </c>
      <c r="B542" t="s">
        <v>593</v>
      </c>
      <c r="C542" t="s">
        <v>960</v>
      </c>
      <c r="D542">
        <v>12</v>
      </c>
      <c r="E542" t="s">
        <v>1922</v>
      </c>
      <c r="F542" t="s">
        <v>2776</v>
      </c>
      <c r="G542" t="s">
        <v>2777</v>
      </c>
    </row>
    <row r="543" spans="1:7" x14ac:dyDescent="0.25">
      <c r="A543" s="7" t="s">
        <v>2363</v>
      </c>
      <c r="B543" t="s">
        <v>593</v>
      </c>
      <c r="C543" t="s">
        <v>1142</v>
      </c>
      <c r="D543">
        <v>4</v>
      </c>
      <c r="E543" t="s">
        <v>1592</v>
      </c>
      <c r="F543" t="s">
        <v>2776</v>
      </c>
      <c r="G543" t="s">
        <v>2777</v>
      </c>
    </row>
    <row r="544" spans="1:7" x14ac:dyDescent="0.25">
      <c r="A544" s="7" t="s">
        <v>2363</v>
      </c>
      <c r="B544" t="s">
        <v>593</v>
      </c>
      <c r="C544" t="s">
        <v>1129</v>
      </c>
      <c r="D544">
        <v>3</v>
      </c>
      <c r="E544" t="s">
        <v>1924</v>
      </c>
      <c r="F544" t="s">
        <v>2776</v>
      </c>
      <c r="G544" t="s">
        <v>2777</v>
      </c>
    </row>
    <row r="545" spans="1:7" x14ac:dyDescent="0.25">
      <c r="A545" s="7" t="s">
        <v>2363</v>
      </c>
      <c r="B545" t="s">
        <v>593</v>
      </c>
      <c r="C545" t="s">
        <v>1042</v>
      </c>
      <c r="D545">
        <v>3</v>
      </c>
      <c r="E545" t="s">
        <v>1837</v>
      </c>
      <c r="F545" t="s">
        <v>2780</v>
      </c>
      <c r="G545" t="s">
        <v>2781</v>
      </c>
    </row>
    <row r="546" spans="1:7" x14ac:dyDescent="0.25">
      <c r="A546" s="7" t="s">
        <v>2363</v>
      </c>
      <c r="B546" t="s">
        <v>593</v>
      </c>
      <c r="C546" t="s">
        <v>941</v>
      </c>
      <c r="D546">
        <v>2</v>
      </c>
      <c r="E546" t="s">
        <v>2737</v>
      </c>
      <c r="F546" t="s">
        <v>2778</v>
      </c>
      <c r="G546" t="s">
        <v>2779</v>
      </c>
    </row>
    <row r="547" spans="1:7" x14ac:dyDescent="0.25">
      <c r="A547" s="7" t="s">
        <v>2363</v>
      </c>
      <c r="B547" t="s">
        <v>591</v>
      </c>
      <c r="C547" t="s">
        <v>1936</v>
      </c>
      <c r="D547">
        <v>70</v>
      </c>
      <c r="E547" t="s">
        <v>1945</v>
      </c>
      <c r="F547" t="s">
        <v>2774</v>
      </c>
      <c r="G547" t="s">
        <v>2775</v>
      </c>
    </row>
    <row r="548" spans="1:7" x14ac:dyDescent="0.25">
      <c r="A548" s="7" t="s">
        <v>2363</v>
      </c>
      <c r="B548" t="s">
        <v>591</v>
      </c>
      <c r="C548" t="s">
        <v>1126</v>
      </c>
      <c r="D548">
        <v>18</v>
      </c>
      <c r="E548" t="s">
        <v>1946</v>
      </c>
      <c r="F548" t="s">
        <v>2776</v>
      </c>
      <c r="G548" t="s">
        <v>2777</v>
      </c>
    </row>
    <row r="549" spans="1:7" x14ac:dyDescent="0.25">
      <c r="A549" s="7" t="s">
        <v>2363</v>
      </c>
      <c r="B549" t="s">
        <v>591</v>
      </c>
      <c r="C549" t="s">
        <v>1828</v>
      </c>
      <c r="D549">
        <v>4</v>
      </c>
      <c r="E549" t="s">
        <v>1948</v>
      </c>
      <c r="F549" t="s">
        <v>2776</v>
      </c>
      <c r="G549" t="s">
        <v>2777</v>
      </c>
    </row>
    <row r="550" spans="1:7" x14ac:dyDescent="0.25">
      <c r="A550" s="7" t="s">
        <v>2363</v>
      </c>
      <c r="B550" t="s">
        <v>591</v>
      </c>
      <c r="C550" t="s">
        <v>1123</v>
      </c>
      <c r="D550">
        <v>3</v>
      </c>
      <c r="E550" t="s">
        <v>1949</v>
      </c>
      <c r="F550" t="s">
        <v>2776</v>
      </c>
      <c r="G550" t="s">
        <v>2777</v>
      </c>
    </row>
    <row r="551" spans="1:7" x14ac:dyDescent="0.25">
      <c r="A551" s="7" t="s">
        <v>2363</v>
      </c>
      <c r="B551" t="s">
        <v>591</v>
      </c>
      <c r="C551" t="s">
        <v>1042</v>
      </c>
      <c r="D551">
        <v>3</v>
      </c>
      <c r="E551" t="s">
        <v>1837</v>
      </c>
      <c r="F551" t="s">
        <v>2780</v>
      </c>
      <c r="G551" t="s">
        <v>2781</v>
      </c>
    </row>
    <row r="552" spans="1:7" x14ac:dyDescent="0.25">
      <c r="A552" s="7" t="s">
        <v>2363</v>
      </c>
      <c r="B552" t="s">
        <v>591</v>
      </c>
      <c r="C552" t="s">
        <v>941</v>
      </c>
      <c r="D552">
        <v>2</v>
      </c>
      <c r="E552" t="s">
        <v>2737</v>
      </c>
      <c r="F552" t="s">
        <v>2778</v>
      </c>
      <c r="G552" t="s">
        <v>2779</v>
      </c>
    </row>
    <row r="553" spans="1:7" x14ac:dyDescent="0.25">
      <c r="A553" s="7" t="s">
        <v>2363</v>
      </c>
      <c r="B553" t="s">
        <v>585</v>
      </c>
      <c r="C553" t="s">
        <v>1936</v>
      </c>
      <c r="D553">
        <v>84</v>
      </c>
      <c r="E553" t="s">
        <v>1950</v>
      </c>
      <c r="F553" t="s">
        <v>2774</v>
      </c>
      <c r="G553" t="s">
        <v>2775</v>
      </c>
    </row>
    <row r="554" spans="1:7" x14ac:dyDescent="0.25">
      <c r="A554" s="7" t="s">
        <v>2363</v>
      </c>
      <c r="B554" t="s">
        <v>585</v>
      </c>
      <c r="C554" t="s">
        <v>1123</v>
      </c>
      <c r="D554">
        <v>3</v>
      </c>
      <c r="E554" t="s">
        <v>1831</v>
      </c>
      <c r="F554" t="s">
        <v>2776</v>
      </c>
      <c r="G554" t="s">
        <v>2777</v>
      </c>
    </row>
    <row r="555" spans="1:7" x14ac:dyDescent="0.25">
      <c r="A555" s="7" t="s">
        <v>2363</v>
      </c>
      <c r="B555" t="s">
        <v>585</v>
      </c>
      <c r="C555" t="s">
        <v>1126</v>
      </c>
      <c r="D555">
        <v>4</v>
      </c>
      <c r="E555" t="s">
        <v>1951</v>
      </c>
      <c r="F555" t="s">
        <v>2776</v>
      </c>
      <c r="G555" t="s">
        <v>2777</v>
      </c>
    </row>
    <row r="556" spans="1:7" x14ac:dyDescent="0.25">
      <c r="A556" s="7" t="s">
        <v>2363</v>
      </c>
      <c r="B556" t="s">
        <v>585</v>
      </c>
      <c r="C556" t="s">
        <v>1042</v>
      </c>
      <c r="D556">
        <v>4</v>
      </c>
      <c r="E556" t="s">
        <v>1837</v>
      </c>
      <c r="F556" t="s">
        <v>2780</v>
      </c>
      <c r="G556" t="s">
        <v>2781</v>
      </c>
    </row>
    <row r="557" spans="1:7" x14ac:dyDescent="0.25">
      <c r="A557" s="7" t="s">
        <v>2363</v>
      </c>
      <c r="B557" t="s">
        <v>585</v>
      </c>
      <c r="C557" t="s">
        <v>1142</v>
      </c>
      <c r="D557">
        <v>3</v>
      </c>
      <c r="E557" t="s">
        <v>1592</v>
      </c>
      <c r="F557" t="s">
        <v>2776</v>
      </c>
      <c r="G557" t="s">
        <v>2777</v>
      </c>
    </row>
    <row r="558" spans="1:7" x14ac:dyDescent="0.25">
      <c r="A558" s="7" t="s">
        <v>2363</v>
      </c>
      <c r="B558" t="s">
        <v>585</v>
      </c>
      <c r="C558" t="s">
        <v>941</v>
      </c>
      <c r="D558">
        <v>2</v>
      </c>
      <c r="E558" t="s">
        <v>2737</v>
      </c>
      <c r="F558" t="s">
        <v>2778</v>
      </c>
      <c r="G558" t="s">
        <v>2779</v>
      </c>
    </row>
    <row r="559" spans="1:7" x14ac:dyDescent="0.25">
      <c r="A559" s="7" t="s">
        <v>2363</v>
      </c>
      <c r="B559" t="s">
        <v>601</v>
      </c>
      <c r="C559" t="s">
        <v>1936</v>
      </c>
      <c r="D559">
        <v>86</v>
      </c>
      <c r="E559" t="s">
        <v>1953</v>
      </c>
      <c r="F559" t="s">
        <v>2774</v>
      </c>
      <c r="G559" t="s">
        <v>2775</v>
      </c>
    </row>
    <row r="560" spans="1:7" x14ac:dyDescent="0.25">
      <c r="A560" s="7" t="s">
        <v>2363</v>
      </c>
      <c r="B560" t="s">
        <v>601</v>
      </c>
      <c r="C560" t="s">
        <v>1142</v>
      </c>
      <c r="D560">
        <v>4</v>
      </c>
      <c r="E560" t="s">
        <v>1592</v>
      </c>
      <c r="F560" t="s">
        <v>2776</v>
      </c>
      <c r="G560" t="s">
        <v>2777</v>
      </c>
    </row>
    <row r="561" spans="1:7" x14ac:dyDescent="0.25">
      <c r="A561" s="7" t="s">
        <v>2363</v>
      </c>
      <c r="B561" t="s">
        <v>601</v>
      </c>
      <c r="C561" t="s">
        <v>1123</v>
      </c>
      <c r="D561">
        <v>3</v>
      </c>
      <c r="E561" t="s">
        <v>1831</v>
      </c>
      <c r="F561" t="s">
        <v>2776</v>
      </c>
      <c r="G561" t="s">
        <v>2777</v>
      </c>
    </row>
    <row r="562" spans="1:7" x14ac:dyDescent="0.25">
      <c r="A562" s="7" t="s">
        <v>2363</v>
      </c>
      <c r="B562" t="s">
        <v>601</v>
      </c>
      <c r="C562" t="s">
        <v>1042</v>
      </c>
      <c r="D562">
        <v>3</v>
      </c>
      <c r="E562" t="s">
        <v>1837</v>
      </c>
      <c r="F562" t="s">
        <v>2780</v>
      </c>
      <c r="G562" t="s">
        <v>2781</v>
      </c>
    </row>
    <row r="563" spans="1:7" x14ac:dyDescent="0.25">
      <c r="A563" s="7" t="s">
        <v>2363</v>
      </c>
      <c r="B563" t="s">
        <v>601</v>
      </c>
      <c r="C563" t="s">
        <v>941</v>
      </c>
      <c r="D563">
        <v>2</v>
      </c>
      <c r="E563" t="s">
        <v>2737</v>
      </c>
      <c r="F563" t="s">
        <v>2778</v>
      </c>
      <c r="G563" t="s">
        <v>2779</v>
      </c>
    </row>
    <row r="564" spans="1:7" x14ac:dyDescent="0.25">
      <c r="A564" s="7" t="s">
        <v>2363</v>
      </c>
      <c r="B564" t="s">
        <v>601</v>
      </c>
      <c r="C564" t="s">
        <v>1126</v>
      </c>
      <c r="D564">
        <v>2</v>
      </c>
      <c r="E564" t="s">
        <v>1951</v>
      </c>
      <c r="F564" t="s">
        <v>2776</v>
      </c>
      <c r="G564" t="s">
        <v>2777</v>
      </c>
    </row>
    <row r="565" spans="1:7" x14ac:dyDescent="0.25">
      <c r="A565" s="7" t="s">
        <v>2363</v>
      </c>
      <c r="B565" t="s">
        <v>589</v>
      </c>
      <c r="C565" t="s">
        <v>1142</v>
      </c>
      <c r="D565">
        <v>46</v>
      </c>
      <c r="E565" t="s">
        <v>1592</v>
      </c>
      <c r="F565" t="s">
        <v>2774</v>
      </c>
      <c r="G565" t="s">
        <v>2775</v>
      </c>
    </row>
    <row r="566" spans="1:7" x14ac:dyDescent="0.25">
      <c r="A566" s="7" t="s">
        <v>2363</v>
      </c>
      <c r="B566" t="s">
        <v>589</v>
      </c>
      <c r="C566" t="s">
        <v>1591</v>
      </c>
      <c r="D566">
        <v>22</v>
      </c>
      <c r="E566" t="s">
        <v>1592</v>
      </c>
      <c r="F566" t="s">
        <v>2774</v>
      </c>
      <c r="G566" t="s">
        <v>2775</v>
      </c>
    </row>
    <row r="567" spans="1:7" x14ac:dyDescent="0.25">
      <c r="A567" s="7" t="s">
        <v>2363</v>
      </c>
      <c r="B567" t="s">
        <v>589</v>
      </c>
      <c r="C567" t="s">
        <v>1936</v>
      </c>
      <c r="D567">
        <v>10</v>
      </c>
      <c r="E567" t="s">
        <v>1963</v>
      </c>
      <c r="F567" t="s">
        <v>2776</v>
      </c>
      <c r="G567" t="s">
        <v>2777</v>
      </c>
    </row>
    <row r="568" spans="1:7" x14ac:dyDescent="0.25">
      <c r="A568" s="7" t="s">
        <v>2363</v>
      </c>
      <c r="B568" t="s">
        <v>589</v>
      </c>
      <c r="C568" t="s">
        <v>1123</v>
      </c>
      <c r="D568">
        <v>8</v>
      </c>
      <c r="E568" t="s">
        <v>1124</v>
      </c>
      <c r="F568" t="s">
        <v>2776</v>
      </c>
      <c r="G568" t="s">
        <v>2777</v>
      </c>
    </row>
    <row r="569" spans="1:7" x14ac:dyDescent="0.25">
      <c r="A569" s="7" t="s">
        <v>2363</v>
      </c>
      <c r="B569" t="s">
        <v>589</v>
      </c>
      <c r="C569" t="s">
        <v>1126</v>
      </c>
      <c r="D569">
        <v>4</v>
      </c>
      <c r="E569" t="s">
        <v>1964</v>
      </c>
      <c r="F569" t="s">
        <v>2776</v>
      </c>
      <c r="G569" t="s">
        <v>2777</v>
      </c>
    </row>
    <row r="570" spans="1:7" x14ac:dyDescent="0.25">
      <c r="A570" s="7" t="s">
        <v>2363</v>
      </c>
      <c r="B570" t="s">
        <v>589</v>
      </c>
      <c r="C570" t="s">
        <v>941</v>
      </c>
      <c r="D570">
        <v>3</v>
      </c>
      <c r="E570" t="s">
        <v>2737</v>
      </c>
      <c r="F570" t="s">
        <v>2778</v>
      </c>
      <c r="G570" t="s">
        <v>2779</v>
      </c>
    </row>
    <row r="571" spans="1:7" x14ac:dyDescent="0.25">
      <c r="A571" s="7" t="s">
        <v>2363</v>
      </c>
      <c r="B571" t="s">
        <v>589</v>
      </c>
      <c r="C571" t="s">
        <v>1042</v>
      </c>
      <c r="D571">
        <v>3</v>
      </c>
      <c r="E571" t="s">
        <v>1965</v>
      </c>
      <c r="F571" t="s">
        <v>2780</v>
      </c>
      <c r="G571" t="s">
        <v>2781</v>
      </c>
    </row>
    <row r="572" spans="1:7" x14ac:dyDescent="0.25">
      <c r="A572" s="7" t="s">
        <v>2363</v>
      </c>
      <c r="B572" t="s">
        <v>589</v>
      </c>
      <c r="C572" t="s">
        <v>960</v>
      </c>
      <c r="D572">
        <v>2</v>
      </c>
      <c r="E572" t="s">
        <v>1967</v>
      </c>
      <c r="F572" t="s">
        <v>2776</v>
      </c>
      <c r="G572" t="s">
        <v>2777</v>
      </c>
    </row>
    <row r="573" spans="1:7" x14ac:dyDescent="0.25">
      <c r="A573" s="7" t="s">
        <v>2363</v>
      </c>
      <c r="B573" t="s">
        <v>589</v>
      </c>
      <c r="C573" t="s">
        <v>1129</v>
      </c>
      <c r="D573">
        <v>2</v>
      </c>
      <c r="E573" t="s">
        <v>1968</v>
      </c>
      <c r="F573" t="s">
        <v>2776</v>
      </c>
      <c r="G573" t="s">
        <v>2777</v>
      </c>
    </row>
    <row r="574" spans="1:7" x14ac:dyDescent="0.25">
      <c r="A574" s="7" t="s">
        <v>2363</v>
      </c>
      <c r="B574" t="s">
        <v>603</v>
      </c>
      <c r="C574" t="s">
        <v>1123</v>
      </c>
      <c r="D574">
        <v>66</v>
      </c>
      <c r="E574" t="s">
        <v>1925</v>
      </c>
      <c r="F574" t="s">
        <v>2774</v>
      </c>
      <c r="G574" t="s">
        <v>2775</v>
      </c>
    </row>
    <row r="575" spans="1:7" x14ac:dyDescent="0.25">
      <c r="A575" s="7" t="s">
        <v>2363</v>
      </c>
      <c r="B575" t="s">
        <v>603</v>
      </c>
      <c r="C575" t="s">
        <v>1126</v>
      </c>
      <c r="D575">
        <v>10</v>
      </c>
      <c r="E575" t="s">
        <v>1916</v>
      </c>
      <c r="F575" t="s">
        <v>2774</v>
      </c>
      <c r="G575" t="s">
        <v>2775</v>
      </c>
    </row>
    <row r="576" spans="1:7" x14ac:dyDescent="0.25">
      <c r="A576" s="7" t="s">
        <v>2363</v>
      </c>
      <c r="B576" t="s">
        <v>603</v>
      </c>
      <c r="C576" t="s">
        <v>960</v>
      </c>
      <c r="D576">
        <v>12</v>
      </c>
      <c r="E576" t="s">
        <v>1927</v>
      </c>
      <c r="F576" t="s">
        <v>2776</v>
      </c>
      <c r="G576" t="s">
        <v>2777</v>
      </c>
    </row>
    <row r="577" spans="1:7" x14ac:dyDescent="0.25">
      <c r="A577" s="7" t="s">
        <v>2363</v>
      </c>
      <c r="B577" t="s">
        <v>603</v>
      </c>
      <c r="C577" t="s">
        <v>1142</v>
      </c>
      <c r="D577">
        <v>5</v>
      </c>
      <c r="E577" t="s">
        <v>1592</v>
      </c>
      <c r="F577" t="s">
        <v>2776</v>
      </c>
      <c r="G577" t="s">
        <v>2777</v>
      </c>
    </row>
    <row r="578" spans="1:7" x14ac:dyDescent="0.25">
      <c r="A578" s="7" t="s">
        <v>2363</v>
      </c>
      <c r="B578" t="s">
        <v>603</v>
      </c>
      <c r="C578" t="s">
        <v>1129</v>
      </c>
      <c r="D578">
        <v>2</v>
      </c>
      <c r="E578" t="s">
        <v>1924</v>
      </c>
      <c r="F578" t="s">
        <v>2776</v>
      </c>
      <c r="G578" t="s">
        <v>2777</v>
      </c>
    </row>
    <row r="579" spans="1:7" x14ac:dyDescent="0.25">
      <c r="A579" s="7" t="s">
        <v>2363</v>
      </c>
      <c r="B579" t="s">
        <v>603</v>
      </c>
      <c r="C579" t="s">
        <v>1042</v>
      </c>
      <c r="D579">
        <v>3</v>
      </c>
      <c r="E579" t="s">
        <v>1837</v>
      </c>
      <c r="F579" t="s">
        <v>2780</v>
      </c>
      <c r="G579" t="s">
        <v>2781</v>
      </c>
    </row>
    <row r="580" spans="1:7" x14ac:dyDescent="0.25">
      <c r="A580" s="7" t="s">
        <v>2363</v>
      </c>
      <c r="B580" t="s">
        <v>603</v>
      </c>
      <c r="C580" t="s">
        <v>941</v>
      </c>
      <c r="D580">
        <v>2</v>
      </c>
      <c r="E580" t="s">
        <v>2737</v>
      </c>
      <c r="F580" t="s">
        <v>2778</v>
      </c>
      <c r="G580" t="s">
        <v>2779</v>
      </c>
    </row>
    <row r="581" spans="1:7" x14ac:dyDescent="0.25">
      <c r="A581" s="7" t="s">
        <v>2363</v>
      </c>
      <c r="B581" t="s">
        <v>595</v>
      </c>
      <c r="C581" t="s">
        <v>1126</v>
      </c>
      <c r="D581">
        <v>66</v>
      </c>
      <c r="E581" t="s">
        <v>1928</v>
      </c>
      <c r="F581" t="s">
        <v>2774</v>
      </c>
      <c r="G581" t="s">
        <v>2775</v>
      </c>
    </row>
    <row r="582" spans="1:7" x14ac:dyDescent="0.25">
      <c r="A582" s="7" t="s">
        <v>2363</v>
      </c>
      <c r="B582" t="s">
        <v>595</v>
      </c>
      <c r="C582" t="s">
        <v>1123</v>
      </c>
      <c r="D582">
        <v>10</v>
      </c>
      <c r="E582" t="s">
        <v>1859</v>
      </c>
      <c r="F582" t="s">
        <v>2774</v>
      </c>
      <c r="G582" t="s">
        <v>2775</v>
      </c>
    </row>
    <row r="583" spans="1:7" x14ac:dyDescent="0.25">
      <c r="A583" s="7" t="s">
        <v>2363</v>
      </c>
      <c r="B583" t="s">
        <v>595</v>
      </c>
      <c r="C583" t="s">
        <v>960</v>
      </c>
      <c r="D583">
        <v>10</v>
      </c>
      <c r="E583" t="s">
        <v>1922</v>
      </c>
      <c r="F583" t="s">
        <v>2776</v>
      </c>
      <c r="G583" t="s">
        <v>2777</v>
      </c>
    </row>
    <row r="584" spans="1:7" x14ac:dyDescent="0.25">
      <c r="A584" s="7" t="s">
        <v>2363</v>
      </c>
      <c r="B584" t="s">
        <v>595</v>
      </c>
      <c r="C584" t="s">
        <v>1828</v>
      </c>
      <c r="D584">
        <v>5</v>
      </c>
      <c r="E584" t="s">
        <v>1930</v>
      </c>
      <c r="F584" t="s">
        <v>2776</v>
      </c>
      <c r="G584" t="s">
        <v>2777</v>
      </c>
    </row>
    <row r="585" spans="1:7" x14ac:dyDescent="0.25">
      <c r="A585" s="7" t="s">
        <v>2363</v>
      </c>
      <c r="B585" t="s">
        <v>595</v>
      </c>
      <c r="C585" t="s">
        <v>1142</v>
      </c>
      <c r="D585">
        <v>4</v>
      </c>
      <c r="E585" t="s">
        <v>1592</v>
      </c>
      <c r="F585" t="s">
        <v>2776</v>
      </c>
      <c r="G585" t="s">
        <v>2777</v>
      </c>
    </row>
    <row r="586" spans="1:7" x14ac:dyDescent="0.25">
      <c r="A586" s="7" t="s">
        <v>2363</v>
      </c>
      <c r="B586" t="s">
        <v>595</v>
      </c>
      <c r="C586" t="s">
        <v>1042</v>
      </c>
      <c r="D586">
        <v>3</v>
      </c>
      <c r="E586" t="s">
        <v>1837</v>
      </c>
      <c r="F586" t="s">
        <v>2780</v>
      </c>
      <c r="G586" t="s">
        <v>2781</v>
      </c>
    </row>
    <row r="587" spans="1:7" x14ac:dyDescent="0.25">
      <c r="A587" s="7" t="s">
        <v>2363</v>
      </c>
      <c r="B587" t="s">
        <v>595</v>
      </c>
      <c r="C587" t="s">
        <v>941</v>
      </c>
      <c r="D587">
        <v>2</v>
      </c>
      <c r="E587" t="s">
        <v>2737</v>
      </c>
      <c r="F587" t="s">
        <v>2778</v>
      </c>
      <c r="G587" t="s">
        <v>2779</v>
      </c>
    </row>
    <row r="588" spans="1:7" x14ac:dyDescent="0.25">
      <c r="A588" s="7" t="s">
        <v>2363</v>
      </c>
      <c r="B588" t="s">
        <v>597</v>
      </c>
      <c r="C588" t="s">
        <v>1126</v>
      </c>
      <c r="D588">
        <v>64</v>
      </c>
      <c r="E588" t="s">
        <v>1933</v>
      </c>
      <c r="F588" t="s">
        <v>2774</v>
      </c>
      <c r="G588" t="s">
        <v>2775</v>
      </c>
    </row>
    <row r="589" spans="1:7" x14ac:dyDescent="0.25">
      <c r="A589" s="7" t="s">
        <v>2363</v>
      </c>
      <c r="B589" t="s">
        <v>597</v>
      </c>
      <c r="C589" t="s">
        <v>1828</v>
      </c>
      <c r="D589">
        <v>8</v>
      </c>
      <c r="E589" t="s">
        <v>1934</v>
      </c>
      <c r="F589" t="s">
        <v>2774</v>
      </c>
      <c r="G589" t="s">
        <v>2775</v>
      </c>
    </row>
    <row r="590" spans="1:7" x14ac:dyDescent="0.25">
      <c r="A590" s="7" t="s">
        <v>2363</v>
      </c>
      <c r="B590" t="s">
        <v>597</v>
      </c>
      <c r="C590" t="s">
        <v>1123</v>
      </c>
      <c r="D590">
        <v>8</v>
      </c>
      <c r="E590" t="s">
        <v>1935</v>
      </c>
      <c r="F590" t="s">
        <v>2776</v>
      </c>
      <c r="G590" t="s">
        <v>2777</v>
      </c>
    </row>
    <row r="591" spans="1:7" x14ac:dyDescent="0.25">
      <c r="A591" s="7" t="s">
        <v>2363</v>
      </c>
      <c r="B591" t="s">
        <v>597</v>
      </c>
      <c r="C591" t="s">
        <v>1936</v>
      </c>
      <c r="D591">
        <v>6</v>
      </c>
      <c r="E591" t="s">
        <v>1937</v>
      </c>
      <c r="F591" t="s">
        <v>2776</v>
      </c>
      <c r="G591" t="s">
        <v>2777</v>
      </c>
    </row>
    <row r="592" spans="1:7" x14ac:dyDescent="0.25">
      <c r="A592" s="7" t="s">
        <v>2363</v>
      </c>
      <c r="B592" t="s">
        <v>597</v>
      </c>
      <c r="C592" t="s">
        <v>960</v>
      </c>
      <c r="D592">
        <v>8</v>
      </c>
      <c r="E592" t="s">
        <v>1922</v>
      </c>
      <c r="F592" t="s">
        <v>2776</v>
      </c>
      <c r="G592" t="s">
        <v>2777</v>
      </c>
    </row>
    <row r="593" spans="1:7" x14ac:dyDescent="0.25">
      <c r="A593" s="7" t="s">
        <v>2363</v>
      </c>
      <c r="B593" t="s">
        <v>597</v>
      </c>
      <c r="C593" t="s">
        <v>1042</v>
      </c>
      <c r="D593">
        <v>3</v>
      </c>
      <c r="E593" t="s">
        <v>1837</v>
      </c>
      <c r="F593" t="s">
        <v>2780</v>
      </c>
      <c r="G593" t="s">
        <v>2781</v>
      </c>
    </row>
    <row r="594" spans="1:7" x14ac:dyDescent="0.25">
      <c r="A594" s="7" t="s">
        <v>2363</v>
      </c>
      <c r="B594" t="s">
        <v>597</v>
      </c>
      <c r="C594" t="s">
        <v>1142</v>
      </c>
      <c r="D594">
        <v>3</v>
      </c>
      <c r="E594" t="s">
        <v>1592</v>
      </c>
      <c r="F594" t="s">
        <v>2776</v>
      </c>
      <c r="G594" t="s">
        <v>2777</v>
      </c>
    </row>
    <row r="595" spans="1:7" x14ac:dyDescent="0.25">
      <c r="A595" s="7" t="s">
        <v>2363</v>
      </c>
      <c r="B595" t="s">
        <v>587</v>
      </c>
      <c r="C595" t="s">
        <v>1126</v>
      </c>
      <c r="D595">
        <v>68</v>
      </c>
      <c r="E595" t="s">
        <v>1939</v>
      </c>
      <c r="F595" t="s">
        <v>2774</v>
      </c>
      <c r="G595" t="s">
        <v>2775</v>
      </c>
    </row>
    <row r="596" spans="1:7" x14ac:dyDescent="0.25">
      <c r="A596" s="7" t="s">
        <v>2363</v>
      </c>
      <c r="B596" t="s">
        <v>587</v>
      </c>
      <c r="C596" t="s">
        <v>1828</v>
      </c>
      <c r="D596">
        <v>10</v>
      </c>
      <c r="E596" t="s">
        <v>1940</v>
      </c>
      <c r="F596" t="s">
        <v>2774</v>
      </c>
      <c r="G596" t="s">
        <v>2775</v>
      </c>
    </row>
    <row r="597" spans="1:7" x14ac:dyDescent="0.25">
      <c r="A597" s="7" t="s">
        <v>2363</v>
      </c>
      <c r="B597" t="s">
        <v>587</v>
      </c>
      <c r="C597" t="s">
        <v>1936</v>
      </c>
      <c r="D597">
        <v>8</v>
      </c>
      <c r="E597" t="s">
        <v>1941</v>
      </c>
      <c r="F597" t="s">
        <v>2776</v>
      </c>
      <c r="G597" t="s">
        <v>2777</v>
      </c>
    </row>
    <row r="598" spans="1:7" x14ac:dyDescent="0.25">
      <c r="A598" s="7" t="s">
        <v>2363</v>
      </c>
      <c r="B598" t="s">
        <v>587</v>
      </c>
      <c r="C598" t="s">
        <v>1123</v>
      </c>
      <c r="D598">
        <v>5</v>
      </c>
      <c r="E598" t="s">
        <v>1942</v>
      </c>
      <c r="F598" t="s">
        <v>2776</v>
      </c>
      <c r="G598" t="s">
        <v>2777</v>
      </c>
    </row>
    <row r="599" spans="1:7" x14ac:dyDescent="0.25">
      <c r="A599" s="7" t="s">
        <v>2363</v>
      </c>
      <c r="B599" t="s">
        <v>587</v>
      </c>
      <c r="C599" t="s">
        <v>960</v>
      </c>
      <c r="D599">
        <v>3</v>
      </c>
      <c r="E599" t="s">
        <v>1922</v>
      </c>
      <c r="F599" t="s">
        <v>2776</v>
      </c>
      <c r="G599" t="s">
        <v>2777</v>
      </c>
    </row>
    <row r="600" spans="1:7" x14ac:dyDescent="0.25">
      <c r="A600" s="7" t="s">
        <v>2363</v>
      </c>
      <c r="B600" t="s">
        <v>587</v>
      </c>
      <c r="C600" t="s">
        <v>1042</v>
      </c>
      <c r="D600">
        <v>3</v>
      </c>
      <c r="E600" t="s">
        <v>1837</v>
      </c>
      <c r="F600" t="s">
        <v>2780</v>
      </c>
      <c r="G600" t="s">
        <v>2781</v>
      </c>
    </row>
    <row r="601" spans="1:7" x14ac:dyDescent="0.25">
      <c r="A601" s="7" t="s">
        <v>2363</v>
      </c>
      <c r="B601" t="s">
        <v>587</v>
      </c>
      <c r="C601" t="s">
        <v>1142</v>
      </c>
      <c r="D601">
        <v>3</v>
      </c>
      <c r="E601" t="s">
        <v>1592</v>
      </c>
      <c r="F601" t="s">
        <v>2776</v>
      </c>
      <c r="G601" t="s">
        <v>2777</v>
      </c>
    </row>
    <row r="602" spans="1:7" x14ac:dyDescent="0.25">
      <c r="A602" s="7" t="s">
        <v>2363</v>
      </c>
      <c r="B602" t="s">
        <v>599</v>
      </c>
      <c r="C602" t="s">
        <v>1936</v>
      </c>
      <c r="D602">
        <v>63</v>
      </c>
      <c r="E602" t="s">
        <v>1956</v>
      </c>
      <c r="F602" t="s">
        <v>2774</v>
      </c>
      <c r="G602" t="s">
        <v>2775</v>
      </c>
    </row>
    <row r="603" spans="1:7" x14ac:dyDescent="0.25">
      <c r="A603" s="7" t="s">
        <v>2363</v>
      </c>
      <c r="B603" t="s">
        <v>599</v>
      </c>
      <c r="C603" t="s">
        <v>1142</v>
      </c>
      <c r="D603">
        <v>10</v>
      </c>
      <c r="E603" t="s">
        <v>1592</v>
      </c>
      <c r="F603" t="s">
        <v>2776</v>
      </c>
      <c r="G603" t="s">
        <v>2777</v>
      </c>
    </row>
    <row r="604" spans="1:7" x14ac:dyDescent="0.25">
      <c r="A604" s="7" t="s">
        <v>2363</v>
      </c>
      <c r="B604" t="s">
        <v>599</v>
      </c>
      <c r="C604" t="s">
        <v>1828</v>
      </c>
      <c r="D604">
        <v>10</v>
      </c>
      <c r="E604" t="s">
        <v>1958</v>
      </c>
      <c r="F604" t="s">
        <v>2776</v>
      </c>
      <c r="G604" t="s">
        <v>2777</v>
      </c>
    </row>
    <row r="605" spans="1:7" x14ac:dyDescent="0.25">
      <c r="A605" s="7" t="s">
        <v>2363</v>
      </c>
      <c r="B605" t="s">
        <v>599</v>
      </c>
      <c r="C605" t="s">
        <v>1126</v>
      </c>
      <c r="D605">
        <v>8</v>
      </c>
      <c r="E605" t="s">
        <v>1951</v>
      </c>
      <c r="F605" t="s">
        <v>2776</v>
      </c>
      <c r="G605" t="s">
        <v>2777</v>
      </c>
    </row>
    <row r="606" spans="1:7" x14ac:dyDescent="0.25">
      <c r="A606" s="7" t="s">
        <v>2363</v>
      </c>
      <c r="B606" t="s">
        <v>599</v>
      </c>
      <c r="C606" t="s">
        <v>1123</v>
      </c>
      <c r="D606">
        <v>4</v>
      </c>
      <c r="E606" t="s">
        <v>1831</v>
      </c>
      <c r="F606" t="s">
        <v>2776</v>
      </c>
      <c r="G606" t="s">
        <v>2777</v>
      </c>
    </row>
    <row r="607" spans="1:7" x14ac:dyDescent="0.25">
      <c r="A607" s="7" t="s">
        <v>2363</v>
      </c>
      <c r="B607" t="s">
        <v>599</v>
      </c>
      <c r="C607" t="s">
        <v>1042</v>
      </c>
      <c r="D607">
        <v>3</v>
      </c>
      <c r="E607" t="s">
        <v>1837</v>
      </c>
      <c r="F607" t="s">
        <v>2780</v>
      </c>
      <c r="G607" t="s">
        <v>2781</v>
      </c>
    </row>
    <row r="608" spans="1:7" x14ac:dyDescent="0.25">
      <c r="A608" s="7" t="s">
        <v>2363</v>
      </c>
      <c r="B608" t="s">
        <v>599</v>
      </c>
      <c r="C608" t="s">
        <v>941</v>
      </c>
      <c r="D608">
        <v>2</v>
      </c>
      <c r="E608" t="s">
        <v>2737</v>
      </c>
      <c r="F608" t="s">
        <v>2778</v>
      </c>
      <c r="G608" t="s">
        <v>2779</v>
      </c>
    </row>
    <row r="609" spans="1:7" x14ac:dyDescent="0.25">
      <c r="A609" s="22" t="s">
        <v>2364</v>
      </c>
      <c r="B609" t="s">
        <v>712</v>
      </c>
      <c r="C609" t="s">
        <v>2374</v>
      </c>
      <c r="D609">
        <v>88</v>
      </c>
      <c r="E609" t="s">
        <v>1458</v>
      </c>
      <c r="F609" t="s">
        <v>2774</v>
      </c>
      <c r="G609" t="s">
        <v>2775</v>
      </c>
    </row>
    <row r="610" spans="1:7" x14ac:dyDescent="0.25">
      <c r="A610" s="22" t="s">
        <v>2364</v>
      </c>
      <c r="B610" t="s">
        <v>712</v>
      </c>
      <c r="C610" t="s">
        <v>941</v>
      </c>
      <c r="D610">
        <v>6</v>
      </c>
      <c r="E610" t="s">
        <v>1459</v>
      </c>
      <c r="F610" t="s">
        <v>2776</v>
      </c>
      <c r="G610" t="s">
        <v>2777</v>
      </c>
    </row>
    <row r="611" spans="1:7" x14ac:dyDescent="0.25">
      <c r="A611" s="22" t="s">
        <v>2364</v>
      </c>
      <c r="B611" t="s">
        <v>712</v>
      </c>
      <c r="C611" t="s">
        <v>1042</v>
      </c>
      <c r="D611">
        <v>4</v>
      </c>
      <c r="E611" t="s">
        <v>1461</v>
      </c>
      <c r="F611" t="s">
        <v>2780</v>
      </c>
      <c r="G611" t="s">
        <v>2781</v>
      </c>
    </row>
    <row r="612" spans="1:7" x14ac:dyDescent="0.25">
      <c r="A612" s="22" t="s">
        <v>2364</v>
      </c>
      <c r="B612" t="s">
        <v>712</v>
      </c>
      <c r="C612" t="s">
        <v>698</v>
      </c>
      <c r="D612">
        <v>2</v>
      </c>
      <c r="E612" t="s">
        <v>1463</v>
      </c>
      <c r="F612" t="s">
        <v>2776</v>
      </c>
      <c r="G612" t="s">
        <v>2777</v>
      </c>
    </row>
    <row r="613" spans="1:7" x14ac:dyDescent="0.25">
      <c r="A613" s="22" t="s">
        <v>2364</v>
      </c>
      <c r="B613" t="s">
        <v>696</v>
      </c>
      <c r="C613" t="s">
        <v>2374</v>
      </c>
      <c r="D613">
        <v>88</v>
      </c>
      <c r="E613" t="s">
        <v>1465</v>
      </c>
      <c r="F613" t="s">
        <v>2774</v>
      </c>
      <c r="G613" t="s">
        <v>2775</v>
      </c>
    </row>
    <row r="614" spans="1:7" x14ac:dyDescent="0.25">
      <c r="A614" s="22" t="s">
        <v>2364</v>
      </c>
      <c r="B614" t="s">
        <v>696</v>
      </c>
      <c r="C614" t="s">
        <v>941</v>
      </c>
      <c r="D614">
        <v>5</v>
      </c>
      <c r="E614" t="s">
        <v>1466</v>
      </c>
      <c r="F614" t="s">
        <v>2776</v>
      </c>
      <c r="G614" t="s">
        <v>2777</v>
      </c>
    </row>
    <row r="615" spans="1:7" x14ac:dyDescent="0.25">
      <c r="A615" s="22" t="s">
        <v>2364</v>
      </c>
      <c r="B615" t="s">
        <v>696</v>
      </c>
      <c r="C615" t="s">
        <v>18</v>
      </c>
      <c r="D615">
        <v>3</v>
      </c>
      <c r="E615" t="s">
        <v>1468</v>
      </c>
      <c r="F615" t="s">
        <v>2776</v>
      </c>
      <c r="G615" t="s">
        <v>2777</v>
      </c>
    </row>
    <row r="616" spans="1:7" x14ac:dyDescent="0.25">
      <c r="A616" s="22" t="s">
        <v>2364</v>
      </c>
      <c r="B616" t="s">
        <v>696</v>
      </c>
      <c r="C616" t="s">
        <v>1042</v>
      </c>
      <c r="D616">
        <v>2</v>
      </c>
      <c r="E616" t="s">
        <v>1470</v>
      </c>
      <c r="F616" t="s">
        <v>2780</v>
      </c>
      <c r="G616" t="s">
        <v>2781</v>
      </c>
    </row>
    <row r="617" spans="1:7" x14ac:dyDescent="0.25">
      <c r="A617" s="22" t="s">
        <v>2364</v>
      </c>
      <c r="B617" t="s">
        <v>696</v>
      </c>
      <c r="C617" t="s">
        <v>698</v>
      </c>
      <c r="D617">
        <v>2</v>
      </c>
      <c r="E617" t="s">
        <v>1463</v>
      </c>
      <c r="F617" t="s">
        <v>2776</v>
      </c>
      <c r="G617" t="s">
        <v>2777</v>
      </c>
    </row>
    <row r="618" spans="1:7" x14ac:dyDescent="0.25">
      <c r="A618" s="22" t="s">
        <v>2364</v>
      </c>
      <c r="B618" t="s">
        <v>728</v>
      </c>
      <c r="C618" t="s">
        <v>2374</v>
      </c>
      <c r="D618">
        <v>88</v>
      </c>
      <c r="E618" t="s">
        <v>1473</v>
      </c>
      <c r="F618" t="s">
        <v>2774</v>
      </c>
      <c r="G618" t="s">
        <v>2775</v>
      </c>
    </row>
    <row r="619" spans="1:7" x14ac:dyDescent="0.25">
      <c r="A619" s="22" t="s">
        <v>2364</v>
      </c>
      <c r="B619" t="s">
        <v>728</v>
      </c>
      <c r="C619" t="s">
        <v>18</v>
      </c>
      <c r="D619">
        <v>4</v>
      </c>
      <c r="E619" t="s">
        <v>1474</v>
      </c>
      <c r="F619" t="s">
        <v>2776</v>
      </c>
      <c r="G619" t="s">
        <v>2777</v>
      </c>
    </row>
    <row r="620" spans="1:7" x14ac:dyDescent="0.25">
      <c r="A620" s="22" t="s">
        <v>2364</v>
      </c>
      <c r="B620" t="s">
        <v>728</v>
      </c>
      <c r="C620" t="s">
        <v>941</v>
      </c>
      <c r="D620">
        <v>4</v>
      </c>
      <c r="E620" t="s">
        <v>1466</v>
      </c>
      <c r="F620" t="s">
        <v>2776</v>
      </c>
      <c r="G620" t="s">
        <v>2777</v>
      </c>
    </row>
    <row r="621" spans="1:7" x14ac:dyDescent="0.25">
      <c r="A621" s="22" t="s">
        <v>2364</v>
      </c>
      <c r="B621" t="s">
        <v>728</v>
      </c>
      <c r="C621" t="s">
        <v>1028</v>
      </c>
      <c r="D621">
        <v>2</v>
      </c>
      <c r="E621" t="s">
        <v>1477</v>
      </c>
      <c r="F621" t="s">
        <v>2780</v>
      </c>
      <c r="G621" t="s">
        <v>2781</v>
      </c>
    </row>
    <row r="622" spans="1:7" x14ac:dyDescent="0.25">
      <c r="A622" s="22" t="s">
        <v>2364</v>
      </c>
      <c r="B622" t="s">
        <v>728</v>
      </c>
      <c r="C622" t="s">
        <v>698</v>
      </c>
      <c r="D622">
        <v>2</v>
      </c>
      <c r="E622" t="s">
        <v>1463</v>
      </c>
      <c r="F622" t="s">
        <v>2776</v>
      </c>
      <c r="G622" t="s">
        <v>2777</v>
      </c>
    </row>
    <row r="623" spans="1:7" x14ac:dyDescent="0.25">
      <c r="A623" s="22" t="s">
        <v>2364</v>
      </c>
      <c r="B623" t="s">
        <v>698</v>
      </c>
      <c r="C623" t="s">
        <v>698</v>
      </c>
      <c r="D623">
        <v>78</v>
      </c>
      <c r="E623" t="s">
        <v>1488</v>
      </c>
      <c r="F623" t="s">
        <v>2774</v>
      </c>
      <c r="G623" t="s">
        <v>2775</v>
      </c>
    </row>
    <row r="624" spans="1:7" x14ac:dyDescent="0.25">
      <c r="A624" s="22" t="s">
        <v>2364</v>
      </c>
      <c r="B624" t="s">
        <v>698</v>
      </c>
      <c r="C624" t="s">
        <v>18</v>
      </c>
      <c r="D624">
        <v>8</v>
      </c>
      <c r="E624" t="s">
        <v>1489</v>
      </c>
      <c r="F624" t="s">
        <v>2776</v>
      </c>
      <c r="G624" t="s">
        <v>2777</v>
      </c>
    </row>
    <row r="625" spans="1:7" x14ac:dyDescent="0.25">
      <c r="A625" s="22" t="s">
        <v>2364</v>
      </c>
      <c r="B625" t="s">
        <v>698</v>
      </c>
      <c r="C625" t="s">
        <v>2374</v>
      </c>
      <c r="D625">
        <v>6</v>
      </c>
      <c r="E625" t="s">
        <v>1491</v>
      </c>
      <c r="F625" t="s">
        <v>2776</v>
      </c>
      <c r="G625" t="s">
        <v>2777</v>
      </c>
    </row>
    <row r="626" spans="1:7" x14ac:dyDescent="0.25">
      <c r="A626" s="22" t="s">
        <v>2364</v>
      </c>
      <c r="B626" t="s">
        <v>698</v>
      </c>
      <c r="C626" t="s">
        <v>916</v>
      </c>
      <c r="D626">
        <v>4</v>
      </c>
      <c r="E626" t="s">
        <v>1493</v>
      </c>
      <c r="F626" t="s">
        <v>2776</v>
      </c>
      <c r="G626" t="s">
        <v>2777</v>
      </c>
    </row>
    <row r="627" spans="1:7" x14ac:dyDescent="0.25">
      <c r="A627" s="22" t="s">
        <v>2364</v>
      </c>
      <c r="B627" t="s">
        <v>698</v>
      </c>
      <c r="C627" t="s">
        <v>1483</v>
      </c>
      <c r="D627">
        <v>4</v>
      </c>
      <c r="E627" t="s">
        <v>1495</v>
      </c>
      <c r="F627" t="s">
        <v>2776</v>
      </c>
      <c r="G627" t="s">
        <v>2777</v>
      </c>
    </row>
    <row r="628" spans="1:7" x14ac:dyDescent="0.25">
      <c r="A628" s="22" t="s">
        <v>2364</v>
      </c>
      <c r="B628" t="s">
        <v>718</v>
      </c>
      <c r="C628" t="s">
        <v>941</v>
      </c>
      <c r="D628">
        <v>84</v>
      </c>
      <c r="E628" t="s">
        <v>2703</v>
      </c>
      <c r="F628" t="s">
        <v>2774</v>
      </c>
      <c r="G628" t="s">
        <v>2775</v>
      </c>
    </row>
    <row r="629" spans="1:7" x14ac:dyDescent="0.25">
      <c r="A629" s="22" t="s">
        <v>2364</v>
      </c>
      <c r="B629" t="s">
        <v>718</v>
      </c>
      <c r="C629" t="s">
        <v>1483</v>
      </c>
      <c r="D629">
        <v>10</v>
      </c>
      <c r="E629" t="s">
        <v>2704</v>
      </c>
      <c r="F629" t="s">
        <v>2776</v>
      </c>
      <c r="G629" t="s">
        <v>2777</v>
      </c>
    </row>
    <row r="630" spans="1:7" x14ac:dyDescent="0.25">
      <c r="A630" s="22" t="s">
        <v>2364</v>
      </c>
      <c r="B630" t="s">
        <v>718</v>
      </c>
      <c r="C630" t="s">
        <v>1033</v>
      </c>
      <c r="D630">
        <v>4</v>
      </c>
      <c r="E630" t="s">
        <v>1587</v>
      </c>
      <c r="F630" t="s">
        <v>2776</v>
      </c>
      <c r="G630" t="s">
        <v>2777</v>
      </c>
    </row>
    <row r="631" spans="1:7" x14ac:dyDescent="0.25">
      <c r="A631" s="22" t="s">
        <v>2364</v>
      </c>
      <c r="B631" t="s">
        <v>718</v>
      </c>
      <c r="C631" t="s">
        <v>2374</v>
      </c>
      <c r="D631">
        <v>2</v>
      </c>
      <c r="E631" t="s">
        <v>1589</v>
      </c>
      <c r="F631" t="s">
        <v>2776</v>
      </c>
      <c r="G631" t="s">
        <v>2777</v>
      </c>
    </row>
    <row r="632" spans="1:7" x14ac:dyDescent="0.25">
      <c r="A632" s="22" t="s">
        <v>2364</v>
      </c>
      <c r="B632" t="s">
        <v>702</v>
      </c>
      <c r="C632" t="s">
        <v>941</v>
      </c>
      <c r="D632">
        <v>90</v>
      </c>
      <c r="E632" t="s">
        <v>2494</v>
      </c>
      <c r="F632" t="s">
        <v>2774</v>
      </c>
      <c r="G632" t="s">
        <v>2775</v>
      </c>
    </row>
    <row r="633" spans="1:7" x14ac:dyDescent="0.25">
      <c r="A633" s="22" t="s">
        <v>2364</v>
      </c>
      <c r="B633" t="s">
        <v>702</v>
      </c>
      <c r="C633" t="s">
        <v>1483</v>
      </c>
      <c r="D633">
        <v>6</v>
      </c>
      <c r="E633" t="s">
        <v>2705</v>
      </c>
      <c r="F633" t="s">
        <v>2776</v>
      </c>
      <c r="G633" t="s">
        <v>2777</v>
      </c>
    </row>
    <row r="634" spans="1:7" x14ac:dyDescent="0.25">
      <c r="A634" s="22" t="s">
        <v>2364</v>
      </c>
      <c r="B634" t="s">
        <v>702</v>
      </c>
      <c r="C634" t="s">
        <v>1033</v>
      </c>
      <c r="D634">
        <v>4</v>
      </c>
      <c r="E634" t="s">
        <v>1587</v>
      </c>
      <c r="F634" t="s">
        <v>2776</v>
      </c>
      <c r="G634" t="s">
        <v>2777</v>
      </c>
    </row>
    <row r="635" spans="1:7" x14ac:dyDescent="0.25">
      <c r="A635" s="22" t="s">
        <v>2364</v>
      </c>
      <c r="B635" t="s">
        <v>724</v>
      </c>
      <c r="C635" t="s">
        <v>941</v>
      </c>
      <c r="D635">
        <v>82</v>
      </c>
      <c r="E635" t="s">
        <v>1602</v>
      </c>
      <c r="F635" t="s">
        <v>2774</v>
      </c>
      <c r="G635" t="s">
        <v>2775</v>
      </c>
    </row>
    <row r="636" spans="1:7" x14ac:dyDescent="0.25">
      <c r="A636" s="22" t="s">
        <v>2364</v>
      </c>
      <c r="B636" t="s">
        <v>724</v>
      </c>
      <c r="C636" t="s">
        <v>1483</v>
      </c>
      <c r="D636">
        <v>9</v>
      </c>
      <c r="E636" t="s">
        <v>1603</v>
      </c>
      <c r="F636" t="s">
        <v>2776</v>
      </c>
      <c r="G636" t="s">
        <v>2777</v>
      </c>
    </row>
    <row r="637" spans="1:7" x14ac:dyDescent="0.25">
      <c r="A637" s="22" t="s">
        <v>2364</v>
      </c>
      <c r="B637" t="s">
        <v>724</v>
      </c>
      <c r="C637" t="s">
        <v>2374</v>
      </c>
      <c r="D637">
        <v>5</v>
      </c>
      <c r="E637" t="s">
        <v>1589</v>
      </c>
      <c r="F637" t="s">
        <v>2776</v>
      </c>
      <c r="G637" t="s">
        <v>2777</v>
      </c>
    </row>
    <row r="638" spans="1:7" x14ac:dyDescent="0.25">
      <c r="A638" s="22" t="s">
        <v>2364</v>
      </c>
      <c r="B638" t="s">
        <v>724</v>
      </c>
      <c r="C638" t="s">
        <v>1033</v>
      </c>
      <c r="D638">
        <v>4</v>
      </c>
      <c r="E638" t="s">
        <v>1587</v>
      </c>
      <c r="F638" t="s">
        <v>2776</v>
      </c>
      <c r="G638" t="s">
        <v>2777</v>
      </c>
    </row>
    <row r="639" spans="1:7" x14ac:dyDescent="0.25">
      <c r="A639" s="22" t="s">
        <v>2364</v>
      </c>
      <c r="B639" t="s">
        <v>714</v>
      </c>
      <c r="C639" t="s">
        <v>1483</v>
      </c>
      <c r="D639">
        <v>46</v>
      </c>
      <c r="E639" t="s">
        <v>1605</v>
      </c>
      <c r="F639" t="s">
        <v>2774</v>
      </c>
      <c r="G639" t="s">
        <v>2775</v>
      </c>
    </row>
    <row r="640" spans="1:7" x14ac:dyDescent="0.25">
      <c r="A640" s="22" t="s">
        <v>2364</v>
      </c>
      <c r="B640" t="s">
        <v>714</v>
      </c>
      <c r="C640" t="s">
        <v>941</v>
      </c>
      <c r="D640">
        <v>42</v>
      </c>
      <c r="E640" t="s">
        <v>1607</v>
      </c>
      <c r="F640" t="s">
        <v>2774</v>
      </c>
      <c r="G640" t="s">
        <v>2775</v>
      </c>
    </row>
    <row r="641" spans="1:7" x14ac:dyDescent="0.25">
      <c r="A641" s="22" t="s">
        <v>2364</v>
      </c>
      <c r="B641" t="s">
        <v>714</v>
      </c>
      <c r="C641" t="s">
        <v>2374</v>
      </c>
      <c r="D641">
        <v>8</v>
      </c>
      <c r="E641" t="s">
        <v>1609</v>
      </c>
      <c r="F641" t="s">
        <v>2776</v>
      </c>
      <c r="G641" t="s">
        <v>2777</v>
      </c>
    </row>
    <row r="642" spans="1:7" x14ac:dyDescent="0.25">
      <c r="A642" s="22" t="s">
        <v>2364</v>
      </c>
      <c r="B642" t="s">
        <v>714</v>
      </c>
      <c r="C642" t="s">
        <v>1033</v>
      </c>
      <c r="D642">
        <v>4</v>
      </c>
      <c r="E642" t="s">
        <v>1611</v>
      </c>
      <c r="F642" t="s">
        <v>2776</v>
      </c>
      <c r="G642" t="s">
        <v>2777</v>
      </c>
    </row>
    <row r="643" spans="1:7" x14ac:dyDescent="0.25">
      <c r="A643" s="22" t="s">
        <v>2364</v>
      </c>
      <c r="B643" t="s">
        <v>690</v>
      </c>
      <c r="C643" t="s">
        <v>941</v>
      </c>
      <c r="D643">
        <v>88</v>
      </c>
      <c r="E643" t="s">
        <v>1624</v>
      </c>
      <c r="F643" t="s">
        <v>2774</v>
      </c>
      <c r="G643" t="s">
        <v>2775</v>
      </c>
    </row>
    <row r="644" spans="1:7" x14ac:dyDescent="0.25">
      <c r="A644" s="22" t="s">
        <v>2364</v>
      </c>
      <c r="B644" t="s">
        <v>690</v>
      </c>
      <c r="C644" t="s">
        <v>1483</v>
      </c>
      <c r="D644">
        <v>7</v>
      </c>
      <c r="E644" t="s">
        <v>2706</v>
      </c>
      <c r="F644" t="s">
        <v>2776</v>
      </c>
      <c r="G644" t="s">
        <v>2777</v>
      </c>
    </row>
    <row r="645" spans="1:7" x14ac:dyDescent="0.25">
      <c r="A645" s="22" t="s">
        <v>2364</v>
      </c>
      <c r="B645" t="s">
        <v>690</v>
      </c>
      <c r="C645" t="s">
        <v>1033</v>
      </c>
      <c r="D645">
        <v>5</v>
      </c>
      <c r="E645" t="s">
        <v>1587</v>
      </c>
      <c r="F645" t="s">
        <v>2776</v>
      </c>
      <c r="G645" t="s">
        <v>2777</v>
      </c>
    </row>
    <row r="646" spans="1:7" x14ac:dyDescent="0.25">
      <c r="A646" s="22" t="s">
        <v>2364</v>
      </c>
      <c r="B646" t="s">
        <v>692</v>
      </c>
      <c r="C646" t="s">
        <v>1033</v>
      </c>
      <c r="D646">
        <v>58</v>
      </c>
      <c r="E646" t="s">
        <v>2447</v>
      </c>
      <c r="F646" t="s">
        <v>2774</v>
      </c>
      <c r="G646" t="s">
        <v>2775</v>
      </c>
    </row>
    <row r="647" spans="1:7" x14ac:dyDescent="0.25">
      <c r="A647" s="22" t="s">
        <v>2364</v>
      </c>
      <c r="B647" t="s">
        <v>692</v>
      </c>
      <c r="C647" t="s">
        <v>941</v>
      </c>
      <c r="D647">
        <v>22</v>
      </c>
      <c r="E647" t="s">
        <v>2707</v>
      </c>
      <c r="F647" t="s">
        <v>2774</v>
      </c>
      <c r="G647" t="s">
        <v>2775</v>
      </c>
    </row>
    <row r="648" spans="1:7" x14ac:dyDescent="0.25">
      <c r="A648" s="22" t="s">
        <v>2364</v>
      </c>
      <c r="B648" t="s">
        <v>692</v>
      </c>
      <c r="C648" t="s">
        <v>1483</v>
      </c>
      <c r="D648">
        <v>10</v>
      </c>
      <c r="E648" t="s">
        <v>2708</v>
      </c>
      <c r="F648" t="s">
        <v>2774</v>
      </c>
      <c r="G648" t="s">
        <v>2775</v>
      </c>
    </row>
    <row r="649" spans="1:7" x14ac:dyDescent="0.25">
      <c r="A649" s="22" t="s">
        <v>2364</v>
      </c>
      <c r="B649" t="s">
        <v>692</v>
      </c>
      <c r="C649" t="s">
        <v>1557</v>
      </c>
      <c r="D649">
        <v>6</v>
      </c>
      <c r="E649" t="s">
        <v>1659</v>
      </c>
      <c r="F649" t="s">
        <v>2776</v>
      </c>
      <c r="G649" t="s">
        <v>2777</v>
      </c>
    </row>
    <row r="650" spans="1:7" x14ac:dyDescent="0.25">
      <c r="A650" s="22" t="s">
        <v>2364</v>
      </c>
      <c r="B650" t="s">
        <v>692</v>
      </c>
      <c r="C650" t="s">
        <v>1138</v>
      </c>
      <c r="D650">
        <v>4</v>
      </c>
      <c r="E650" t="s">
        <v>1661</v>
      </c>
      <c r="F650" t="s">
        <v>2776</v>
      </c>
      <c r="G650" t="s">
        <v>2777</v>
      </c>
    </row>
    <row r="651" spans="1:7" x14ac:dyDescent="0.25">
      <c r="A651" s="22" t="s">
        <v>2364</v>
      </c>
      <c r="B651" t="s">
        <v>1665</v>
      </c>
      <c r="C651" t="s">
        <v>1033</v>
      </c>
      <c r="D651">
        <v>84</v>
      </c>
      <c r="E651" t="s">
        <v>2454</v>
      </c>
      <c r="F651" t="s">
        <v>2774</v>
      </c>
      <c r="G651" t="s">
        <v>2775</v>
      </c>
    </row>
    <row r="652" spans="1:7" x14ac:dyDescent="0.25">
      <c r="A652" s="22" t="s">
        <v>2364</v>
      </c>
      <c r="B652" t="s">
        <v>1665</v>
      </c>
      <c r="C652" t="s">
        <v>1557</v>
      </c>
      <c r="D652">
        <v>6</v>
      </c>
      <c r="E652" t="s">
        <v>1667</v>
      </c>
      <c r="F652" t="s">
        <v>2776</v>
      </c>
      <c r="G652" t="s">
        <v>2777</v>
      </c>
    </row>
    <row r="653" spans="1:7" x14ac:dyDescent="0.25">
      <c r="A653" s="22" t="s">
        <v>2364</v>
      </c>
      <c r="B653" t="s">
        <v>1665</v>
      </c>
      <c r="C653" t="s">
        <v>1138</v>
      </c>
      <c r="D653">
        <v>4</v>
      </c>
      <c r="E653" t="s">
        <v>1668</v>
      </c>
      <c r="F653" t="s">
        <v>2776</v>
      </c>
      <c r="G653" t="s">
        <v>2777</v>
      </c>
    </row>
    <row r="654" spans="1:7" x14ac:dyDescent="0.25">
      <c r="A654" s="22" t="s">
        <v>2364</v>
      </c>
      <c r="B654" t="s">
        <v>1665</v>
      </c>
      <c r="C654" t="s">
        <v>941</v>
      </c>
      <c r="D654">
        <v>4</v>
      </c>
      <c r="E654" t="s">
        <v>2709</v>
      </c>
      <c r="F654" t="s">
        <v>2776</v>
      </c>
      <c r="G654" t="s">
        <v>2777</v>
      </c>
    </row>
    <row r="655" spans="1:7" x14ac:dyDescent="0.25">
      <c r="A655" s="22" t="s">
        <v>2364</v>
      </c>
      <c r="B655" t="s">
        <v>1665</v>
      </c>
      <c r="C655" t="s">
        <v>916</v>
      </c>
      <c r="D655">
        <v>2</v>
      </c>
      <c r="E655" t="s">
        <v>1672</v>
      </c>
      <c r="F655" t="s">
        <v>2776</v>
      </c>
      <c r="G655" t="s">
        <v>2777</v>
      </c>
    </row>
    <row r="656" spans="1:7" x14ac:dyDescent="0.25">
      <c r="A656" s="22" t="s">
        <v>2364</v>
      </c>
      <c r="B656" t="s">
        <v>680</v>
      </c>
      <c r="C656" t="s">
        <v>1033</v>
      </c>
      <c r="D656">
        <v>70</v>
      </c>
      <c r="E656" t="s">
        <v>1696</v>
      </c>
      <c r="F656" t="s">
        <v>2774</v>
      </c>
      <c r="G656" t="s">
        <v>2775</v>
      </c>
    </row>
    <row r="657" spans="1:7" x14ac:dyDescent="0.25">
      <c r="A657" s="22" t="s">
        <v>2364</v>
      </c>
      <c r="B657" t="s">
        <v>680</v>
      </c>
      <c r="C657" t="s">
        <v>1138</v>
      </c>
      <c r="D657">
        <v>22</v>
      </c>
      <c r="E657" t="s">
        <v>1698</v>
      </c>
      <c r="F657" t="s">
        <v>2774</v>
      </c>
      <c r="G657" t="s">
        <v>2775</v>
      </c>
    </row>
    <row r="658" spans="1:7" x14ac:dyDescent="0.25">
      <c r="A658" s="22" t="s">
        <v>2364</v>
      </c>
      <c r="B658" t="s">
        <v>680</v>
      </c>
      <c r="C658" t="s">
        <v>1557</v>
      </c>
      <c r="D658">
        <v>5</v>
      </c>
      <c r="E658" t="s">
        <v>1700</v>
      </c>
      <c r="F658" t="s">
        <v>2776</v>
      </c>
      <c r="G658" t="s">
        <v>2777</v>
      </c>
    </row>
    <row r="659" spans="1:7" x14ac:dyDescent="0.25">
      <c r="A659" s="22" t="s">
        <v>2364</v>
      </c>
      <c r="B659" t="s">
        <v>680</v>
      </c>
      <c r="C659" t="s">
        <v>941</v>
      </c>
      <c r="D659">
        <v>3</v>
      </c>
      <c r="E659" t="s">
        <v>2709</v>
      </c>
      <c r="F659" t="s">
        <v>2776</v>
      </c>
      <c r="G659" t="s">
        <v>2777</v>
      </c>
    </row>
    <row r="660" spans="1:7" x14ac:dyDescent="0.25">
      <c r="A660" s="22" t="s">
        <v>2364</v>
      </c>
      <c r="B660" t="s">
        <v>854</v>
      </c>
      <c r="C660" t="s">
        <v>1138</v>
      </c>
      <c r="D660">
        <v>77</v>
      </c>
      <c r="E660" t="s">
        <v>1725</v>
      </c>
      <c r="F660" t="s">
        <v>2774</v>
      </c>
      <c r="G660" t="s">
        <v>2775</v>
      </c>
    </row>
    <row r="661" spans="1:7" x14ac:dyDescent="0.25">
      <c r="A661" s="22" t="s">
        <v>2364</v>
      </c>
      <c r="B661" t="s">
        <v>854</v>
      </c>
      <c r="C661" t="s">
        <v>1557</v>
      </c>
      <c r="D661">
        <v>8</v>
      </c>
      <c r="E661" t="s">
        <v>1726</v>
      </c>
      <c r="F661" t="s">
        <v>2776</v>
      </c>
      <c r="G661" t="s">
        <v>2777</v>
      </c>
    </row>
    <row r="662" spans="1:7" x14ac:dyDescent="0.25">
      <c r="A662" s="22" t="s">
        <v>2364</v>
      </c>
      <c r="B662" t="s">
        <v>854</v>
      </c>
      <c r="C662" t="s">
        <v>941</v>
      </c>
      <c r="D662">
        <v>4</v>
      </c>
      <c r="E662" t="s">
        <v>2710</v>
      </c>
      <c r="F662" t="s">
        <v>2776</v>
      </c>
      <c r="G662" t="s">
        <v>2777</v>
      </c>
    </row>
    <row r="663" spans="1:7" x14ac:dyDescent="0.25">
      <c r="A663" s="22" t="s">
        <v>2364</v>
      </c>
      <c r="B663" t="s">
        <v>854</v>
      </c>
      <c r="C663" t="s">
        <v>916</v>
      </c>
      <c r="D663">
        <v>3</v>
      </c>
      <c r="E663" t="s">
        <v>1672</v>
      </c>
      <c r="F663" t="s">
        <v>2776</v>
      </c>
      <c r="G663" t="s">
        <v>2777</v>
      </c>
    </row>
    <row r="664" spans="1:7" x14ac:dyDescent="0.25">
      <c r="A664" s="22" t="s">
        <v>2364</v>
      </c>
      <c r="B664" t="s">
        <v>854</v>
      </c>
      <c r="C664" t="s">
        <v>1565</v>
      </c>
      <c r="D664">
        <v>2</v>
      </c>
      <c r="E664" t="s">
        <v>2543</v>
      </c>
      <c r="F664" t="s">
        <v>2776</v>
      </c>
      <c r="G664" t="s">
        <v>2777</v>
      </c>
    </row>
    <row r="665" spans="1:7" x14ac:dyDescent="0.25">
      <c r="A665" s="22" t="s">
        <v>2364</v>
      </c>
      <c r="B665" t="s">
        <v>854</v>
      </c>
      <c r="C665" t="s">
        <v>1025</v>
      </c>
      <c r="D665">
        <v>6</v>
      </c>
      <c r="E665" t="s">
        <v>1732</v>
      </c>
      <c r="F665" t="s">
        <v>2780</v>
      </c>
      <c r="G665" t="s">
        <v>2781</v>
      </c>
    </row>
    <row r="666" spans="1:7" x14ac:dyDescent="0.25">
      <c r="A666" s="22" t="s">
        <v>2364</v>
      </c>
      <c r="B666" t="s">
        <v>706</v>
      </c>
      <c r="C666" t="s">
        <v>1557</v>
      </c>
      <c r="D666">
        <v>80</v>
      </c>
      <c r="E666" t="s">
        <v>1758</v>
      </c>
      <c r="F666" t="s">
        <v>2774</v>
      </c>
      <c r="G666" t="s">
        <v>2775</v>
      </c>
    </row>
    <row r="667" spans="1:7" x14ac:dyDescent="0.25">
      <c r="A667" s="22" t="s">
        <v>2364</v>
      </c>
      <c r="B667" t="s">
        <v>706</v>
      </c>
      <c r="C667" t="s">
        <v>916</v>
      </c>
      <c r="D667">
        <v>8</v>
      </c>
      <c r="E667" t="s">
        <v>1759</v>
      </c>
      <c r="F667" t="s">
        <v>2776</v>
      </c>
      <c r="G667" t="s">
        <v>2777</v>
      </c>
    </row>
    <row r="668" spans="1:7" x14ac:dyDescent="0.25">
      <c r="A668" s="22" t="s">
        <v>2364</v>
      </c>
      <c r="B668" t="s">
        <v>706</v>
      </c>
      <c r="C668" t="s">
        <v>1138</v>
      </c>
      <c r="D668">
        <v>6</v>
      </c>
      <c r="E668" t="s">
        <v>1760</v>
      </c>
      <c r="F668" t="s">
        <v>2776</v>
      </c>
      <c r="G668" t="s">
        <v>2777</v>
      </c>
    </row>
    <row r="669" spans="1:7" x14ac:dyDescent="0.25">
      <c r="A669" s="22" t="s">
        <v>2364</v>
      </c>
      <c r="B669" t="s">
        <v>706</v>
      </c>
      <c r="C669" t="s">
        <v>22</v>
      </c>
      <c r="D669">
        <v>2</v>
      </c>
      <c r="E669" t="s">
        <v>1761</v>
      </c>
      <c r="F669" t="s">
        <v>2776</v>
      </c>
      <c r="G669" t="s">
        <v>2777</v>
      </c>
    </row>
    <row r="670" spans="1:7" x14ac:dyDescent="0.25">
      <c r="A670" s="22" t="s">
        <v>2364</v>
      </c>
      <c r="B670" t="s">
        <v>706</v>
      </c>
      <c r="C670" t="s">
        <v>941</v>
      </c>
      <c r="D670">
        <v>2</v>
      </c>
      <c r="E670" t="s">
        <v>2710</v>
      </c>
      <c r="F670" t="s">
        <v>2776</v>
      </c>
      <c r="G670" t="s">
        <v>2777</v>
      </c>
    </row>
    <row r="671" spans="1:7" x14ac:dyDescent="0.25">
      <c r="A671" s="22" t="s">
        <v>2364</v>
      </c>
      <c r="B671" t="s">
        <v>706</v>
      </c>
      <c r="C671" t="s">
        <v>1565</v>
      </c>
      <c r="D671">
        <v>2</v>
      </c>
      <c r="E671" t="s">
        <v>2543</v>
      </c>
      <c r="F671" t="s">
        <v>2776</v>
      </c>
      <c r="G671" t="s">
        <v>2777</v>
      </c>
    </row>
    <row r="672" spans="1:7" x14ac:dyDescent="0.25">
      <c r="A672" s="22" t="s">
        <v>2364</v>
      </c>
      <c r="B672" t="s">
        <v>730</v>
      </c>
      <c r="C672" t="s">
        <v>1557</v>
      </c>
      <c r="D672">
        <v>80</v>
      </c>
      <c r="E672" t="s">
        <v>2455</v>
      </c>
      <c r="F672" t="s">
        <v>2774</v>
      </c>
      <c r="G672" t="s">
        <v>2775</v>
      </c>
    </row>
    <row r="673" spans="1:7" x14ac:dyDescent="0.25">
      <c r="A673" s="22" t="s">
        <v>2364</v>
      </c>
      <c r="B673" t="s">
        <v>730</v>
      </c>
      <c r="C673" t="s">
        <v>916</v>
      </c>
      <c r="D673">
        <v>4</v>
      </c>
      <c r="E673" t="s">
        <v>1759</v>
      </c>
      <c r="F673" t="s">
        <v>2776</v>
      </c>
      <c r="G673" t="s">
        <v>2777</v>
      </c>
    </row>
    <row r="674" spans="1:7" x14ac:dyDescent="0.25">
      <c r="A674" s="22" t="s">
        <v>2364</v>
      </c>
      <c r="B674" t="s">
        <v>730</v>
      </c>
      <c r="C674" t="s">
        <v>1138</v>
      </c>
      <c r="D674">
        <v>11</v>
      </c>
      <c r="E674" t="s">
        <v>2456</v>
      </c>
      <c r="F674" t="s">
        <v>2776</v>
      </c>
      <c r="G674" t="s">
        <v>2777</v>
      </c>
    </row>
    <row r="675" spans="1:7" x14ac:dyDescent="0.25">
      <c r="A675" s="22" t="s">
        <v>2364</v>
      </c>
      <c r="B675" t="s">
        <v>730</v>
      </c>
      <c r="C675" t="s">
        <v>22</v>
      </c>
      <c r="D675">
        <v>2</v>
      </c>
      <c r="E675" t="s">
        <v>1761</v>
      </c>
      <c r="F675" t="s">
        <v>2776</v>
      </c>
      <c r="G675" t="s">
        <v>2777</v>
      </c>
    </row>
    <row r="676" spans="1:7" x14ac:dyDescent="0.25">
      <c r="A676" s="22" t="s">
        <v>2364</v>
      </c>
      <c r="B676" t="s">
        <v>730</v>
      </c>
      <c r="C676" t="s">
        <v>1565</v>
      </c>
      <c r="D676">
        <v>3</v>
      </c>
      <c r="E676" t="s">
        <v>2543</v>
      </c>
      <c r="F676" t="s">
        <v>2776</v>
      </c>
      <c r="G676" t="s">
        <v>2777</v>
      </c>
    </row>
    <row r="677" spans="1:7" x14ac:dyDescent="0.25">
      <c r="A677" s="22" t="s">
        <v>2364</v>
      </c>
      <c r="B677" t="s">
        <v>732</v>
      </c>
      <c r="C677" t="s">
        <v>1557</v>
      </c>
      <c r="D677">
        <v>76</v>
      </c>
      <c r="E677" t="s">
        <v>1764</v>
      </c>
      <c r="F677" t="s">
        <v>2774</v>
      </c>
      <c r="G677" t="s">
        <v>2775</v>
      </c>
    </row>
    <row r="678" spans="1:7" x14ac:dyDescent="0.25">
      <c r="A678" s="22" t="s">
        <v>2364</v>
      </c>
      <c r="B678" t="s">
        <v>732</v>
      </c>
      <c r="C678" t="s">
        <v>916</v>
      </c>
      <c r="D678">
        <v>6</v>
      </c>
      <c r="E678" t="s">
        <v>1759</v>
      </c>
      <c r="F678" t="s">
        <v>2776</v>
      </c>
      <c r="G678" t="s">
        <v>2777</v>
      </c>
    </row>
    <row r="679" spans="1:7" x14ac:dyDescent="0.25">
      <c r="A679" s="22" t="s">
        <v>2364</v>
      </c>
      <c r="B679" t="s">
        <v>732</v>
      </c>
      <c r="C679" t="s">
        <v>1033</v>
      </c>
      <c r="D679">
        <v>10</v>
      </c>
      <c r="E679" t="s">
        <v>1765</v>
      </c>
      <c r="F679" t="s">
        <v>2776</v>
      </c>
      <c r="G679" t="s">
        <v>2777</v>
      </c>
    </row>
    <row r="680" spans="1:7" x14ac:dyDescent="0.25">
      <c r="A680" s="22" t="s">
        <v>2364</v>
      </c>
      <c r="B680" t="s">
        <v>732</v>
      </c>
      <c r="C680" t="s">
        <v>1138</v>
      </c>
      <c r="D680">
        <v>4</v>
      </c>
      <c r="E680" t="s">
        <v>1766</v>
      </c>
      <c r="F680" t="s">
        <v>2776</v>
      </c>
      <c r="G680" t="s">
        <v>2777</v>
      </c>
    </row>
    <row r="681" spans="1:7" x14ac:dyDescent="0.25">
      <c r="A681" s="22" t="s">
        <v>2364</v>
      </c>
      <c r="B681" t="s">
        <v>732</v>
      </c>
      <c r="C681" t="s">
        <v>22</v>
      </c>
      <c r="D681">
        <v>2</v>
      </c>
      <c r="E681" t="s">
        <v>1761</v>
      </c>
      <c r="F681" t="s">
        <v>2776</v>
      </c>
      <c r="G681" t="s">
        <v>2777</v>
      </c>
    </row>
    <row r="682" spans="1:7" x14ac:dyDescent="0.25">
      <c r="A682" s="22" t="s">
        <v>2364</v>
      </c>
      <c r="B682" t="s">
        <v>732</v>
      </c>
      <c r="C682" t="s">
        <v>1565</v>
      </c>
      <c r="D682">
        <v>2</v>
      </c>
      <c r="E682" t="s">
        <v>2543</v>
      </c>
      <c r="F682" t="s">
        <v>2776</v>
      </c>
      <c r="G682" t="s">
        <v>2777</v>
      </c>
    </row>
    <row r="683" spans="1:7" x14ac:dyDescent="0.25">
      <c r="A683" s="22" t="s">
        <v>2364</v>
      </c>
      <c r="B683" t="s">
        <v>710</v>
      </c>
      <c r="C683" t="s">
        <v>2374</v>
      </c>
      <c r="D683">
        <v>74</v>
      </c>
      <c r="E683" t="s">
        <v>1480</v>
      </c>
      <c r="F683" t="s">
        <v>2774</v>
      </c>
      <c r="G683" t="s">
        <v>2775</v>
      </c>
    </row>
    <row r="684" spans="1:7" x14ac:dyDescent="0.25">
      <c r="A684" s="22" t="s">
        <v>2364</v>
      </c>
      <c r="B684" t="s">
        <v>710</v>
      </c>
      <c r="C684" t="s">
        <v>698</v>
      </c>
      <c r="D684">
        <v>12</v>
      </c>
      <c r="E684" t="s">
        <v>1481</v>
      </c>
      <c r="F684" t="s">
        <v>2774</v>
      </c>
      <c r="G684" t="s">
        <v>2775</v>
      </c>
    </row>
    <row r="685" spans="1:7" x14ac:dyDescent="0.25">
      <c r="A685" s="22" t="s">
        <v>2364</v>
      </c>
      <c r="B685" t="s">
        <v>710</v>
      </c>
      <c r="C685" t="s">
        <v>1483</v>
      </c>
      <c r="D685">
        <v>6</v>
      </c>
      <c r="E685" t="s">
        <v>1484</v>
      </c>
      <c r="F685" t="s">
        <v>2776</v>
      </c>
      <c r="G685" t="s">
        <v>2777</v>
      </c>
    </row>
    <row r="686" spans="1:7" x14ac:dyDescent="0.25">
      <c r="A686" s="22" t="s">
        <v>2364</v>
      </c>
      <c r="B686" t="s">
        <v>710</v>
      </c>
      <c r="C686" t="s">
        <v>18</v>
      </c>
      <c r="D686">
        <v>4</v>
      </c>
      <c r="E686" t="s">
        <v>1486</v>
      </c>
      <c r="F686" t="s">
        <v>2776</v>
      </c>
      <c r="G686" t="s">
        <v>2777</v>
      </c>
    </row>
    <row r="687" spans="1:7" x14ac:dyDescent="0.25">
      <c r="A687" s="22" t="s">
        <v>2364</v>
      </c>
      <c r="B687" t="s">
        <v>710</v>
      </c>
      <c r="C687" t="s">
        <v>941</v>
      </c>
      <c r="D687">
        <v>4</v>
      </c>
      <c r="E687" t="s">
        <v>1466</v>
      </c>
      <c r="F687" t="s">
        <v>2776</v>
      </c>
      <c r="G687" t="s">
        <v>2777</v>
      </c>
    </row>
    <row r="688" spans="1:7" x14ac:dyDescent="0.25">
      <c r="A688" s="22" t="s">
        <v>2364</v>
      </c>
      <c r="B688" t="s">
        <v>704</v>
      </c>
      <c r="C688" t="s">
        <v>941</v>
      </c>
      <c r="D688">
        <v>90</v>
      </c>
      <c r="E688" t="s">
        <v>1615</v>
      </c>
      <c r="F688" t="s">
        <v>2774</v>
      </c>
      <c r="G688" t="s">
        <v>2775</v>
      </c>
    </row>
    <row r="689" spans="1:7" x14ac:dyDescent="0.25">
      <c r="A689" s="22" t="s">
        <v>2364</v>
      </c>
      <c r="B689" t="s">
        <v>704</v>
      </c>
      <c r="C689" t="s">
        <v>1483</v>
      </c>
      <c r="D689">
        <v>5</v>
      </c>
      <c r="E689" t="s">
        <v>1616</v>
      </c>
      <c r="F689" t="s">
        <v>2776</v>
      </c>
      <c r="G689" t="s">
        <v>2777</v>
      </c>
    </row>
    <row r="690" spans="1:7" x14ac:dyDescent="0.25">
      <c r="A690" s="22" t="s">
        <v>2364</v>
      </c>
      <c r="B690" t="s">
        <v>704</v>
      </c>
      <c r="C690" t="s">
        <v>1033</v>
      </c>
      <c r="D690">
        <v>3</v>
      </c>
      <c r="E690" t="s">
        <v>1587</v>
      </c>
      <c r="F690" t="s">
        <v>2776</v>
      </c>
      <c r="G690" t="s">
        <v>2777</v>
      </c>
    </row>
    <row r="691" spans="1:7" x14ac:dyDescent="0.25">
      <c r="A691" s="22" t="s">
        <v>2364</v>
      </c>
      <c r="B691" t="s">
        <v>704</v>
      </c>
      <c r="C691" t="s">
        <v>2374</v>
      </c>
      <c r="D691">
        <v>2</v>
      </c>
      <c r="E691" t="s">
        <v>1589</v>
      </c>
      <c r="F691" t="s">
        <v>2776</v>
      </c>
      <c r="G691" t="s">
        <v>2777</v>
      </c>
    </row>
    <row r="692" spans="1:7" x14ac:dyDescent="0.25">
      <c r="A692" s="22" t="s">
        <v>2364</v>
      </c>
      <c r="B692" t="s">
        <v>824</v>
      </c>
      <c r="C692" t="s">
        <v>941</v>
      </c>
      <c r="D692">
        <v>82</v>
      </c>
      <c r="E692" t="s">
        <v>1619</v>
      </c>
      <c r="F692" t="s">
        <v>2774</v>
      </c>
      <c r="G692" t="s">
        <v>2775</v>
      </c>
    </row>
    <row r="693" spans="1:7" x14ac:dyDescent="0.25">
      <c r="A693" s="22" t="s">
        <v>2364</v>
      </c>
      <c r="B693" t="s">
        <v>824</v>
      </c>
      <c r="C693" t="s">
        <v>1483</v>
      </c>
      <c r="D693">
        <v>8</v>
      </c>
      <c r="E693" t="s">
        <v>1621</v>
      </c>
      <c r="F693" t="s">
        <v>2776</v>
      </c>
      <c r="G693" t="s">
        <v>2777</v>
      </c>
    </row>
    <row r="694" spans="1:7" x14ac:dyDescent="0.25">
      <c r="A694" s="22" t="s">
        <v>2364</v>
      </c>
      <c r="B694" t="s">
        <v>824</v>
      </c>
      <c r="C694" t="s">
        <v>1033</v>
      </c>
      <c r="D694">
        <v>5</v>
      </c>
      <c r="E694" t="s">
        <v>1587</v>
      </c>
      <c r="F694" t="s">
        <v>2776</v>
      </c>
      <c r="G694" t="s">
        <v>2777</v>
      </c>
    </row>
    <row r="695" spans="1:7" x14ac:dyDescent="0.25">
      <c r="A695" s="22" t="s">
        <v>2364</v>
      </c>
      <c r="B695" t="s">
        <v>824</v>
      </c>
      <c r="C695" t="s">
        <v>2374</v>
      </c>
      <c r="D695">
        <v>5</v>
      </c>
      <c r="E695" t="s">
        <v>1589</v>
      </c>
      <c r="F695" t="s">
        <v>2776</v>
      </c>
      <c r="G695" t="s">
        <v>2777</v>
      </c>
    </row>
    <row r="696" spans="1:7" x14ac:dyDescent="0.25">
      <c r="A696" s="22" t="s">
        <v>2364</v>
      </c>
      <c r="B696" t="s">
        <v>682</v>
      </c>
      <c r="C696" t="s">
        <v>1483</v>
      </c>
      <c r="D696">
        <v>50</v>
      </c>
      <c r="E696" t="s">
        <v>1627</v>
      </c>
      <c r="F696" t="s">
        <v>2774</v>
      </c>
      <c r="G696" t="s">
        <v>2775</v>
      </c>
    </row>
    <row r="697" spans="1:7" x14ac:dyDescent="0.25">
      <c r="A697" s="22" t="s">
        <v>2364</v>
      </c>
      <c r="B697" t="s">
        <v>682</v>
      </c>
      <c r="C697" t="s">
        <v>941</v>
      </c>
      <c r="D697">
        <v>40</v>
      </c>
      <c r="E697" t="s">
        <v>1628</v>
      </c>
      <c r="F697" t="s">
        <v>2774</v>
      </c>
      <c r="G697" t="s">
        <v>2775</v>
      </c>
    </row>
    <row r="698" spans="1:7" x14ac:dyDescent="0.25">
      <c r="A698" s="22" t="s">
        <v>2364</v>
      </c>
      <c r="B698" t="s">
        <v>682</v>
      </c>
      <c r="C698" t="s">
        <v>2374</v>
      </c>
      <c r="D698">
        <v>6</v>
      </c>
      <c r="E698" t="s">
        <v>1629</v>
      </c>
      <c r="F698" t="s">
        <v>2776</v>
      </c>
      <c r="G698" t="s">
        <v>2777</v>
      </c>
    </row>
    <row r="699" spans="1:7" x14ac:dyDescent="0.25">
      <c r="A699" s="22" t="s">
        <v>2364</v>
      </c>
      <c r="B699" t="s">
        <v>682</v>
      </c>
      <c r="C699" t="s">
        <v>1033</v>
      </c>
      <c r="D699">
        <v>4</v>
      </c>
      <c r="E699" t="s">
        <v>1611</v>
      </c>
      <c r="F699" t="s">
        <v>2776</v>
      </c>
      <c r="G699" t="s">
        <v>2777</v>
      </c>
    </row>
    <row r="700" spans="1:7" x14ac:dyDescent="0.25">
      <c r="A700" s="22" t="s">
        <v>2364</v>
      </c>
      <c r="B700" t="s">
        <v>827</v>
      </c>
      <c r="C700" t="s">
        <v>1483</v>
      </c>
      <c r="D700">
        <v>58</v>
      </c>
      <c r="E700" t="s">
        <v>1633</v>
      </c>
      <c r="F700" t="s">
        <v>2774</v>
      </c>
      <c r="G700" t="s">
        <v>2775</v>
      </c>
    </row>
    <row r="701" spans="1:7" x14ac:dyDescent="0.25">
      <c r="A701" s="22" t="s">
        <v>2364</v>
      </c>
      <c r="B701" t="s">
        <v>827</v>
      </c>
      <c r="C701" t="s">
        <v>2374</v>
      </c>
      <c r="D701">
        <v>22</v>
      </c>
      <c r="E701" t="s">
        <v>1097</v>
      </c>
      <c r="F701" t="s">
        <v>2774</v>
      </c>
      <c r="G701" t="s">
        <v>2775</v>
      </c>
    </row>
    <row r="702" spans="1:7" x14ac:dyDescent="0.25">
      <c r="A702" s="22" t="s">
        <v>2364</v>
      </c>
      <c r="B702" t="s">
        <v>827</v>
      </c>
      <c r="C702" t="s">
        <v>941</v>
      </c>
      <c r="D702">
        <v>16</v>
      </c>
      <c r="E702" t="s">
        <v>1636</v>
      </c>
      <c r="F702" t="s">
        <v>2774</v>
      </c>
      <c r="G702" t="s">
        <v>2775</v>
      </c>
    </row>
    <row r="703" spans="1:7" x14ac:dyDescent="0.25">
      <c r="A703" s="22" t="s">
        <v>2364</v>
      </c>
      <c r="B703" t="s">
        <v>827</v>
      </c>
      <c r="C703" t="s">
        <v>1033</v>
      </c>
      <c r="D703">
        <v>4</v>
      </c>
      <c r="E703" t="s">
        <v>1638</v>
      </c>
      <c r="F703" t="s">
        <v>2776</v>
      </c>
      <c r="G703" t="s">
        <v>2777</v>
      </c>
    </row>
    <row r="704" spans="1:7" x14ac:dyDescent="0.25">
      <c r="A704" s="22" t="s">
        <v>2364</v>
      </c>
      <c r="B704" t="s">
        <v>830</v>
      </c>
      <c r="C704" t="s">
        <v>941</v>
      </c>
      <c r="D704">
        <v>85</v>
      </c>
      <c r="E704" t="s">
        <v>1642</v>
      </c>
      <c r="F704" t="s">
        <v>2774</v>
      </c>
      <c r="G704" t="s">
        <v>2775</v>
      </c>
    </row>
    <row r="705" spans="1:7" x14ac:dyDescent="0.25">
      <c r="A705" s="22" t="s">
        <v>2364</v>
      </c>
      <c r="B705" t="s">
        <v>830</v>
      </c>
      <c r="C705" t="s">
        <v>1483</v>
      </c>
      <c r="D705">
        <v>7</v>
      </c>
      <c r="E705" t="s">
        <v>1621</v>
      </c>
      <c r="F705" t="s">
        <v>2776</v>
      </c>
      <c r="G705" t="s">
        <v>2777</v>
      </c>
    </row>
    <row r="706" spans="1:7" x14ac:dyDescent="0.25">
      <c r="A706" s="22" t="s">
        <v>2364</v>
      </c>
      <c r="B706" t="s">
        <v>830</v>
      </c>
      <c r="C706" t="s">
        <v>2374</v>
      </c>
      <c r="D706">
        <v>5</v>
      </c>
      <c r="E706" t="s">
        <v>1589</v>
      </c>
      <c r="F706" t="s">
        <v>2776</v>
      </c>
      <c r="G706" t="s">
        <v>2777</v>
      </c>
    </row>
    <row r="707" spans="1:7" x14ac:dyDescent="0.25">
      <c r="A707" s="22" t="s">
        <v>2364</v>
      </c>
      <c r="B707" t="s">
        <v>830</v>
      </c>
      <c r="C707" t="s">
        <v>1033</v>
      </c>
      <c r="D707">
        <v>3</v>
      </c>
      <c r="E707" t="s">
        <v>1587</v>
      </c>
      <c r="F707" t="s">
        <v>2776</v>
      </c>
      <c r="G707" t="s">
        <v>2777</v>
      </c>
    </row>
    <row r="708" spans="1:7" x14ac:dyDescent="0.25">
      <c r="A708" s="22" t="s">
        <v>2364</v>
      </c>
      <c r="B708" t="s">
        <v>832</v>
      </c>
      <c r="C708" t="s">
        <v>941</v>
      </c>
      <c r="D708">
        <v>88</v>
      </c>
      <c r="E708" t="s">
        <v>1644</v>
      </c>
      <c r="F708" t="s">
        <v>2774</v>
      </c>
      <c r="G708" t="s">
        <v>2775</v>
      </c>
    </row>
    <row r="709" spans="1:7" x14ac:dyDescent="0.25">
      <c r="A709" s="22" t="s">
        <v>2364</v>
      </c>
      <c r="B709" t="s">
        <v>832</v>
      </c>
      <c r="C709" t="s">
        <v>1483</v>
      </c>
      <c r="D709">
        <v>6</v>
      </c>
      <c r="E709" t="s">
        <v>1646</v>
      </c>
      <c r="F709" t="s">
        <v>2776</v>
      </c>
      <c r="G709" t="s">
        <v>2777</v>
      </c>
    </row>
    <row r="710" spans="1:7" x14ac:dyDescent="0.25">
      <c r="A710" s="22" t="s">
        <v>2364</v>
      </c>
      <c r="B710" t="s">
        <v>832</v>
      </c>
      <c r="C710" t="s">
        <v>1033</v>
      </c>
      <c r="D710">
        <v>6</v>
      </c>
      <c r="E710" t="s">
        <v>1587</v>
      </c>
      <c r="F710" t="s">
        <v>2776</v>
      </c>
      <c r="G710" t="s">
        <v>2777</v>
      </c>
    </row>
    <row r="711" spans="1:7" x14ac:dyDescent="0.25">
      <c r="A711" s="22" t="s">
        <v>2364</v>
      </c>
      <c r="B711" t="s">
        <v>708</v>
      </c>
      <c r="C711" t="s">
        <v>941</v>
      </c>
      <c r="D711">
        <v>88</v>
      </c>
      <c r="E711" t="s">
        <v>1647</v>
      </c>
      <c r="F711" t="s">
        <v>2774</v>
      </c>
      <c r="G711" t="s">
        <v>2775</v>
      </c>
    </row>
    <row r="712" spans="1:7" x14ac:dyDescent="0.25">
      <c r="A712" s="22" t="s">
        <v>2364</v>
      </c>
      <c r="B712" t="s">
        <v>708</v>
      </c>
      <c r="C712" t="s">
        <v>1483</v>
      </c>
      <c r="D712">
        <v>6</v>
      </c>
      <c r="E712" t="s">
        <v>1646</v>
      </c>
      <c r="F712" t="s">
        <v>2776</v>
      </c>
      <c r="G712" t="s">
        <v>2777</v>
      </c>
    </row>
    <row r="713" spans="1:7" x14ac:dyDescent="0.25">
      <c r="A713" s="22" t="s">
        <v>2364</v>
      </c>
      <c r="B713" t="s">
        <v>708</v>
      </c>
      <c r="C713" t="s">
        <v>1033</v>
      </c>
      <c r="D713">
        <v>6</v>
      </c>
      <c r="E713" t="s">
        <v>1587</v>
      </c>
      <c r="F713" t="s">
        <v>2776</v>
      </c>
      <c r="G713" t="s">
        <v>2777</v>
      </c>
    </row>
    <row r="714" spans="1:7" x14ac:dyDescent="0.25">
      <c r="A714" s="22" t="s">
        <v>2364</v>
      </c>
      <c r="B714" t="s">
        <v>835</v>
      </c>
      <c r="C714" t="s">
        <v>941</v>
      </c>
      <c r="D714">
        <v>90</v>
      </c>
      <c r="E714" t="s">
        <v>2493</v>
      </c>
      <c r="F714" t="s">
        <v>2774</v>
      </c>
      <c r="G714" t="s">
        <v>2775</v>
      </c>
    </row>
    <row r="715" spans="1:7" x14ac:dyDescent="0.25">
      <c r="A715" s="22" t="s">
        <v>2364</v>
      </c>
      <c r="B715" t="s">
        <v>835</v>
      </c>
      <c r="C715" t="s">
        <v>1483</v>
      </c>
      <c r="D715">
        <v>6</v>
      </c>
      <c r="E715" t="s">
        <v>2706</v>
      </c>
      <c r="F715" t="s">
        <v>2776</v>
      </c>
      <c r="G715" t="s">
        <v>2777</v>
      </c>
    </row>
    <row r="716" spans="1:7" x14ac:dyDescent="0.25">
      <c r="A716" s="22" t="s">
        <v>2364</v>
      </c>
      <c r="B716" t="s">
        <v>835</v>
      </c>
      <c r="C716" t="s">
        <v>1033</v>
      </c>
      <c r="D716">
        <v>4</v>
      </c>
      <c r="E716" t="s">
        <v>1587</v>
      </c>
      <c r="F716" t="s">
        <v>2776</v>
      </c>
      <c r="G716" t="s">
        <v>2777</v>
      </c>
    </row>
    <row r="717" spans="1:7" x14ac:dyDescent="0.25">
      <c r="A717" s="22" t="s">
        <v>2364</v>
      </c>
      <c r="B717" t="s">
        <v>684</v>
      </c>
      <c r="C717" t="s">
        <v>941</v>
      </c>
      <c r="D717">
        <v>89</v>
      </c>
      <c r="E717" t="s">
        <v>2711</v>
      </c>
      <c r="F717" t="s">
        <v>2774</v>
      </c>
      <c r="G717" t="s">
        <v>2775</v>
      </c>
    </row>
    <row r="718" spans="1:7" x14ac:dyDescent="0.25">
      <c r="A718" s="22" t="s">
        <v>2364</v>
      </c>
      <c r="B718" t="s">
        <v>684</v>
      </c>
      <c r="C718" t="s">
        <v>1483</v>
      </c>
      <c r="D718">
        <v>7</v>
      </c>
      <c r="E718" t="s">
        <v>2712</v>
      </c>
      <c r="F718" t="s">
        <v>2776</v>
      </c>
      <c r="G718" t="s">
        <v>2777</v>
      </c>
    </row>
    <row r="719" spans="1:7" x14ac:dyDescent="0.25">
      <c r="A719" s="22" t="s">
        <v>2364</v>
      </c>
      <c r="B719" t="s">
        <v>684</v>
      </c>
      <c r="C719" t="s">
        <v>1033</v>
      </c>
      <c r="D719">
        <v>4</v>
      </c>
      <c r="E719" t="s">
        <v>1587</v>
      </c>
      <c r="F719" t="s">
        <v>2776</v>
      </c>
      <c r="G719" t="s">
        <v>2777</v>
      </c>
    </row>
    <row r="720" spans="1:7" x14ac:dyDescent="0.25">
      <c r="A720" s="22" t="s">
        <v>2364</v>
      </c>
      <c r="B720" t="s">
        <v>686</v>
      </c>
      <c r="C720" t="s">
        <v>1033</v>
      </c>
      <c r="D720">
        <v>90</v>
      </c>
      <c r="E720" t="s">
        <v>2448</v>
      </c>
      <c r="F720" t="s">
        <v>2774</v>
      </c>
      <c r="G720" t="s">
        <v>2775</v>
      </c>
    </row>
    <row r="721" spans="1:7" x14ac:dyDescent="0.25">
      <c r="A721" s="22" t="s">
        <v>2364</v>
      </c>
      <c r="B721" t="s">
        <v>686</v>
      </c>
      <c r="C721" t="s">
        <v>941</v>
      </c>
      <c r="D721">
        <v>4</v>
      </c>
      <c r="E721" t="s">
        <v>2713</v>
      </c>
      <c r="F721" t="s">
        <v>2776</v>
      </c>
      <c r="G721" t="s">
        <v>2777</v>
      </c>
    </row>
    <row r="722" spans="1:7" x14ac:dyDescent="0.25">
      <c r="A722" s="22" t="s">
        <v>2364</v>
      </c>
      <c r="B722" t="s">
        <v>686</v>
      </c>
      <c r="C722" t="s">
        <v>1557</v>
      </c>
      <c r="D722">
        <v>4</v>
      </c>
      <c r="E722" t="s">
        <v>1667</v>
      </c>
      <c r="F722" t="s">
        <v>2776</v>
      </c>
      <c r="G722" t="s">
        <v>2777</v>
      </c>
    </row>
    <row r="723" spans="1:7" x14ac:dyDescent="0.25">
      <c r="A723" s="22" t="s">
        <v>2364</v>
      </c>
      <c r="B723" t="s">
        <v>686</v>
      </c>
      <c r="C723" t="s">
        <v>1138</v>
      </c>
      <c r="D723">
        <v>2</v>
      </c>
      <c r="E723" t="s">
        <v>1668</v>
      </c>
      <c r="F723" t="s">
        <v>2776</v>
      </c>
      <c r="G723" t="s">
        <v>2777</v>
      </c>
    </row>
    <row r="724" spans="1:7" x14ac:dyDescent="0.25">
      <c r="A724" s="22" t="s">
        <v>2364</v>
      </c>
      <c r="B724" t="s">
        <v>838</v>
      </c>
      <c r="C724" t="s">
        <v>1033</v>
      </c>
      <c r="D724">
        <v>70</v>
      </c>
      <c r="E724" t="s">
        <v>1679</v>
      </c>
      <c r="F724" t="s">
        <v>2774</v>
      </c>
      <c r="G724" t="s">
        <v>2775</v>
      </c>
    </row>
    <row r="725" spans="1:7" x14ac:dyDescent="0.25">
      <c r="A725" s="22" t="s">
        <v>2364</v>
      </c>
      <c r="B725" t="s">
        <v>838</v>
      </c>
      <c r="C725" t="s">
        <v>1483</v>
      </c>
      <c r="D725">
        <v>12</v>
      </c>
      <c r="E725" t="s">
        <v>2457</v>
      </c>
      <c r="F725" t="s">
        <v>2776</v>
      </c>
      <c r="G725" t="s">
        <v>2777</v>
      </c>
    </row>
    <row r="726" spans="1:7" x14ac:dyDescent="0.25">
      <c r="A726" s="22" t="s">
        <v>2364</v>
      </c>
      <c r="B726" t="s">
        <v>838</v>
      </c>
      <c r="C726" t="s">
        <v>1557</v>
      </c>
      <c r="D726">
        <v>8</v>
      </c>
      <c r="E726" t="s">
        <v>2458</v>
      </c>
      <c r="F726" t="s">
        <v>2776</v>
      </c>
      <c r="G726" t="s">
        <v>2777</v>
      </c>
    </row>
    <row r="727" spans="1:7" x14ac:dyDescent="0.25">
      <c r="A727" s="22" t="s">
        <v>2364</v>
      </c>
      <c r="B727" t="s">
        <v>838</v>
      </c>
      <c r="C727" t="s">
        <v>941</v>
      </c>
      <c r="D727">
        <v>6</v>
      </c>
      <c r="E727" t="s">
        <v>2714</v>
      </c>
      <c r="F727" t="s">
        <v>2776</v>
      </c>
      <c r="G727" t="s">
        <v>2777</v>
      </c>
    </row>
    <row r="728" spans="1:7" x14ac:dyDescent="0.25">
      <c r="A728" s="22" t="s">
        <v>2364</v>
      </c>
      <c r="B728" t="s">
        <v>838</v>
      </c>
      <c r="C728" t="s">
        <v>1138</v>
      </c>
      <c r="D728">
        <v>4</v>
      </c>
      <c r="E728" t="s">
        <v>1683</v>
      </c>
      <c r="F728" t="s">
        <v>2776</v>
      </c>
      <c r="G728" t="s">
        <v>2777</v>
      </c>
    </row>
    <row r="729" spans="1:7" x14ac:dyDescent="0.25">
      <c r="A729" s="22" t="s">
        <v>2364</v>
      </c>
      <c r="B729" t="s">
        <v>841</v>
      </c>
      <c r="C729" t="s">
        <v>1033</v>
      </c>
      <c r="D729">
        <v>90</v>
      </c>
      <c r="E729" t="s">
        <v>2459</v>
      </c>
      <c r="F729" t="s">
        <v>2774</v>
      </c>
      <c r="G729" t="s">
        <v>2775</v>
      </c>
    </row>
    <row r="730" spans="1:7" x14ac:dyDescent="0.25">
      <c r="A730" s="22" t="s">
        <v>2364</v>
      </c>
      <c r="B730" t="s">
        <v>841</v>
      </c>
      <c r="C730" t="s">
        <v>941</v>
      </c>
      <c r="D730">
        <v>4</v>
      </c>
      <c r="E730" t="s">
        <v>2715</v>
      </c>
      <c r="F730" t="s">
        <v>2776</v>
      </c>
      <c r="G730" t="s">
        <v>2777</v>
      </c>
    </row>
    <row r="731" spans="1:7" x14ac:dyDescent="0.25">
      <c r="A731" s="22" t="s">
        <v>2364</v>
      </c>
      <c r="B731" t="s">
        <v>841</v>
      </c>
      <c r="C731" t="s">
        <v>1557</v>
      </c>
      <c r="D731">
        <v>4</v>
      </c>
      <c r="E731" t="s">
        <v>1667</v>
      </c>
      <c r="F731" t="s">
        <v>2776</v>
      </c>
      <c r="G731" t="s">
        <v>2777</v>
      </c>
    </row>
    <row r="732" spans="1:7" x14ac:dyDescent="0.25">
      <c r="A732" s="22" t="s">
        <v>2364</v>
      </c>
      <c r="B732" t="s">
        <v>841</v>
      </c>
      <c r="C732" t="s">
        <v>1138</v>
      </c>
      <c r="D732">
        <v>2</v>
      </c>
      <c r="E732" t="s">
        <v>1668</v>
      </c>
      <c r="F732" t="s">
        <v>2776</v>
      </c>
      <c r="G732" t="s">
        <v>2777</v>
      </c>
    </row>
    <row r="733" spans="1:7" x14ac:dyDescent="0.25">
      <c r="A733" s="22" t="s">
        <v>2364</v>
      </c>
      <c r="B733" t="s">
        <v>844</v>
      </c>
      <c r="C733" t="s">
        <v>1033</v>
      </c>
      <c r="D733">
        <v>66</v>
      </c>
      <c r="E733" t="s">
        <v>2449</v>
      </c>
      <c r="F733" t="s">
        <v>2774</v>
      </c>
      <c r="G733" t="s">
        <v>2775</v>
      </c>
    </row>
    <row r="734" spans="1:7" x14ac:dyDescent="0.25">
      <c r="A734" s="22" t="s">
        <v>2364</v>
      </c>
      <c r="B734" t="s">
        <v>844</v>
      </c>
      <c r="C734" t="s">
        <v>941</v>
      </c>
      <c r="D734">
        <v>18</v>
      </c>
      <c r="E734" t="s">
        <v>2716</v>
      </c>
      <c r="F734" t="s">
        <v>2776</v>
      </c>
      <c r="G734" t="s">
        <v>2777</v>
      </c>
    </row>
    <row r="735" spans="1:7" x14ac:dyDescent="0.25">
      <c r="A735" s="22" t="s">
        <v>2364</v>
      </c>
      <c r="B735" t="s">
        <v>844</v>
      </c>
      <c r="C735" t="s">
        <v>1042</v>
      </c>
      <c r="D735">
        <v>8</v>
      </c>
      <c r="E735" t="s">
        <v>1693</v>
      </c>
      <c r="F735" t="s">
        <v>2780</v>
      </c>
      <c r="G735" t="s">
        <v>2781</v>
      </c>
    </row>
    <row r="736" spans="1:7" x14ac:dyDescent="0.25">
      <c r="A736" s="22" t="s">
        <v>2364</v>
      </c>
      <c r="B736" t="s">
        <v>844</v>
      </c>
      <c r="C736" t="s">
        <v>1138</v>
      </c>
      <c r="D736">
        <v>4</v>
      </c>
      <c r="E736" t="s">
        <v>1668</v>
      </c>
      <c r="F736" t="s">
        <v>2776</v>
      </c>
      <c r="G736" t="s">
        <v>2777</v>
      </c>
    </row>
    <row r="737" spans="1:7" x14ac:dyDescent="0.25">
      <c r="A737" s="22" t="s">
        <v>2364</v>
      </c>
      <c r="B737" t="s">
        <v>844</v>
      </c>
      <c r="C737" t="s">
        <v>1557</v>
      </c>
      <c r="D737">
        <v>4</v>
      </c>
      <c r="E737" t="s">
        <v>1667</v>
      </c>
      <c r="F737" t="s">
        <v>2776</v>
      </c>
      <c r="G737" t="s">
        <v>2777</v>
      </c>
    </row>
    <row r="738" spans="1:7" x14ac:dyDescent="0.25">
      <c r="A738" s="22" t="s">
        <v>2364</v>
      </c>
      <c r="B738" t="s">
        <v>716</v>
      </c>
      <c r="C738" t="s">
        <v>1138</v>
      </c>
      <c r="D738">
        <v>71</v>
      </c>
      <c r="E738" t="s">
        <v>1703</v>
      </c>
      <c r="F738" t="s">
        <v>2774</v>
      </c>
      <c r="G738" t="s">
        <v>2775</v>
      </c>
    </row>
    <row r="739" spans="1:7" x14ac:dyDescent="0.25">
      <c r="A739" s="22" t="s">
        <v>2364</v>
      </c>
      <c r="B739" t="s">
        <v>716</v>
      </c>
      <c r="C739" t="s">
        <v>1557</v>
      </c>
      <c r="D739">
        <v>14</v>
      </c>
      <c r="E739" t="s">
        <v>2460</v>
      </c>
      <c r="F739" t="s">
        <v>2776</v>
      </c>
      <c r="G739" t="s">
        <v>2777</v>
      </c>
    </row>
    <row r="740" spans="1:7" x14ac:dyDescent="0.25">
      <c r="A740" s="22" t="s">
        <v>2364</v>
      </c>
      <c r="B740" t="s">
        <v>716</v>
      </c>
      <c r="C740" t="s">
        <v>1033</v>
      </c>
      <c r="D740">
        <v>7</v>
      </c>
      <c r="E740" t="s">
        <v>1705</v>
      </c>
      <c r="F740" t="s">
        <v>2776</v>
      </c>
      <c r="G740" t="s">
        <v>2777</v>
      </c>
    </row>
    <row r="741" spans="1:7" x14ac:dyDescent="0.25">
      <c r="A741" s="22" t="s">
        <v>2364</v>
      </c>
      <c r="B741" t="s">
        <v>716</v>
      </c>
      <c r="C741" t="s">
        <v>916</v>
      </c>
      <c r="D741">
        <v>5</v>
      </c>
      <c r="E741" t="s">
        <v>1672</v>
      </c>
      <c r="F741" t="s">
        <v>2776</v>
      </c>
      <c r="G741" t="s">
        <v>2777</v>
      </c>
    </row>
    <row r="742" spans="1:7" x14ac:dyDescent="0.25">
      <c r="A742" s="22" t="s">
        <v>2364</v>
      </c>
      <c r="B742" t="s">
        <v>716</v>
      </c>
      <c r="C742" t="s">
        <v>1565</v>
      </c>
      <c r="D742">
        <v>3</v>
      </c>
      <c r="E742" t="s">
        <v>2543</v>
      </c>
      <c r="F742" t="s">
        <v>2776</v>
      </c>
      <c r="G742" t="s">
        <v>2777</v>
      </c>
    </row>
    <row r="743" spans="1:7" x14ac:dyDescent="0.25">
      <c r="A743" s="22" t="s">
        <v>2364</v>
      </c>
      <c r="B743" t="s">
        <v>694</v>
      </c>
      <c r="C743" t="s">
        <v>960</v>
      </c>
      <c r="D743">
        <v>45</v>
      </c>
      <c r="E743" t="s">
        <v>1711</v>
      </c>
      <c r="F743" t="s">
        <v>2774</v>
      </c>
      <c r="G743" t="s">
        <v>2775</v>
      </c>
    </row>
    <row r="744" spans="1:7" x14ac:dyDescent="0.25">
      <c r="A744" s="22" t="s">
        <v>2364</v>
      </c>
      <c r="B744" t="s">
        <v>694</v>
      </c>
      <c r="C744" t="s">
        <v>941</v>
      </c>
      <c r="D744">
        <v>48</v>
      </c>
      <c r="E744" t="s">
        <v>1713</v>
      </c>
      <c r="F744" t="s">
        <v>2774</v>
      </c>
      <c r="G744" t="s">
        <v>2775</v>
      </c>
    </row>
    <row r="745" spans="1:7" x14ac:dyDescent="0.25">
      <c r="A745" s="22" t="s">
        <v>2364</v>
      </c>
      <c r="B745" t="s">
        <v>694</v>
      </c>
      <c r="C745" t="s">
        <v>2374</v>
      </c>
      <c r="D745">
        <v>4</v>
      </c>
      <c r="E745" t="s">
        <v>1589</v>
      </c>
      <c r="F745" t="s">
        <v>2776</v>
      </c>
      <c r="G745" t="s">
        <v>2777</v>
      </c>
    </row>
    <row r="746" spans="1:7" x14ac:dyDescent="0.25">
      <c r="A746" s="22" t="s">
        <v>2364</v>
      </c>
      <c r="B746" t="s">
        <v>694</v>
      </c>
      <c r="C746" t="s">
        <v>1033</v>
      </c>
      <c r="D746">
        <v>3</v>
      </c>
      <c r="E746" t="s">
        <v>1587</v>
      </c>
      <c r="F746" t="s">
        <v>2776</v>
      </c>
      <c r="G746" t="s">
        <v>2777</v>
      </c>
    </row>
    <row r="747" spans="1:7" x14ac:dyDescent="0.25">
      <c r="A747" s="22" t="s">
        <v>2364</v>
      </c>
      <c r="B747" t="s">
        <v>847</v>
      </c>
      <c r="C747" t="s">
        <v>960</v>
      </c>
      <c r="D747">
        <v>46</v>
      </c>
      <c r="E747" t="s">
        <v>1717</v>
      </c>
      <c r="F747" t="s">
        <v>2774</v>
      </c>
      <c r="G747" t="s">
        <v>2775</v>
      </c>
    </row>
    <row r="748" spans="1:7" x14ac:dyDescent="0.25">
      <c r="A748" s="22" t="s">
        <v>2364</v>
      </c>
      <c r="B748" t="s">
        <v>847</v>
      </c>
      <c r="C748" t="s">
        <v>1033</v>
      </c>
      <c r="D748">
        <v>42</v>
      </c>
      <c r="E748" t="s">
        <v>1719</v>
      </c>
      <c r="F748" t="s">
        <v>2774</v>
      </c>
      <c r="G748" t="s">
        <v>2775</v>
      </c>
    </row>
    <row r="749" spans="1:7" x14ac:dyDescent="0.25">
      <c r="A749" s="22" t="s">
        <v>2364</v>
      </c>
      <c r="B749" t="s">
        <v>847</v>
      </c>
      <c r="C749" t="s">
        <v>941</v>
      </c>
      <c r="D749">
        <v>10</v>
      </c>
      <c r="E749" t="s">
        <v>1721</v>
      </c>
      <c r="F749" t="s">
        <v>2776</v>
      </c>
      <c r="G749" t="s">
        <v>2777</v>
      </c>
    </row>
    <row r="750" spans="1:7" x14ac:dyDescent="0.25">
      <c r="A750" s="22" t="s">
        <v>2364</v>
      </c>
      <c r="B750" t="s">
        <v>847</v>
      </c>
      <c r="C750" t="s">
        <v>1138</v>
      </c>
      <c r="D750">
        <v>2</v>
      </c>
      <c r="E750" t="s">
        <v>1722</v>
      </c>
      <c r="F750" t="s">
        <v>2776</v>
      </c>
      <c r="G750" t="s">
        <v>2777</v>
      </c>
    </row>
    <row r="751" spans="1:7" x14ac:dyDescent="0.25">
      <c r="A751" s="22" t="s">
        <v>2364</v>
      </c>
      <c r="B751" t="s">
        <v>850</v>
      </c>
      <c r="C751" t="s">
        <v>1138</v>
      </c>
      <c r="D751">
        <v>78</v>
      </c>
      <c r="E751" t="s">
        <v>1736</v>
      </c>
      <c r="F751" t="s">
        <v>2774</v>
      </c>
      <c r="G751" t="s">
        <v>2775</v>
      </c>
    </row>
    <row r="752" spans="1:7" x14ac:dyDescent="0.25">
      <c r="A752" s="22" t="s">
        <v>2364</v>
      </c>
      <c r="B752" t="s">
        <v>850</v>
      </c>
      <c r="C752" t="s">
        <v>1033</v>
      </c>
      <c r="D752">
        <v>12</v>
      </c>
      <c r="E752" t="s">
        <v>1738</v>
      </c>
      <c r="F752" t="s">
        <v>2776</v>
      </c>
      <c r="G752" t="s">
        <v>2777</v>
      </c>
    </row>
    <row r="753" spans="1:7" x14ac:dyDescent="0.25">
      <c r="A753" s="22" t="s">
        <v>2364</v>
      </c>
      <c r="B753" t="s">
        <v>850</v>
      </c>
      <c r="C753" t="s">
        <v>1557</v>
      </c>
      <c r="D753">
        <v>6</v>
      </c>
      <c r="E753" t="s">
        <v>1739</v>
      </c>
      <c r="F753" t="s">
        <v>2776</v>
      </c>
      <c r="G753" t="s">
        <v>2777</v>
      </c>
    </row>
    <row r="754" spans="1:7" x14ac:dyDescent="0.25">
      <c r="A754" s="22" t="s">
        <v>2364</v>
      </c>
      <c r="B754" t="s">
        <v>850</v>
      </c>
      <c r="C754" t="s">
        <v>1025</v>
      </c>
      <c r="D754">
        <v>2</v>
      </c>
      <c r="E754" t="s">
        <v>1740</v>
      </c>
      <c r="F754" t="s">
        <v>2780</v>
      </c>
      <c r="G754" t="s">
        <v>2781</v>
      </c>
    </row>
    <row r="755" spans="1:7" x14ac:dyDescent="0.25">
      <c r="A755" s="22" t="s">
        <v>2364</v>
      </c>
      <c r="B755" t="s">
        <v>850</v>
      </c>
      <c r="C755" t="s">
        <v>941</v>
      </c>
      <c r="D755">
        <v>2</v>
      </c>
      <c r="E755" t="s">
        <v>2710</v>
      </c>
      <c r="F755" t="s">
        <v>2776</v>
      </c>
      <c r="G755" t="s">
        <v>2777</v>
      </c>
    </row>
    <row r="756" spans="1:7" x14ac:dyDescent="0.25">
      <c r="A756" s="22" t="s">
        <v>2364</v>
      </c>
      <c r="B756" t="s">
        <v>853</v>
      </c>
      <c r="C756" t="s">
        <v>1138</v>
      </c>
      <c r="D756">
        <v>90</v>
      </c>
      <c r="E756" t="s">
        <v>2461</v>
      </c>
      <c r="F756" t="s">
        <v>2774</v>
      </c>
      <c r="G756" t="s">
        <v>2775</v>
      </c>
    </row>
    <row r="757" spans="1:7" x14ac:dyDescent="0.25">
      <c r="A757" s="22" t="s">
        <v>2364</v>
      </c>
      <c r="B757" t="s">
        <v>853</v>
      </c>
      <c r="C757" t="s">
        <v>1557</v>
      </c>
      <c r="D757">
        <v>6</v>
      </c>
      <c r="E757" t="s">
        <v>1739</v>
      </c>
      <c r="F757" t="s">
        <v>2776</v>
      </c>
      <c r="G757" t="s">
        <v>2777</v>
      </c>
    </row>
    <row r="758" spans="1:7" x14ac:dyDescent="0.25">
      <c r="A758" s="22" t="s">
        <v>2364</v>
      </c>
      <c r="B758" t="s">
        <v>853</v>
      </c>
      <c r="C758" t="s">
        <v>1033</v>
      </c>
      <c r="D758">
        <v>4</v>
      </c>
      <c r="E758" t="s">
        <v>1744</v>
      </c>
      <c r="F758" t="s">
        <v>2776</v>
      </c>
      <c r="G758" t="s">
        <v>2777</v>
      </c>
    </row>
    <row r="759" spans="1:7" x14ac:dyDescent="0.25">
      <c r="A759" s="22" t="s">
        <v>2364</v>
      </c>
      <c r="B759" t="s">
        <v>738</v>
      </c>
      <c r="C759" t="s">
        <v>1138</v>
      </c>
      <c r="D759">
        <v>73</v>
      </c>
      <c r="E759" t="s">
        <v>1746</v>
      </c>
      <c r="F759" t="s">
        <v>2774</v>
      </c>
      <c r="G759" t="s">
        <v>2775</v>
      </c>
    </row>
    <row r="760" spans="1:7" x14ac:dyDescent="0.25">
      <c r="A760" s="22" t="s">
        <v>2364</v>
      </c>
      <c r="B760" t="s">
        <v>738</v>
      </c>
      <c r="C760" t="s">
        <v>1557</v>
      </c>
      <c r="D760">
        <v>17</v>
      </c>
      <c r="E760" t="s">
        <v>1747</v>
      </c>
      <c r="F760" t="s">
        <v>2776</v>
      </c>
      <c r="G760" t="s">
        <v>2777</v>
      </c>
    </row>
    <row r="761" spans="1:7" x14ac:dyDescent="0.25">
      <c r="A761" s="22" t="s">
        <v>2364</v>
      </c>
      <c r="B761" t="s">
        <v>738</v>
      </c>
      <c r="C761" t="s">
        <v>1033</v>
      </c>
      <c r="D761">
        <v>8</v>
      </c>
      <c r="E761" t="s">
        <v>1744</v>
      </c>
      <c r="F761" t="s">
        <v>2776</v>
      </c>
      <c r="G761" t="s">
        <v>2777</v>
      </c>
    </row>
    <row r="762" spans="1:7" x14ac:dyDescent="0.25">
      <c r="A762" s="22" t="s">
        <v>2364</v>
      </c>
      <c r="B762" t="s">
        <v>738</v>
      </c>
      <c r="C762" t="s">
        <v>941</v>
      </c>
      <c r="D762">
        <v>2</v>
      </c>
      <c r="E762" t="s">
        <v>2710</v>
      </c>
      <c r="F762" t="s">
        <v>2776</v>
      </c>
      <c r="G762" t="s">
        <v>2777</v>
      </c>
    </row>
    <row r="763" spans="1:7" x14ac:dyDescent="0.25">
      <c r="A763" s="22" t="s">
        <v>2364</v>
      </c>
      <c r="B763" t="s">
        <v>736</v>
      </c>
      <c r="C763" t="s">
        <v>1138</v>
      </c>
      <c r="D763">
        <v>78</v>
      </c>
      <c r="E763" t="s">
        <v>1748</v>
      </c>
      <c r="F763" t="s">
        <v>2774</v>
      </c>
      <c r="G763" t="s">
        <v>2775</v>
      </c>
    </row>
    <row r="764" spans="1:7" x14ac:dyDescent="0.25">
      <c r="A764" s="22" t="s">
        <v>2364</v>
      </c>
      <c r="B764" t="s">
        <v>736</v>
      </c>
      <c r="C764" t="s">
        <v>1557</v>
      </c>
      <c r="D764">
        <v>10</v>
      </c>
      <c r="E764" t="s">
        <v>2460</v>
      </c>
      <c r="F764" t="s">
        <v>2776</v>
      </c>
      <c r="G764" t="s">
        <v>2777</v>
      </c>
    </row>
    <row r="765" spans="1:7" x14ac:dyDescent="0.25">
      <c r="A765" s="22" t="s">
        <v>2364</v>
      </c>
      <c r="B765" t="s">
        <v>736</v>
      </c>
      <c r="C765" t="s">
        <v>1033</v>
      </c>
      <c r="D765">
        <v>10</v>
      </c>
      <c r="E765" t="s">
        <v>1749</v>
      </c>
      <c r="F765" t="s">
        <v>2776</v>
      </c>
      <c r="G765" t="s">
        <v>2777</v>
      </c>
    </row>
    <row r="766" spans="1:7" x14ac:dyDescent="0.25">
      <c r="A766" s="22" t="s">
        <v>2364</v>
      </c>
      <c r="B766" t="s">
        <v>736</v>
      </c>
      <c r="C766" t="s">
        <v>941</v>
      </c>
      <c r="D766">
        <v>2</v>
      </c>
      <c r="E766" t="s">
        <v>2710</v>
      </c>
      <c r="F766" t="s">
        <v>2776</v>
      </c>
      <c r="G766" t="s">
        <v>2777</v>
      </c>
    </row>
    <row r="767" spans="1:7" x14ac:dyDescent="0.25">
      <c r="A767" s="22" t="s">
        <v>2364</v>
      </c>
      <c r="B767" t="s">
        <v>856</v>
      </c>
      <c r="C767" t="s">
        <v>1557</v>
      </c>
      <c r="D767">
        <v>54</v>
      </c>
      <c r="E767" t="s">
        <v>1751</v>
      </c>
      <c r="F767" t="s">
        <v>2774</v>
      </c>
      <c r="G767" t="s">
        <v>2775</v>
      </c>
    </row>
    <row r="768" spans="1:7" x14ac:dyDescent="0.25">
      <c r="A768" s="22" t="s">
        <v>2364</v>
      </c>
      <c r="B768" t="s">
        <v>856</v>
      </c>
      <c r="C768" t="s">
        <v>1138</v>
      </c>
      <c r="D768">
        <v>36</v>
      </c>
      <c r="E768" t="s">
        <v>1753</v>
      </c>
      <c r="F768" t="s">
        <v>2774</v>
      </c>
      <c r="G768" t="s">
        <v>2775</v>
      </c>
    </row>
    <row r="769" spans="1:7" x14ac:dyDescent="0.25">
      <c r="A769" s="22" t="s">
        <v>2364</v>
      </c>
      <c r="B769" t="s">
        <v>856</v>
      </c>
      <c r="C769" t="s">
        <v>1033</v>
      </c>
      <c r="D769">
        <v>10</v>
      </c>
      <c r="E769" t="s">
        <v>1755</v>
      </c>
      <c r="F769" t="s">
        <v>2776</v>
      </c>
      <c r="G769" t="s">
        <v>2777</v>
      </c>
    </row>
    <row r="770" spans="1:7" x14ac:dyDescent="0.25">
      <c r="A770" s="22" t="s">
        <v>2364</v>
      </c>
      <c r="B770" t="s">
        <v>720</v>
      </c>
      <c r="C770" t="s">
        <v>1033</v>
      </c>
      <c r="D770">
        <v>50</v>
      </c>
      <c r="E770" t="s">
        <v>1767</v>
      </c>
      <c r="F770" t="s">
        <v>2774</v>
      </c>
      <c r="G770" t="s">
        <v>2775</v>
      </c>
    </row>
    <row r="771" spans="1:7" x14ac:dyDescent="0.25">
      <c r="A771" s="22" t="s">
        <v>2364</v>
      </c>
      <c r="B771" t="s">
        <v>720</v>
      </c>
      <c r="C771" t="s">
        <v>1557</v>
      </c>
      <c r="D771">
        <v>40</v>
      </c>
      <c r="E771" t="s">
        <v>2462</v>
      </c>
      <c r="F771" t="s">
        <v>2774</v>
      </c>
      <c r="G771" t="s">
        <v>2775</v>
      </c>
    </row>
    <row r="772" spans="1:7" x14ac:dyDescent="0.25">
      <c r="A772" s="22" t="s">
        <v>2364</v>
      </c>
      <c r="B772" t="s">
        <v>720</v>
      </c>
      <c r="C772" t="s">
        <v>916</v>
      </c>
      <c r="D772">
        <v>4</v>
      </c>
      <c r="E772" t="s">
        <v>1759</v>
      </c>
      <c r="F772" t="s">
        <v>2776</v>
      </c>
      <c r="G772" t="s">
        <v>2777</v>
      </c>
    </row>
    <row r="773" spans="1:7" x14ac:dyDescent="0.25">
      <c r="A773" s="22" t="s">
        <v>2364</v>
      </c>
      <c r="B773" t="s">
        <v>720</v>
      </c>
      <c r="C773" t="s">
        <v>1138</v>
      </c>
      <c r="D773">
        <v>4</v>
      </c>
      <c r="E773" t="s">
        <v>1766</v>
      </c>
      <c r="F773" t="s">
        <v>2776</v>
      </c>
      <c r="G773" t="s">
        <v>2777</v>
      </c>
    </row>
    <row r="774" spans="1:7" x14ac:dyDescent="0.25">
      <c r="A774" s="22" t="s">
        <v>2364</v>
      </c>
      <c r="B774" t="s">
        <v>720</v>
      </c>
      <c r="C774" t="s">
        <v>941</v>
      </c>
      <c r="D774">
        <v>2</v>
      </c>
      <c r="E774" t="s">
        <v>2741</v>
      </c>
      <c r="F774" t="s">
        <v>2776</v>
      </c>
      <c r="G774" t="s">
        <v>2777</v>
      </c>
    </row>
    <row r="775" spans="1:7" x14ac:dyDescent="0.25">
      <c r="A775" s="22" t="s">
        <v>2364</v>
      </c>
      <c r="B775" t="s">
        <v>859</v>
      </c>
      <c r="C775" t="s">
        <v>1033</v>
      </c>
      <c r="D775">
        <v>50</v>
      </c>
      <c r="E775" t="s">
        <v>1772</v>
      </c>
      <c r="F775" t="s">
        <v>2774</v>
      </c>
      <c r="G775" t="s">
        <v>2775</v>
      </c>
    </row>
    <row r="776" spans="1:7" x14ac:dyDescent="0.25">
      <c r="A776" s="22" t="s">
        <v>2364</v>
      </c>
      <c r="B776" t="s">
        <v>859</v>
      </c>
      <c r="C776" t="s">
        <v>1557</v>
      </c>
      <c r="D776">
        <v>40</v>
      </c>
      <c r="E776" t="s">
        <v>1774</v>
      </c>
      <c r="F776" t="s">
        <v>2774</v>
      </c>
      <c r="G776" t="s">
        <v>2775</v>
      </c>
    </row>
    <row r="777" spans="1:7" x14ac:dyDescent="0.25">
      <c r="A777" s="22" t="s">
        <v>2364</v>
      </c>
      <c r="B777" t="s">
        <v>859</v>
      </c>
      <c r="C777" t="s">
        <v>916</v>
      </c>
      <c r="D777">
        <v>4</v>
      </c>
      <c r="E777" t="s">
        <v>1759</v>
      </c>
      <c r="F777" t="s">
        <v>2776</v>
      </c>
      <c r="G777" t="s">
        <v>2777</v>
      </c>
    </row>
    <row r="778" spans="1:7" x14ac:dyDescent="0.25">
      <c r="A778" s="22" t="s">
        <v>2364</v>
      </c>
      <c r="B778" t="s">
        <v>859</v>
      </c>
      <c r="C778" t="s">
        <v>1138</v>
      </c>
      <c r="D778">
        <v>4</v>
      </c>
      <c r="E778" t="s">
        <v>1766</v>
      </c>
      <c r="F778" t="s">
        <v>2776</v>
      </c>
      <c r="G778" t="s">
        <v>2777</v>
      </c>
    </row>
    <row r="779" spans="1:7" x14ac:dyDescent="0.25">
      <c r="A779" s="22" t="s">
        <v>2364</v>
      </c>
      <c r="B779" t="s">
        <v>859</v>
      </c>
      <c r="C779" t="s">
        <v>941</v>
      </c>
      <c r="D779">
        <v>2</v>
      </c>
      <c r="E779" t="s">
        <v>2717</v>
      </c>
      <c r="F779" t="s">
        <v>2776</v>
      </c>
      <c r="G779" t="s">
        <v>2777</v>
      </c>
    </row>
    <row r="780" spans="1:7" x14ac:dyDescent="0.25">
      <c r="A780" s="22" t="s">
        <v>2364</v>
      </c>
      <c r="B780" t="s">
        <v>700</v>
      </c>
      <c r="C780" t="s">
        <v>916</v>
      </c>
      <c r="D780">
        <v>74</v>
      </c>
      <c r="E780" t="s">
        <v>2463</v>
      </c>
      <c r="F780" t="s">
        <v>2774</v>
      </c>
      <c r="G780" t="s">
        <v>2775</v>
      </c>
    </row>
    <row r="781" spans="1:7" x14ac:dyDescent="0.25">
      <c r="A781" s="22" t="s">
        <v>2364</v>
      </c>
      <c r="B781" t="s">
        <v>700</v>
      </c>
      <c r="C781" t="s">
        <v>1557</v>
      </c>
      <c r="D781">
        <v>12</v>
      </c>
      <c r="E781" t="s">
        <v>1776</v>
      </c>
      <c r="F781" t="s">
        <v>2776</v>
      </c>
      <c r="G781" t="s">
        <v>2777</v>
      </c>
    </row>
    <row r="782" spans="1:7" x14ac:dyDescent="0.25">
      <c r="A782" s="22" t="s">
        <v>2364</v>
      </c>
      <c r="B782" t="s">
        <v>700</v>
      </c>
      <c r="C782" t="s">
        <v>22</v>
      </c>
      <c r="D782">
        <v>6</v>
      </c>
      <c r="E782" t="s">
        <v>2464</v>
      </c>
      <c r="F782" t="s">
        <v>2776</v>
      </c>
      <c r="G782" t="s">
        <v>2777</v>
      </c>
    </row>
    <row r="783" spans="1:7" x14ac:dyDescent="0.25">
      <c r="A783" s="22" t="s">
        <v>2364</v>
      </c>
      <c r="B783" t="s">
        <v>700</v>
      </c>
      <c r="C783" t="s">
        <v>1483</v>
      </c>
      <c r="D783">
        <v>4</v>
      </c>
      <c r="E783" t="s">
        <v>1778</v>
      </c>
      <c r="F783" t="s">
        <v>2776</v>
      </c>
      <c r="G783" t="s">
        <v>2777</v>
      </c>
    </row>
    <row r="784" spans="1:7" x14ac:dyDescent="0.25">
      <c r="A784" s="22" t="s">
        <v>2364</v>
      </c>
      <c r="B784" t="s">
        <v>700</v>
      </c>
      <c r="C784" t="s">
        <v>1033</v>
      </c>
      <c r="D784">
        <v>4</v>
      </c>
      <c r="E784" t="s">
        <v>2465</v>
      </c>
      <c r="F784" t="s">
        <v>2776</v>
      </c>
      <c r="G784" t="s">
        <v>2777</v>
      </c>
    </row>
    <row r="785" spans="1:7" x14ac:dyDescent="0.25">
      <c r="A785" s="22" t="s">
        <v>2364</v>
      </c>
      <c r="B785" t="s">
        <v>862</v>
      </c>
      <c r="C785" t="s">
        <v>916</v>
      </c>
      <c r="D785">
        <v>88</v>
      </c>
      <c r="E785" t="s">
        <v>2466</v>
      </c>
      <c r="F785" t="s">
        <v>2774</v>
      </c>
      <c r="G785" t="s">
        <v>2775</v>
      </c>
    </row>
    <row r="786" spans="1:7" x14ac:dyDescent="0.25">
      <c r="A786" s="22" t="s">
        <v>2364</v>
      </c>
      <c r="B786" t="s">
        <v>862</v>
      </c>
      <c r="C786" t="s">
        <v>1557</v>
      </c>
      <c r="D786">
        <v>4</v>
      </c>
      <c r="E786" t="s">
        <v>1785</v>
      </c>
      <c r="F786" t="s">
        <v>2776</v>
      </c>
      <c r="G786" t="s">
        <v>2777</v>
      </c>
    </row>
    <row r="787" spans="1:7" x14ac:dyDescent="0.25">
      <c r="A787" s="22" t="s">
        <v>2364</v>
      </c>
      <c r="B787" t="s">
        <v>862</v>
      </c>
      <c r="C787" t="s">
        <v>22</v>
      </c>
      <c r="D787">
        <v>4</v>
      </c>
      <c r="E787" t="s">
        <v>2464</v>
      </c>
      <c r="F787" t="s">
        <v>2776</v>
      </c>
      <c r="G787" t="s">
        <v>2777</v>
      </c>
    </row>
    <row r="788" spans="1:7" x14ac:dyDescent="0.25">
      <c r="A788" s="22" t="s">
        <v>2364</v>
      </c>
      <c r="B788" t="s">
        <v>862</v>
      </c>
      <c r="C788" t="s">
        <v>1483</v>
      </c>
      <c r="D788">
        <v>4</v>
      </c>
      <c r="E788" t="s">
        <v>1778</v>
      </c>
      <c r="F788" t="s">
        <v>2776</v>
      </c>
      <c r="G788" t="s">
        <v>2777</v>
      </c>
    </row>
    <row r="789" spans="1:7" x14ac:dyDescent="0.25">
      <c r="A789" s="22" t="s">
        <v>2364</v>
      </c>
      <c r="B789" t="s">
        <v>726</v>
      </c>
      <c r="C789" t="s">
        <v>916</v>
      </c>
      <c r="D789">
        <v>88</v>
      </c>
      <c r="E789" t="s">
        <v>1787</v>
      </c>
      <c r="F789" t="s">
        <v>2774</v>
      </c>
      <c r="G789" t="s">
        <v>2775</v>
      </c>
    </row>
    <row r="790" spans="1:7" x14ac:dyDescent="0.25">
      <c r="A790" s="22" t="s">
        <v>2364</v>
      </c>
      <c r="B790" t="s">
        <v>726</v>
      </c>
      <c r="C790" t="s">
        <v>1557</v>
      </c>
      <c r="D790">
        <v>4</v>
      </c>
      <c r="E790" t="s">
        <v>1788</v>
      </c>
      <c r="F790" t="s">
        <v>2776</v>
      </c>
      <c r="G790" t="s">
        <v>2777</v>
      </c>
    </row>
    <row r="791" spans="1:7" x14ac:dyDescent="0.25">
      <c r="A791" s="22" t="s">
        <v>2364</v>
      </c>
      <c r="B791" t="s">
        <v>726</v>
      </c>
      <c r="C791" t="s">
        <v>22</v>
      </c>
      <c r="D791">
        <v>4</v>
      </c>
      <c r="E791" t="s">
        <v>2464</v>
      </c>
      <c r="F791" t="s">
        <v>2776</v>
      </c>
      <c r="G791" t="s">
        <v>2777</v>
      </c>
    </row>
    <row r="792" spans="1:7" x14ac:dyDescent="0.25">
      <c r="A792" s="22" t="s">
        <v>2364</v>
      </c>
      <c r="B792" t="s">
        <v>726</v>
      </c>
      <c r="C792" t="s">
        <v>1483</v>
      </c>
      <c r="D792">
        <v>2</v>
      </c>
      <c r="E792" t="s">
        <v>1790</v>
      </c>
      <c r="F792" t="s">
        <v>2776</v>
      </c>
      <c r="G792" t="s">
        <v>2777</v>
      </c>
    </row>
    <row r="793" spans="1:7" x14ac:dyDescent="0.25">
      <c r="A793" s="22" t="s">
        <v>2364</v>
      </c>
      <c r="B793" t="s">
        <v>865</v>
      </c>
      <c r="C793" t="s">
        <v>916</v>
      </c>
      <c r="D793">
        <v>74</v>
      </c>
      <c r="E793" t="s">
        <v>2467</v>
      </c>
      <c r="F793" t="s">
        <v>2774</v>
      </c>
      <c r="G793" t="s">
        <v>2775</v>
      </c>
    </row>
    <row r="794" spans="1:7" x14ac:dyDescent="0.25">
      <c r="A794" s="22" t="s">
        <v>2364</v>
      </c>
      <c r="B794" t="s">
        <v>865</v>
      </c>
      <c r="C794" t="s">
        <v>22</v>
      </c>
      <c r="D794">
        <v>10</v>
      </c>
      <c r="E794" t="s">
        <v>2464</v>
      </c>
      <c r="F794" t="s">
        <v>2776</v>
      </c>
      <c r="G794" t="s">
        <v>2777</v>
      </c>
    </row>
    <row r="795" spans="1:7" x14ac:dyDescent="0.25">
      <c r="A795" s="22" t="s">
        <v>2364</v>
      </c>
      <c r="B795" t="s">
        <v>865</v>
      </c>
      <c r="C795" t="s">
        <v>1557</v>
      </c>
      <c r="D795">
        <v>8</v>
      </c>
      <c r="E795" t="s">
        <v>1788</v>
      </c>
      <c r="F795" t="s">
        <v>2776</v>
      </c>
      <c r="G795" t="s">
        <v>2777</v>
      </c>
    </row>
    <row r="796" spans="1:7" x14ac:dyDescent="0.25">
      <c r="A796" s="22" t="s">
        <v>2364</v>
      </c>
      <c r="B796" t="s">
        <v>865</v>
      </c>
      <c r="C796" t="s">
        <v>698</v>
      </c>
      <c r="D796">
        <v>4</v>
      </c>
      <c r="E796" t="s">
        <v>1463</v>
      </c>
      <c r="F796" t="s">
        <v>2776</v>
      </c>
      <c r="G796" t="s">
        <v>2777</v>
      </c>
    </row>
    <row r="797" spans="1:7" x14ac:dyDescent="0.25">
      <c r="A797" s="22" t="s">
        <v>2364</v>
      </c>
      <c r="B797" t="s">
        <v>865</v>
      </c>
      <c r="C797" t="s">
        <v>1565</v>
      </c>
      <c r="D797">
        <v>2</v>
      </c>
      <c r="E797" t="s">
        <v>2543</v>
      </c>
      <c r="F797" t="s">
        <v>2776</v>
      </c>
      <c r="G797" t="s">
        <v>2777</v>
      </c>
    </row>
    <row r="798" spans="1:7" x14ac:dyDescent="0.25">
      <c r="A798" s="22" t="s">
        <v>2364</v>
      </c>
      <c r="B798" t="s">
        <v>865</v>
      </c>
      <c r="C798" t="s">
        <v>1483</v>
      </c>
      <c r="D798">
        <v>2</v>
      </c>
      <c r="E798" t="s">
        <v>1778</v>
      </c>
      <c r="F798" t="s">
        <v>2776</v>
      </c>
      <c r="G798" t="s">
        <v>2777</v>
      </c>
    </row>
    <row r="799" spans="1:7" x14ac:dyDescent="0.25">
      <c r="A799" s="22" t="s">
        <v>2364</v>
      </c>
      <c r="B799" t="s">
        <v>722</v>
      </c>
      <c r="C799" t="s">
        <v>1483</v>
      </c>
      <c r="D799">
        <v>50</v>
      </c>
      <c r="E799" t="s">
        <v>1795</v>
      </c>
      <c r="F799" t="s">
        <v>2774</v>
      </c>
      <c r="G799" t="s">
        <v>2775</v>
      </c>
    </row>
    <row r="800" spans="1:7" x14ac:dyDescent="0.25">
      <c r="A800" s="22" t="s">
        <v>2364</v>
      </c>
      <c r="B800" t="s">
        <v>722</v>
      </c>
      <c r="C800" t="s">
        <v>916</v>
      </c>
      <c r="D800">
        <v>24</v>
      </c>
      <c r="E800" t="s">
        <v>2468</v>
      </c>
      <c r="F800" t="s">
        <v>2774</v>
      </c>
      <c r="G800" t="s">
        <v>2775</v>
      </c>
    </row>
    <row r="801" spans="1:7" x14ac:dyDescent="0.25">
      <c r="A801" s="22" t="s">
        <v>2364</v>
      </c>
      <c r="B801" t="s">
        <v>722</v>
      </c>
      <c r="C801" t="s">
        <v>698</v>
      </c>
      <c r="D801">
        <v>10</v>
      </c>
      <c r="E801" t="s">
        <v>1463</v>
      </c>
      <c r="F801" t="s">
        <v>2774</v>
      </c>
      <c r="G801" t="s">
        <v>2775</v>
      </c>
    </row>
    <row r="802" spans="1:7" x14ac:dyDescent="0.25">
      <c r="A802" s="22" t="s">
        <v>2364</v>
      </c>
      <c r="B802" t="s">
        <v>722</v>
      </c>
      <c r="C802" t="s">
        <v>1557</v>
      </c>
      <c r="D802">
        <v>8</v>
      </c>
      <c r="E802" t="s">
        <v>1776</v>
      </c>
      <c r="F802" t="s">
        <v>2776</v>
      </c>
      <c r="G802" t="s">
        <v>2777</v>
      </c>
    </row>
    <row r="803" spans="1:7" x14ac:dyDescent="0.25">
      <c r="A803" s="22" t="s">
        <v>2364</v>
      </c>
      <c r="B803" t="s">
        <v>722</v>
      </c>
      <c r="C803" t="s">
        <v>22</v>
      </c>
      <c r="D803">
        <v>4</v>
      </c>
      <c r="E803" t="s">
        <v>2464</v>
      </c>
      <c r="F803" t="s">
        <v>2776</v>
      </c>
      <c r="G803" t="s">
        <v>2777</v>
      </c>
    </row>
    <row r="804" spans="1:7" x14ac:dyDescent="0.25">
      <c r="A804" s="22" t="s">
        <v>2364</v>
      </c>
      <c r="B804" t="s">
        <v>722</v>
      </c>
      <c r="C804" t="s">
        <v>1033</v>
      </c>
      <c r="D804">
        <v>4</v>
      </c>
      <c r="E804" t="s">
        <v>2473</v>
      </c>
      <c r="F804" t="s">
        <v>2776</v>
      </c>
      <c r="G804" t="s">
        <v>2777</v>
      </c>
    </row>
    <row r="805" spans="1:7" x14ac:dyDescent="0.25">
      <c r="A805" s="22" t="s">
        <v>2364</v>
      </c>
      <c r="B805" t="s">
        <v>868</v>
      </c>
      <c r="C805" t="s">
        <v>1557</v>
      </c>
      <c r="D805">
        <v>46</v>
      </c>
      <c r="E805" t="s">
        <v>1803</v>
      </c>
      <c r="F805" t="s">
        <v>2774</v>
      </c>
      <c r="G805" t="s">
        <v>2775</v>
      </c>
    </row>
    <row r="806" spans="1:7" x14ac:dyDescent="0.25">
      <c r="A806" s="22" t="s">
        <v>2364</v>
      </c>
      <c r="B806" t="s">
        <v>868</v>
      </c>
      <c r="C806" t="s">
        <v>1483</v>
      </c>
      <c r="D806">
        <v>20</v>
      </c>
      <c r="E806" t="s">
        <v>2474</v>
      </c>
      <c r="F806" t="s">
        <v>2774</v>
      </c>
      <c r="G806" t="s">
        <v>2775</v>
      </c>
    </row>
    <row r="807" spans="1:7" x14ac:dyDescent="0.25">
      <c r="A807" s="22" t="s">
        <v>2364</v>
      </c>
      <c r="B807" t="s">
        <v>868</v>
      </c>
      <c r="C807" t="s">
        <v>916</v>
      </c>
      <c r="D807">
        <v>14</v>
      </c>
      <c r="E807" t="s">
        <v>1807</v>
      </c>
      <c r="F807" t="s">
        <v>2774</v>
      </c>
      <c r="G807" t="s">
        <v>2775</v>
      </c>
    </row>
    <row r="808" spans="1:7" x14ac:dyDescent="0.25">
      <c r="A808" s="22" t="s">
        <v>2364</v>
      </c>
      <c r="B808" t="s">
        <v>868</v>
      </c>
      <c r="C808" t="s">
        <v>1033</v>
      </c>
      <c r="D808">
        <v>10</v>
      </c>
      <c r="E808" t="s">
        <v>1809</v>
      </c>
      <c r="F808" t="s">
        <v>2776</v>
      </c>
      <c r="G808" t="s">
        <v>2777</v>
      </c>
    </row>
    <row r="809" spans="1:7" x14ac:dyDescent="0.25">
      <c r="A809" s="22" t="s">
        <v>2364</v>
      </c>
      <c r="B809" t="s">
        <v>868</v>
      </c>
      <c r="C809" t="s">
        <v>1138</v>
      </c>
      <c r="D809">
        <v>6</v>
      </c>
      <c r="E809" t="s">
        <v>1739</v>
      </c>
      <c r="F809" t="s">
        <v>2776</v>
      </c>
      <c r="G809" t="s">
        <v>2777</v>
      </c>
    </row>
    <row r="810" spans="1:7" x14ac:dyDescent="0.25">
      <c r="A810" s="22" t="s">
        <v>2364</v>
      </c>
      <c r="B810" t="s">
        <v>868</v>
      </c>
      <c r="C810" t="s">
        <v>22</v>
      </c>
      <c r="D810">
        <v>4</v>
      </c>
      <c r="E810" t="s">
        <v>2464</v>
      </c>
      <c r="F810" t="s">
        <v>2776</v>
      </c>
      <c r="G810" t="s">
        <v>2777</v>
      </c>
    </row>
    <row r="811" spans="1:7" x14ac:dyDescent="0.25">
      <c r="A811" s="22" t="s">
        <v>2364</v>
      </c>
      <c r="B811" t="s">
        <v>871</v>
      </c>
      <c r="C811" t="s">
        <v>1483</v>
      </c>
      <c r="D811">
        <v>68</v>
      </c>
      <c r="E811" t="s">
        <v>2718</v>
      </c>
      <c r="F811" t="s">
        <v>2774</v>
      </c>
      <c r="G811" t="s">
        <v>2775</v>
      </c>
    </row>
    <row r="812" spans="1:7" x14ac:dyDescent="0.25">
      <c r="A812" s="22" t="s">
        <v>2364</v>
      </c>
      <c r="B812" t="s">
        <v>871</v>
      </c>
      <c r="C812" t="s">
        <v>941</v>
      </c>
      <c r="D812">
        <v>16</v>
      </c>
      <c r="E812" t="s">
        <v>2719</v>
      </c>
      <c r="F812" t="s">
        <v>2774</v>
      </c>
      <c r="G812" t="s">
        <v>2775</v>
      </c>
    </row>
    <row r="813" spans="1:7" x14ac:dyDescent="0.25">
      <c r="A813" s="22" t="s">
        <v>2364</v>
      </c>
      <c r="B813" t="s">
        <v>871</v>
      </c>
      <c r="C813" t="s">
        <v>2374</v>
      </c>
      <c r="D813">
        <v>8</v>
      </c>
      <c r="E813" t="s">
        <v>1814</v>
      </c>
      <c r="F813" t="s">
        <v>2776</v>
      </c>
      <c r="G813" t="s">
        <v>2777</v>
      </c>
    </row>
    <row r="814" spans="1:7" x14ac:dyDescent="0.25">
      <c r="A814" s="22" t="s">
        <v>2364</v>
      </c>
      <c r="B814" t="s">
        <v>871</v>
      </c>
      <c r="C814" t="s">
        <v>1033</v>
      </c>
      <c r="D814">
        <v>6</v>
      </c>
      <c r="E814" t="s">
        <v>2469</v>
      </c>
      <c r="F814" t="s">
        <v>2776</v>
      </c>
      <c r="G814" t="s">
        <v>2777</v>
      </c>
    </row>
    <row r="815" spans="1:7" x14ac:dyDescent="0.25">
      <c r="A815" s="22" t="s">
        <v>2364</v>
      </c>
      <c r="B815" t="s">
        <v>871</v>
      </c>
      <c r="C815" t="s">
        <v>916</v>
      </c>
      <c r="D815">
        <v>2</v>
      </c>
      <c r="E815" t="s">
        <v>1493</v>
      </c>
      <c r="F815" t="s">
        <v>2776</v>
      </c>
      <c r="G815" t="s">
        <v>2777</v>
      </c>
    </row>
    <row r="816" spans="1:7" x14ac:dyDescent="0.25">
      <c r="A816" s="22" t="s">
        <v>2364</v>
      </c>
      <c r="B816" t="s">
        <v>874</v>
      </c>
      <c r="C816" t="s">
        <v>1483</v>
      </c>
      <c r="D816">
        <v>50</v>
      </c>
      <c r="E816" t="s">
        <v>2720</v>
      </c>
      <c r="F816" t="s">
        <v>2774</v>
      </c>
      <c r="G816" t="s">
        <v>2775</v>
      </c>
    </row>
    <row r="817" spans="1:7" x14ac:dyDescent="0.25">
      <c r="A817" s="22" t="s">
        <v>2364</v>
      </c>
      <c r="B817" t="s">
        <v>874</v>
      </c>
      <c r="C817" t="s">
        <v>1033</v>
      </c>
      <c r="D817">
        <v>26</v>
      </c>
      <c r="E817" t="s">
        <v>2470</v>
      </c>
      <c r="F817" t="s">
        <v>2774</v>
      </c>
      <c r="G817" t="s">
        <v>2775</v>
      </c>
    </row>
    <row r="818" spans="1:7" x14ac:dyDescent="0.25">
      <c r="A818" s="22" t="s">
        <v>2364</v>
      </c>
      <c r="B818" t="s">
        <v>874</v>
      </c>
      <c r="C818" t="s">
        <v>2374</v>
      </c>
      <c r="D818">
        <v>8</v>
      </c>
      <c r="E818" t="s">
        <v>1821</v>
      </c>
      <c r="F818" t="s">
        <v>2776</v>
      </c>
      <c r="G818" t="s">
        <v>2777</v>
      </c>
    </row>
    <row r="819" spans="1:7" x14ac:dyDescent="0.25">
      <c r="A819" s="22" t="s">
        <v>2364</v>
      </c>
      <c r="B819" t="s">
        <v>874</v>
      </c>
      <c r="C819" t="s">
        <v>916</v>
      </c>
      <c r="D819">
        <v>6</v>
      </c>
      <c r="E819" t="s">
        <v>2471</v>
      </c>
      <c r="F819" t="s">
        <v>2776</v>
      </c>
      <c r="G819" t="s">
        <v>2777</v>
      </c>
    </row>
    <row r="820" spans="1:7" x14ac:dyDescent="0.25">
      <c r="A820" s="22" t="s">
        <v>2364</v>
      </c>
      <c r="B820" t="s">
        <v>874</v>
      </c>
      <c r="C820" t="s">
        <v>941</v>
      </c>
      <c r="D820">
        <v>6</v>
      </c>
      <c r="E820" t="s">
        <v>2721</v>
      </c>
      <c r="F820" t="s">
        <v>2776</v>
      </c>
      <c r="G820" t="s">
        <v>2777</v>
      </c>
    </row>
    <row r="821" spans="1:7" x14ac:dyDescent="0.25">
      <c r="A821" s="22" t="s">
        <v>2364</v>
      </c>
      <c r="B821" t="s">
        <v>874</v>
      </c>
      <c r="C821" t="s">
        <v>1557</v>
      </c>
      <c r="D821">
        <v>4</v>
      </c>
      <c r="E821" t="s">
        <v>1823</v>
      </c>
      <c r="F821" t="s">
        <v>2776</v>
      </c>
      <c r="G821" t="s">
        <v>2777</v>
      </c>
    </row>
    <row r="822" spans="1:7" x14ac:dyDescent="0.25">
      <c r="A822" s="22" t="s">
        <v>2364</v>
      </c>
      <c r="B822" s="15" t="s">
        <v>2628</v>
      </c>
      <c r="C822" s="13" t="s">
        <v>1557</v>
      </c>
      <c r="D822" s="13">
        <v>60</v>
      </c>
      <c r="E822" s="15" t="s">
        <v>2675</v>
      </c>
      <c r="F822" t="s">
        <v>2780</v>
      </c>
      <c r="G822" t="s">
        <v>2781</v>
      </c>
    </row>
    <row r="823" spans="1:7" x14ac:dyDescent="0.25">
      <c r="A823" s="22" t="s">
        <v>2364</v>
      </c>
      <c r="B823" s="15" t="s">
        <v>2628</v>
      </c>
      <c r="C823" s="13" t="s">
        <v>916</v>
      </c>
      <c r="D823" s="13">
        <v>20</v>
      </c>
      <c r="E823" s="15" t="s">
        <v>2676</v>
      </c>
      <c r="F823" t="s">
        <v>2776</v>
      </c>
      <c r="G823" t="s">
        <v>2777</v>
      </c>
    </row>
    <row r="824" spans="1:7" x14ac:dyDescent="0.25">
      <c r="A824" s="22" t="s">
        <v>2364</v>
      </c>
      <c r="B824" s="15" t="s">
        <v>2628</v>
      </c>
      <c r="C824" s="13" t="s">
        <v>1565</v>
      </c>
      <c r="D824" s="13">
        <v>10</v>
      </c>
      <c r="E824" s="15" t="s">
        <v>2677</v>
      </c>
      <c r="F824" t="s">
        <v>2776</v>
      </c>
      <c r="G824" t="s">
        <v>2777</v>
      </c>
    </row>
    <row r="825" spans="1:7" x14ac:dyDescent="0.25">
      <c r="A825" s="22" t="s">
        <v>2364</v>
      </c>
      <c r="B825" s="15" t="s">
        <v>2628</v>
      </c>
      <c r="C825" s="13" t="s">
        <v>2374</v>
      </c>
      <c r="D825" s="13">
        <v>10</v>
      </c>
      <c r="E825" s="15" t="s">
        <v>2678</v>
      </c>
      <c r="F825" t="s">
        <v>2776</v>
      </c>
      <c r="G825" t="s">
        <v>2777</v>
      </c>
    </row>
    <row r="826" spans="1:7" x14ac:dyDescent="0.25">
      <c r="A826" s="22" t="s">
        <v>2364</v>
      </c>
      <c r="B826" s="15" t="s">
        <v>2636</v>
      </c>
      <c r="C826" s="13" t="s">
        <v>1138</v>
      </c>
      <c r="D826" s="13">
        <v>88</v>
      </c>
      <c r="E826" s="15" t="s">
        <v>1745</v>
      </c>
      <c r="F826" t="s">
        <v>2778</v>
      </c>
      <c r="G826" t="s">
        <v>2779</v>
      </c>
    </row>
    <row r="827" spans="1:7" x14ac:dyDescent="0.25">
      <c r="A827" s="22" t="s">
        <v>2364</v>
      </c>
      <c r="B827" s="15" t="s">
        <v>2636</v>
      </c>
      <c r="C827" s="13" t="s">
        <v>1557</v>
      </c>
      <c r="D827" s="13">
        <v>12</v>
      </c>
      <c r="E827" s="15" t="s">
        <v>2637</v>
      </c>
      <c r="F827" t="s">
        <v>2778</v>
      </c>
      <c r="G827" t="s">
        <v>2779</v>
      </c>
    </row>
    <row r="828" spans="1:7" x14ac:dyDescent="0.25">
      <c r="A828" s="22" t="s">
        <v>2364</v>
      </c>
      <c r="B828" s="15" t="s">
        <v>2649</v>
      </c>
      <c r="C828" s="13" t="s">
        <v>1565</v>
      </c>
      <c r="D828" s="13">
        <v>40</v>
      </c>
      <c r="E828" s="15" t="s">
        <v>2650</v>
      </c>
      <c r="F828" t="s">
        <v>2776</v>
      </c>
      <c r="G828" t="s">
        <v>2777</v>
      </c>
    </row>
    <row r="829" spans="1:7" x14ac:dyDescent="0.25">
      <c r="A829" s="22" t="s">
        <v>2364</v>
      </c>
      <c r="B829" s="15" t="s">
        <v>2649</v>
      </c>
      <c r="C829" s="13" t="s">
        <v>1557</v>
      </c>
      <c r="D829" s="13">
        <v>20</v>
      </c>
      <c r="E829" s="15" t="s">
        <v>2651</v>
      </c>
      <c r="F829" t="s">
        <v>2776</v>
      </c>
      <c r="G829" t="s">
        <v>2777</v>
      </c>
    </row>
    <row r="830" spans="1:7" x14ac:dyDescent="0.25">
      <c r="A830" s="22" t="s">
        <v>2364</v>
      </c>
      <c r="B830" s="15" t="s">
        <v>2649</v>
      </c>
      <c r="C830" s="13" t="s">
        <v>1138</v>
      </c>
      <c r="D830" s="13">
        <v>15</v>
      </c>
      <c r="E830" s="15" t="s">
        <v>2652</v>
      </c>
      <c r="F830" t="s">
        <v>2776</v>
      </c>
      <c r="G830" t="s">
        <v>2777</v>
      </c>
    </row>
    <row r="831" spans="1:7" x14ac:dyDescent="0.25">
      <c r="A831" s="22" t="s">
        <v>2364</v>
      </c>
      <c r="B831" s="15" t="s">
        <v>2649</v>
      </c>
      <c r="C831" s="13" t="s">
        <v>617</v>
      </c>
      <c r="D831" s="13">
        <v>12</v>
      </c>
      <c r="E831" s="15" t="s">
        <v>2683</v>
      </c>
      <c r="F831" t="s">
        <v>2776</v>
      </c>
      <c r="G831" t="s">
        <v>2777</v>
      </c>
    </row>
    <row r="832" spans="1:7" x14ac:dyDescent="0.25">
      <c r="A832" s="22" t="s">
        <v>2364</v>
      </c>
      <c r="B832" s="15" t="s">
        <v>2649</v>
      </c>
      <c r="C832" s="13" t="s">
        <v>1025</v>
      </c>
      <c r="D832" s="13">
        <v>8</v>
      </c>
      <c r="E832" s="15" t="s">
        <v>2653</v>
      </c>
      <c r="F832" t="s">
        <v>2776</v>
      </c>
      <c r="G832" t="s">
        <v>2777</v>
      </c>
    </row>
    <row r="833" spans="1:7" x14ac:dyDescent="0.25">
      <c r="A833" s="22" t="s">
        <v>2364</v>
      </c>
      <c r="B833" s="15" t="s">
        <v>2649</v>
      </c>
      <c r="C833" s="13" t="s">
        <v>22</v>
      </c>
      <c r="D833" s="13">
        <v>5</v>
      </c>
      <c r="E833" s="15" t="s">
        <v>2654</v>
      </c>
      <c r="F833" t="s">
        <v>2776</v>
      </c>
      <c r="G833" t="s">
        <v>2777</v>
      </c>
    </row>
    <row r="834" spans="1:7" x14ac:dyDescent="0.25">
      <c r="A834" s="22" t="s">
        <v>2364</v>
      </c>
      <c r="B834" s="15" t="s">
        <v>2641</v>
      </c>
      <c r="C834" s="13" t="s">
        <v>1557</v>
      </c>
      <c r="D834" s="13">
        <v>60</v>
      </c>
      <c r="E834" s="15" t="s">
        <v>2642</v>
      </c>
      <c r="F834" t="s">
        <v>2780</v>
      </c>
      <c r="G834" t="s">
        <v>2781</v>
      </c>
    </row>
    <row r="835" spans="1:7" x14ac:dyDescent="0.25">
      <c r="A835" s="22" t="s">
        <v>2364</v>
      </c>
      <c r="B835" s="15" t="s">
        <v>2641</v>
      </c>
      <c r="C835" s="13" t="s">
        <v>1138</v>
      </c>
      <c r="D835" s="13">
        <v>25</v>
      </c>
      <c r="E835" s="15" t="s">
        <v>2643</v>
      </c>
      <c r="F835" t="s">
        <v>2776</v>
      </c>
      <c r="G835" t="s">
        <v>2777</v>
      </c>
    </row>
    <row r="836" spans="1:7" x14ac:dyDescent="0.25">
      <c r="A836" s="22" t="s">
        <v>2364</v>
      </c>
      <c r="B836" s="15" t="s">
        <v>2641</v>
      </c>
      <c r="C836" s="13" t="s">
        <v>1565</v>
      </c>
      <c r="D836" s="13">
        <v>10</v>
      </c>
      <c r="E836" s="15" t="s">
        <v>2644</v>
      </c>
      <c r="F836" t="s">
        <v>2776</v>
      </c>
      <c r="G836" t="s">
        <v>2777</v>
      </c>
    </row>
    <row r="837" spans="1:7" x14ac:dyDescent="0.25">
      <c r="A837" s="22" t="s">
        <v>2364</v>
      </c>
      <c r="B837" s="15" t="s">
        <v>2641</v>
      </c>
      <c r="C837" s="13" t="s">
        <v>916</v>
      </c>
      <c r="D837" s="13">
        <v>5</v>
      </c>
      <c r="E837" s="15" t="s">
        <v>2645</v>
      </c>
      <c r="F837" t="s">
        <v>2776</v>
      </c>
      <c r="G837" t="s">
        <v>2777</v>
      </c>
    </row>
    <row r="838" spans="1:7" x14ac:dyDescent="0.25">
      <c r="A838" s="22" t="s">
        <v>2364</v>
      </c>
      <c r="B838" s="15" t="s">
        <v>2660</v>
      </c>
      <c r="C838" s="13" t="s">
        <v>1557</v>
      </c>
      <c r="D838" s="13">
        <v>40</v>
      </c>
      <c r="E838" s="15" t="s">
        <v>2672</v>
      </c>
      <c r="F838" t="s">
        <v>2778</v>
      </c>
      <c r="G838" t="s">
        <v>2779</v>
      </c>
    </row>
    <row r="839" spans="1:7" x14ac:dyDescent="0.25">
      <c r="A839" s="22" t="s">
        <v>2364</v>
      </c>
      <c r="B839" s="15" t="s">
        <v>2660</v>
      </c>
      <c r="C839" s="13" t="s">
        <v>1565</v>
      </c>
      <c r="D839" s="13">
        <v>25</v>
      </c>
      <c r="E839" s="15" t="s">
        <v>2661</v>
      </c>
      <c r="F839" t="s">
        <v>2778</v>
      </c>
      <c r="G839" t="s">
        <v>2779</v>
      </c>
    </row>
    <row r="840" spans="1:7" x14ac:dyDescent="0.25">
      <c r="A840" s="22" t="s">
        <v>2364</v>
      </c>
      <c r="B840" s="15" t="s">
        <v>2660</v>
      </c>
      <c r="C840" s="13" t="s">
        <v>1138</v>
      </c>
      <c r="D840" s="13">
        <v>15</v>
      </c>
      <c r="E840" s="15" t="s">
        <v>2662</v>
      </c>
      <c r="F840" t="s">
        <v>2778</v>
      </c>
      <c r="G840" t="s">
        <v>2779</v>
      </c>
    </row>
    <row r="841" spans="1:7" x14ac:dyDescent="0.25">
      <c r="A841" s="22" t="s">
        <v>2364</v>
      </c>
      <c r="B841" s="15" t="s">
        <v>2660</v>
      </c>
      <c r="C841" s="13" t="s">
        <v>1025</v>
      </c>
      <c r="D841" s="13">
        <v>10</v>
      </c>
      <c r="E841" s="15" t="s">
        <v>2663</v>
      </c>
      <c r="F841" t="s">
        <v>2778</v>
      </c>
      <c r="G841" t="s">
        <v>2779</v>
      </c>
    </row>
    <row r="842" spans="1:7" x14ac:dyDescent="0.25">
      <c r="A842" s="22" t="s">
        <v>2364</v>
      </c>
      <c r="B842" s="15" t="s">
        <v>2660</v>
      </c>
      <c r="C842" s="13" t="s">
        <v>617</v>
      </c>
      <c r="D842" s="13">
        <v>10</v>
      </c>
      <c r="E842" s="15" t="s">
        <v>2684</v>
      </c>
      <c r="F842" t="s">
        <v>2778</v>
      </c>
      <c r="G842" t="s">
        <v>2779</v>
      </c>
    </row>
    <row r="843" spans="1:7" x14ac:dyDescent="0.25">
      <c r="A843" s="22" t="s">
        <v>2364</v>
      </c>
      <c r="B843" s="15" t="s">
        <v>2674</v>
      </c>
      <c r="C843" s="13" t="s">
        <v>1138</v>
      </c>
      <c r="D843" s="13">
        <v>90</v>
      </c>
      <c r="E843" s="15" t="s">
        <v>1745</v>
      </c>
      <c r="F843" t="s">
        <v>2780</v>
      </c>
      <c r="G843" t="s">
        <v>2781</v>
      </c>
    </row>
    <row r="844" spans="1:7" x14ac:dyDescent="0.25">
      <c r="A844" s="22" t="s">
        <v>2364</v>
      </c>
      <c r="B844" s="15" t="s">
        <v>2674</v>
      </c>
      <c r="C844" s="13" t="s">
        <v>1557</v>
      </c>
      <c r="D844" s="13">
        <v>10</v>
      </c>
      <c r="E844" s="15" t="s">
        <v>1745</v>
      </c>
      <c r="F844" t="s">
        <v>2776</v>
      </c>
      <c r="G844" t="s">
        <v>2777</v>
      </c>
    </row>
    <row r="845" spans="1:7" x14ac:dyDescent="0.25">
      <c r="A845" s="23" t="s">
        <v>2365</v>
      </c>
      <c r="B845" t="s">
        <v>633</v>
      </c>
      <c r="C845" t="s">
        <v>18</v>
      </c>
      <c r="D845">
        <v>80</v>
      </c>
      <c r="E845" t="s">
        <v>1519</v>
      </c>
      <c r="F845" t="s">
        <v>2774</v>
      </c>
      <c r="G845" t="s">
        <v>2775</v>
      </c>
    </row>
    <row r="846" spans="1:7" x14ac:dyDescent="0.25">
      <c r="A846" s="23" t="s">
        <v>2365</v>
      </c>
      <c r="B846" t="s">
        <v>633</v>
      </c>
      <c r="C846" t="s">
        <v>22</v>
      </c>
      <c r="D846">
        <v>10</v>
      </c>
      <c r="E846" t="s">
        <v>1521</v>
      </c>
      <c r="F846" t="s">
        <v>2776</v>
      </c>
      <c r="G846" t="s">
        <v>2777</v>
      </c>
    </row>
    <row r="847" spans="1:7" x14ac:dyDescent="0.25">
      <c r="A847" s="23" t="s">
        <v>2365</v>
      </c>
      <c r="B847" t="s">
        <v>633</v>
      </c>
      <c r="C847" t="s">
        <v>698</v>
      </c>
      <c r="D847">
        <v>4</v>
      </c>
      <c r="E847" t="s">
        <v>1463</v>
      </c>
      <c r="F847" t="s">
        <v>2776</v>
      </c>
      <c r="G847" t="s">
        <v>2777</v>
      </c>
    </row>
    <row r="848" spans="1:7" x14ac:dyDescent="0.25">
      <c r="A848" s="23" t="s">
        <v>2365</v>
      </c>
      <c r="B848" t="s">
        <v>633</v>
      </c>
      <c r="C848" t="s">
        <v>23</v>
      </c>
      <c r="D848">
        <v>3</v>
      </c>
      <c r="E848" t="s">
        <v>1523</v>
      </c>
      <c r="F848" t="s">
        <v>2776</v>
      </c>
      <c r="G848" t="s">
        <v>2777</v>
      </c>
    </row>
    <row r="849" spans="1:7" x14ac:dyDescent="0.25">
      <c r="A849" s="23" t="s">
        <v>2365</v>
      </c>
      <c r="B849" t="s">
        <v>633</v>
      </c>
      <c r="C849" t="s">
        <v>21</v>
      </c>
      <c r="D849">
        <v>3</v>
      </c>
      <c r="E849" t="s">
        <v>1525</v>
      </c>
      <c r="F849" t="s">
        <v>2776</v>
      </c>
      <c r="G849" t="s">
        <v>2777</v>
      </c>
    </row>
    <row r="850" spans="1:7" x14ac:dyDescent="0.25">
      <c r="A850" s="23" t="s">
        <v>2365</v>
      </c>
      <c r="B850" t="s">
        <v>629</v>
      </c>
      <c r="C850" t="s">
        <v>18</v>
      </c>
      <c r="D850">
        <v>56</v>
      </c>
      <c r="E850" t="s">
        <v>1527</v>
      </c>
      <c r="F850" t="s">
        <v>2774</v>
      </c>
      <c r="G850" t="s">
        <v>2775</v>
      </c>
    </row>
    <row r="851" spans="1:7" x14ac:dyDescent="0.25">
      <c r="A851" s="23" t="s">
        <v>2365</v>
      </c>
      <c r="B851" t="s">
        <v>629</v>
      </c>
      <c r="C851" t="s">
        <v>21</v>
      </c>
      <c r="D851">
        <v>18</v>
      </c>
      <c r="E851" t="s">
        <v>1529</v>
      </c>
      <c r="F851" t="s">
        <v>2776</v>
      </c>
      <c r="G851" t="s">
        <v>2777</v>
      </c>
    </row>
    <row r="852" spans="1:7" x14ac:dyDescent="0.25">
      <c r="A852" s="23" t="s">
        <v>2365</v>
      </c>
      <c r="B852" t="s">
        <v>629</v>
      </c>
      <c r="C852" t="s">
        <v>22</v>
      </c>
      <c r="D852">
        <v>12</v>
      </c>
      <c r="E852" t="s">
        <v>1530</v>
      </c>
      <c r="F852" t="s">
        <v>2776</v>
      </c>
      <c r="G852" t="s">
        <v>2777</v>
      </c>
    </row>
    <row r="853" spans="1:7" x14ac:dyDescent="0.25">
      <c r="A853" s="23" t="s">
        <v>2365</v>
      </c>
      <c r="B853" t="s">
        <v>629</v>
      </c>
      <c r="C853" t="s">
        <v>23</v>
      </c>
      <c r="D853">
        <v>8</v>
      </c>
      <c r="E853" t="s">
        <v>1531</v>
      </c>
      <c r="F853" t="s">
        <v>2776</v>
      </c>
      <c r="G853" t="s">
        <v>2777</v>
      </c>
    </row>
    <row r="854" spans="1:7" x14ac:dyDescent="0.25">
      <c r="A854" s="23" t="s">
        <v>2365</v>
      </c>
      <c r="B854" t="s">
        <v>629</v>
      </c>
      <c r="C854" t="s">
        <v>1225</v>
      </c>
      <c r="D854">
        <v>3</v>
      </c>
      <c r="E854" t="s">
        <v>1532</v>
      </c>
      <c r="F854" t="s">
        <v>2776</v>
      </c>
      <c r="G854" t="s">
        <v>2777</v>
      </c>
    </row>
    <row r="855" spans="1:7" x14ac:dyDescent="0.25">
      <c r="A855" s="23" t="s">
        <v>2365</v>
      </c>
      <c r="B855" t="s">
        <v>629</v>
      </c>
      <c r="C855" t="s">
        <v>698</v>
      </c>
      <c r="D855">
        <v>3</v>
      </c>
      <c r="E855" t="s">
        <v>1463</v>
      </c>
      <c r="F855" t="s">
        <v>2776</v>
      </c>
      <c r="G855" t="s">
        <v>2777</v>
      </c>
    </row>
    <row r="856" spans="1:7" x14ac:dyDescent="0.25">
      <c r="A856" s="23" t="s">
        <v>2365</v>
      </c>
      <c r="B856" t="s">
        <v>631</v>
      </c>
      <c r="C856" t="s">
        <v>21</v>
      </c>
      <c r="D856">
        <v>86</v>
      </c>
      <c r="E856" t="s">
        <v>1535</v>
      </c>
      <c r="F856" t="s">
        <v>2774</v>
      </c>
      <c r="G856" t="s">
        <v>2775</v>
      </c>
    </row>
    <row r="857" spans="1:7" x14ac:dyDescent="0.25">
      <c r="A857" s="23" t="s">
        <v>2365</v>
      </c>
      <c r="B857" t="s">
        <v>631</v>
      </c>
      <c r="C857" t="s">
        <v>18</v>
      </c>
      <c r="D857">
        <v>4</v>
      </c>
      <c r="E857" t="s">
        <v>1536</v>
      </c>
      <c r="F857" t="s">
        <v>2776</v>
      </c>
      <c r="G857" t="s">
        <v>2777</v>
      </c>
    </row>
    <row r="858" spans="1:7" x14ac:dyDescent="0.25">
      <c r="A858" s="23" t="s">
        <v>2365</v>
      </c>
      <c r="B858" t="s">
        <v>631</v>
      </c>
      <c r="C858" t="s">
        <v>23</v>
      </c>
      <c r="D858">
        <v>4</v>
      </c>
      <c r="E858" t="s">
        <v>1538</v>
      </c>
      <c r="F858" t="s">
        <v>2776</v>
      </c>
      <c r="G858" t="s">
        <v>2777</v>
      </c>
    </row>
    <row r="859" spans="1:7" x14ac:dyDescent="0.25">
      <c r="A859" s="23" t="s">
        <v>2365</v>
      </c>
      <c r="B859" t="s">
        <v>631</v>
      </c>
      <c r="C859" t="s">
        <v>1225</v>
      </c>
      <c r="D859">
        <v>4</v>
      </c>
      <c r="E859" t="s">
        <v>1540</v>
      </c>
      <c r="F859" t="s">
        <v>2776</v>
      </c>
      <c r="G859" t="s">
        <v>2777</v>
      </c>
    </row>
    <row r="860" spans="1:7" x14ac:dyDescent="0.25">
      <c r="A860" s="23" t="s">
        <v>2365</v>
      </c>
      <c r="B860" t="s">
        <v>631</v>
      </c>
      <c r="C860" t="s">
        <v>22</v>
      </c>
      <c r="D860">
        <v>2</v>
      </c>
      <c r="E860" t="s">
        <v>1542</v>
      </c>
      <c r="F860" t="s">
        <v>2776</v>
      </c>
      <c r="G860" t="s">
        <v>2777</v>
      </c>
    </row>
    <row r="861" spans="1:7" x14ac:dyDescent="0.25">
      <c r="A861" s="23" t="s">
        <v>2365</v>
      </c>
      <c r="B861" t="s">
        <v>663</v>
      </c>
      <c r="C861" t="s">
        <v>22</v>
      </c>
      <c r="D861">
        <v>88</v>
      </c>
      <c r="E861" t="s">
        <v>1546</v>
      </c>
      <c r="F861" t="s">
        <v>2774</v>
      </c>
      <c r="G861" t="s">
        <v>2775</v>
      </c>
    </row>
    <row r="862" spans="1:7" x14ac:dyDescent="0.25">
      <c r="A862" s="23" t="s">
        <v>2365</v>
      </c>
      <c r="B862" t="s">
        <v>663</v>
      </c>
      <c r="C862" t="s">
        <v>18</v>
      </c>
      <c r="D862">
        <v>4</v>
      </c>
      <c r="E862" t="s">
        <v>1547</v>
      </c>
      <c r="F862" t="s">
        <v>2776</v>
      </c>
      <c r="G862" t="s">
        <v>2777</v>
      </c>
    </row>
    <row r="863" spans="1:7" x14ac:dyDescent="0.25">
      <c r="A863" s="23" t="s">
        <v>2365</v>
      </c>
      <c r="B863" t="s">
        <v>663</v>
      </c>
      <c r="C863" t="s">
        <v>698</v>
      </c>
      <c r="D863">
        <v>4</v>
      </c>
      <c r="E863" t="s">
        <v>1463</v>
      </c>
      <c r="F863" t="s">
        <v>2776</v>
      </c>
      <c r="G863" t="s">
        <v>2777</v>
      </c>
    </row>
    <row r="864" spans="1:7" x14ac:dyDescent="0.25">
      <c r="A864" s="23" t="s">
        <v>2365</v>
      </c>
      <c r="B864" t="s">
        <v>663</v>
      </c>
      <c r="C864" t="s">
        <v>21</v>
      </c>
      <c r="D864">
        <v>2</v>
      </c>
      <c r="E864" t="s">
        <v>1535</v>
      </c>
      <c r="F864" t="s">
        <v>2776</v>
      </c>
      <c r="G864" t="s">
        <v>2777</v>
      </c>
    </row>
    <row r="865" spans="1:7" x14ac:dyDescent="0.25">
      <c r="A865" s="23" t="s">
        <v>2365</v>
      </c>
      <c r="B865" t="s">
        <v>663</v>
      </c>
      <c r="C865" t="s">
        <v>916</v>
      </c>
      <c r="D865">
        <v>2</v>
      </c>
      <c r="E865" t="s">
        <v>1551</v>
      </c>
      <c r="F865" t="s">
        <v>2776</v>
      </c>
      <c r="G865" t="s">
        <v>2777</v>
      </c>
    </row>
    <row r="866" spans="1:7" x14ac:dyDescent="0.25">
      <c r="A866" s="23" t="s">
        <v>2365</v>
      </c>
      <c r="B866" t="s">
        <v>653</v>
      </c>
      <c r="C866" t="s">
        <v>22</v>
      </c>
      <c r="D866">
        <v>84</v>
      </c>
      <c r="E866" t="s">
        <v>1560</v>
      </c>
      <c r="F866" t="s">
        <v>2774</v>
      </c>
      <c r="G866" t="s">
        <v>2775</v>
      </c>
    </row>
    <row r="867" spans="1:7" x14ac:dyDescent="0.25">
      <c r="A867" s="23" t="s">
        <v>2365</v>
      </c>
      <c r="B867" t="s">
        <v>653</v>
      </c>
      <c r="C867" t="s">
        <v>21</v>
      </c>
      <c r="D867">
        <v>5</v>
      </c>
      <c r="E867" t="s">
        <v>1535</v>
      </c>
      <c r="F867" t="s">
        <v>2776</v>
      </c>
      <c r="G867" t="s">
        <v>2777</v>
      </c>
    </row>
    <row r="868" spans="1:7" x14ac:dyDescent="0.25">
      <c r="A868" s="23" t="s">
        <v>2365</v>
      </c>
      <c r="B868" t="s">
        <v>653</v>
      </c>
      <c r="C868" t="s">
        <v>916</v>
      </c>
      <c r="D868">
        <v>5</v>
      </c>
      <c r="E868" t="s">
        <v>1551</v>
      </c>
      <c r="F868" t="s">
        <v>2776</v>
      </c>
      <c r="G868" t="s">
        <v>2777</v>
      </c>
    </row>
    <row r="869" spans="1:7" x14ac:dyDescent="0.25">
      <c r="A869" s="23" t="s">
        <v>2365</v>
      </c>
      <c r="B869" t="s">
        <v>653</v>
      </c>
      <c r="C869" t="s">
        <v>18</v>
      </c>
      <c r="D869">
        <v>3</v>
      </c>
      <c r="E869" t="s">
        <v>1547</v>
      </c>
      <c r="F869" t="s">
        <v>2776</v>
      </c>
      <c r="G869" t="s">
        <v>2777</v>
      </c>
    </row>
    <row r="870" spans="1:7" x14ac:dyDescent="0.25">
      <c r="A870" s="23" t="s">
        <v>2365</v>
      </c>
      <c r="B870" t="s">
        <v>653</v>
      </c>
      <c r="C870" t="s">
        <v>698</v>
      </c>
      <c r="D870">
        <v>3</v>
      </c>
      <c r="E870" t="s">
        <v>1463</v>
      </c>
      <c r="F870" t="s">
        <v>2776</v>
      </c>
      <c r="G870" t="s">
        <v>2777</v>
      </c>
    </row>
    <row r="871" spans="1:7" x14ac:dyDescent="0.25">
      <c r="A871" s="23" t="s">
        <v>2365</v>
      </c>
      <c r="B871" t="s">
        <v>605</v>
      </c>
      <c r="C871" t="s">
        <v>22</v>
      </c>
      <c r="D871">
        <v>66</v>
      </c>
      <c r="E871" t="s">
        <v>1564</v>
      </c>
      <c r="F871" t="s">
        <v>2774</v>
      </c>
      <c r="G871" t="s">
        <v>2775</v>
      </c>
    </row>
    <row r="872" spans="1:7" x14ac:dyDescent="0.25">
      <c r="A872" s="23" t="s">
        <v>2365</v>
      </c>
      <c r="B872" t="s">
        <v>605</v>
      </c>
      <c r="C872" t="s">
        <v>1565</v>
      </c>
      <c r="D872">
        <v>10</v>
      </c>
      <c r="E872" t="s">
        <v>2555</v>
      </c>
      <c r="F872" t="s">
        <v>2778</v>
      </c>
      <c r="G872" t="s">
        <v>2779</v>
      </c>
    </row>
    <row r="873" spans="1:7" x14ac:dyDescent="0.25">
      <c r="A873" s="23" t="s">
        <v>2365</v>
      </c>
      <c r="B873" t="s">
        <v>605</v>
      </c>
      <c r="C873" t="s">
        <v>21</v>
      </c>
      <c r="D873">
        <v>5</v>
      </c>
      <c r="E873" t="s">
        <v>1535</v>
      </c>
      <c r="F873" t="s">
        <v>2776</v>
      </c>
      <c r="G873" t="s">
        <v>2777</v>
      </c>
    </row>
    <row r="874" spans="1:7" x14ac:dyDescent="0.25">
      <c r="A874" s="23" t="s">
        <v>2365</v>
      </c>
      <c r="B874" t="s">
        <v>605</v>
      </c>
      <c r="C874" t="s">
        <v>18</v>
      </c>
      <c r="D874">
        <v>5</v>
      </c>
      <c r="E874" t="s">
        <v>1568</v>
      </c>
      <c r="F874" t="s">
        <v>2776</v>
      </c>
      <c r="G874" t="s">
        <v>2777</v>
      </c>
    </row>
    <row r="875" spans="1:7" x14ac:dyDescent="0.25">
      <c r="A875" s="23" t="s">
        <v>2365</v>
      </c>
      <c r="B875" t="s">
        <v>605</v>
      </c>
      <c r="C875" t="s">
        <v>916</v>
      </c>
      <c r="D875">
        <v>4</v>
      </c>
      <c r="E875" t="s">
        <v>1551</v>
      </c>
      <c r="F875" t="s">
        <v>2776</v>
      </c>
      <c r="G875" t="s">
        <v>2777</v>
      </c>
    </row>
    <row r="876" spans="1:7" x14ac:dyDescent="0.25">
      <c r="A876" s="23" t="s">
        <v>2365</v>
      </c>
      <c r="B876" t="s">
        <v>605</v>
      </c>
      <c r="C876" t="s">
        <v>1557</v>
      </c>
      <c r="D876">
        <v>4</v>
      </c>
      <c r="E876" t="s">
        <v>1570</v>
      </c>
      <c r="F876" t="s">
        <v>2776</v>
      </c>
      <c r="G876" t="s">
        <v>2777</v>
      </c>
    </row>
    <row r="877" spans="1:7" x14ac:dyDescent="0.25">
      <c r="A877" s="23" t="s">
        <v>2365</v>
      </c>
      <c r="B877" t="s">
        <v>605</v>
      </c>
      <c r="C877" t="s">
        <v>698</v>
      </c>
      <c r="D877">
        <v>3</v>
      </c>
      <c r="E877" t="s">
        <v>1463</v>
      </c>
      <c r="F877" t="s">
        <v>2776</v>
      </c>
      <c r="G877" t="s">
        <v>2777</v>
      </c>
    </row>
    <row r="878" spans="1:7" x14ac:dyDescent="0.25">
      <c r="A878" s="23" t="s">
        <v>2365</v>
      </c>
      <c r="B878" t="s">
        <v>605</v>
      </c>
      <c r="C878" t="s">
        <v>23</v>
      </c>
      <c r="D878">
        <v>3</v>
      </c>
      <c r="E878" t="s">
        <v>1573</v>
      </c>
      <c r="F878" t="s">
        <v>2776</v>
      </c>
      <c r="G878" t="s">
        <v>2777</v>
      </c>
    </row>
    <row r="879" spans="1:7" x14ac:dyDescent="0.25">
      <c r="A879" s="23" t="s">
        <v>2365</v>
      </c>
      <c r="B879" t="s">
        <v>661</v>
      </c>
      <c r="C879" t="s">
        <v>22</v>
      </c>
      <c r="D879">
        <v>70</v>
      </c>
      <c r="E879" t="s">
        <v>1575</v>
      </c>
      <c r="F879" t="s">
        <v>2774</v>
      </c>
      <c r="G879" t="s">
        <v>2775</v>
      </c>
    </row>
    <row r="880" spans="1:7" x14ac:dyDescent="0.25">
      <c r="A880" s="23" t="s">
        <v>2365</v>
      </c>
      <c r="B880" t="s">
        <v>661</v>
      </c>
      <c r="C880" t="s">
        <v>2374</v>
      </c>
      <c r="D880">
        <v>6</v>
      </c>
      <c r="E880" t="s">
        <v>1097</v>
      </c>
      <c r="F880" t="s">
        <v>2776</v>
      </c>
      <c r="G880" t="s">
        <v>2777</v>
      </c>
    </row>
    <row r="881" spans="1:7" x14ac:dyDescent="0.25">
      <c r="A881" s="23" t="s">
        <v>2365</v>
      </c>
      <c r="B881" t="s">
        <v>661</v>
      </c>
      <c r="C881" t="s">
        <v>941</v>
      </c>
      <c r="D881">
        <v>5</v>
      </c>
      <c r="E881" t="s">
        <v>2722</v>
      </c>
      <c r="F881" t="s">
        <v>2778</v>
      </c>
      <c r="G881" t="s">
        <v>2779</v>
      </c>
    </row>
    <row r="882" spans="1:7" x14ac:dyDescent="0.25">
      <c r="A882" s="23" t="s">
        <v>2365</v>
      </c>
      <c r="B882" t="s">
        <v>661</v>
      </c>
      <c r="C882" t="s">
        <v>1565</v>
      </c>
      <c r="D882">
        <v>7</v>
      </c>
      <c r="E882" t="s">
        <v>2543</v>
      </c>
      <c r="F882" t="s">
        <v>2778</v>
      </c>
      <c r="G882" t="s">
        <v>2779</v>
      </c>
    </row>
    <row r="883" spans="1:7" x14ac:dyDescent="0.25">
      <c r="A883" s="23" t="s">
        <v>2365</v>
      </c>
      <c r="B883" t="s">
        <v>661</v>
      </c>
      <c r="C883" t="s">
        <v>18</v>
      </c>
      <c r="D883">
        <v>5</v>
      </c>
      <c r="E883" t="s">
        <v>1568</v>
      </c>
      <c r="F883" t="s">
        <v>2776</v>
      </c>
      <c r="G883" t="s">
        <v>2777</v>
      </c>
    </row>
    <row r="884" spans="1:7" x14ac:dyDescent="0.25">
      <c r="A884" s="23" t="s">
        <v>2365</v>
      </c>
      <c r="B884" t="s">
        <v>661</v>
      </c>
      <c r="C884" t="s">
        <v>21</v>
      </c>
      <c r="D884">
        <v>3</v>
      </c>
      <c r="E884" t="s">
        <v>1535</v>
      </c>
      <c r="F884" t="s">
        <v>2776</v>
      </c>
      <c r="G884" t="s">
        <v>2777</v>
      </c>
    </row>
    <row r="885" spans="1:7" x14ac:dyDescent="0.25">
      <c r="A885" s="23" t="s">
        <v>2365</v>
      </c>
      <c r="B885" t="s">
        <v>661</v>
      </c>
      <c r="C885" t="s">
        <v>698</v>
      </c>
      <c r="D885">
        <v>2</v>
      </c>
      <c r="E885" t="s">
        <v>1463</v>
      </c>
      <c r="F885" t="s">
        <v>2776</v>
      </c>
      <c r="G885" t="s">
        <v>2777</v>
      </c>
    </row>
    <row r="886" spans="1:7" x14ac:dyDescent="0.25">
      <c r="A886" s="23" t="s">
        <v>2365</v>
      </c>
      <c r="B886" t="s">
        <v>661</v>
      </c>
      <c r="C886" t="s">
        <v>916</v>
      </c>
      <c r="D886">
        <v>2</v>
      </c>
      <c r="E886" t="s">
        <v>1551</v>
      </c>
      <c r="F886" t="s">
        <v>2776</v>
      </c>
      <c r="G886" t="s">
        <v>2777</v>
      </c>
    </row>
    <row r="887" spans="1:7" x14ac:dyDescent="0.25">
      <c r="A887" s="23" t="s">
        <v>2365</v>
      </c>
      <c r="B887" t="s">
        <v>639</v>
      </c>
      <c r="C887" t="s">
        <v>22</v>
      </c>
      <c r="D887">
        <v>78</v>
      </c>
      <c r="E887" t="s">
        <v>1580</v>
      </c>
      <c r="F887" t="s">
        <v>2774</v>
      </c>
      <c r="G887" t="s">
        <v>2775</v>
      </c>
    </row>
    <row r="888" spans="1:7" x14ac:dyDescent="0.25">
      <c r="A888" s="23" t="s">
        <v>2365</v>
      </c>
      <c r="B888" t="s">
        <v>639</v>
      </c>
      <c r="C888" t="s">
        <v>18</v>
      </c>
      <c r="D888">
        <v>6</v>
      </c>
      <c r="E888" t="s">
        <v>1581</v>
      </c>
      <c r="F888" t="s">
        <v>2776</v>
      </c>
      <c r="G888" t="s">
        <v>2777</v>
      </c>
    </row>
    <row r="889" spans="1:7" x14ac:dyDescent="0.25">
      <c r="A889" s="23" t="s">
        <v>2365</v>
      </c>
      <c r="B889" t="s">
        <v>639</v>
      </c>
      <c r="C889" t="s">
        <v>21</v>
      </c>
      <c r="D889">
        <v>4</v>
      </c>
      <c r="E889" t="s">
        <v>1535</v>
      </c>
      <c r="F889" t="s">
        <v>2776</v>
      </c>
      <c r="G889" t="s">
        <v>2777</v>
      </c>
    </row>
    <row r="890" spans="1:7" x14ac:dyDescent="0.25">
      <c r="A890" s="23" t="s">
        <v>2365</v>
      </c>
      <c r="B890" t="s">
        <v>639</v>
      </c>
      <c r="C890" t="s">
        <v>1565</v>
      </c>
      <c r="D890">
        <v>5</v>
      </c>
      <c r="E890" t="s">
        <v>2543</v>
      </c>
      <c r="F890" t="s">
        <v>2778</v>
      </c>
      <c r="G890" t="s">
        <v>2779</v>
      </c>
    </row>
    <row r="891" spans="1:7" x14ac:dyDescent="0.25">
      <c r="A891" s="23" t="s">
        <v>2365</v>
      </c>
      <c r="B891" t="s">
        <v>639</v>
      </c>
      <c r="C891" t="s">
        <v>698</v>
      </c>
      <c r="D891">
        <v>4</v>
      </c>
      <c r="E891" t="s">
        <v>1463</v>
      </c>
      <c r="F891" t="s">
        <v>2776</v>
      </c>
      <c r="G891" t="s">
        <v>2777</v>
      </c>
    </row>
    <row r="892" spans="1:7" x14ac:dyDescent="0.25">
      <c r="A892" s="23" t="s">
        <v>2365</v>
      </c>
      <c r="B892" t="s">
        <v>639</v>
      </c>
      <c r="C892" t="s">
        <v>916</v>
      </c>
      <c r="D892">
        <v>3</v>
      </c>
      <c r="E892" t="s">
        <v>1551</v>
      </c>
      <c r="F892" t="s">
        <v>2776</v>
      </c>
      <c r="G892" t="s">
        <v>2777</v>
      </c>
    </row>
    <row r="893" spans="1:7" x14ac:dyDescent="0.25">
      <c r="A893" s="23" t="s">
        <v>2365</v>
      </c>
      <c r="B893" t="s">
        <v>615</v>
      </c>
      <c r="C893" t="s">
        <v>22</v>
      </c>
      <c r="D893">
        <v>74</v>
      </c>
      <c r="E893" t="s">
        <v>1582</v>
      </c>
      <c r="F893" t="s">
        <v>2774</v>
      </c>
      <c r="G893" t="s">
        <v>2775</v>
      </c>
    </row>
    <row r="894" spans="1:7" x14ac:dyDescent="0.25">
      <c r="A894" s="23" t="s">
        <v>2365</v>
      </c>
      <c r="B894" t="s">
        <v>615</v>
      </c>
      <c r="C894" t="s">
        <v>21</v>
      </c>
      <c r="D894">
        <v>8</v>
      </c>
      <c r="E894" t="s">
        <v>1535</v>
      </c>
      <c r="F894" t="s">
        <v>2776</v>
      </c>
      <c r="G894" t="s">
        <v>2777</v>
      </c>
    </row>
    <row r="895" spans="1:7" x14ac:dyDescent="0.25">
      <c r="A895" s="23" t="s">
        <v>2365</v>
      </c>
      <c r="B895" t="s">
        <v>615</v>
      </c>
      <c r="C895" t="s">
        <v>18</v>
      </c>
      <c r="D895">
        <v>5</v>
      </c>
      <c r="E895" t="s">
        <v>1583</v>
      </c>
      <c r="F895" t="s">
        <v>2776</v>
      </c>
      <c r="G895" t="s">
        <v>2777</v>
      </c>
    </row>
    <row r="896" spans="1:7" x14ac:dyDescent="0.25">
      <c r="A896" s="23" t="s">
        <v>2365</v>
      </c>
      <c r="B896" t="s">
        <v>615</v>
      </c>
      <c r="C896" t="s">
        <v>1565</v>
      </c>
      <c r="D896">
        <v>5</v>
      </c>
      <c r="E896" t="s">
        <v>2543</v>
      </c>
      <c r="F896" t="s">
        <v>2778</v>
      </c>
      <c r="G896" t="s">
        <v>2779</v>
      </c>
    </row>
    <row r="897" spans="1:7" x14ac:dyDescent="0.25">
      <c r="A897" s="23" t="s">
        <v>2365</v>
      </c>
      <c r="B897" t="s">
        <v>615</v>
      </c>
      <c r="C897" t="s">
        <v>698</v>
      </c>
      <c r="D897">
        <v>4</v>
      </c>
      <c r="E897" t="s">
        <v>1463</v>
      </c>
      <c r="F897" t="s">
        <v>2776</v>
      </c>
      <c r="G897" t="s">
        <v>2777</v>
      </c>
    </row>
    <row r="898" spans="1:7" x14ac:dyDescent="0.25">
      <c r="A898" s="23" t="s">
        <v>2365</v>
      </c>
      <c r="B898" t="s">
        <v>615</v>
      </c>
      <c r="C898" t="s">
        <v>916</v>
      </c>
      <c r="D898">
        <v>2</v>
      </c>
      <c r="E898" t="s">
        <v>1551</v>
      </c>
      <c r="F898" t="s">
        <v>2776</v>
      </c>
      <c r="G898" t="s">
        <v>2777</v>
      </c>
    </row>
    <row r="899" spans="1:7" x14ac:dyDescent="0.25">
      <c r="A899" s="23" t="s">
        <v>2365</v>
      </c>
      <c r="B899" t="s">
        <v>615</v>
      </c>
      <c r="C899" t="s">
        <v>23</v>
      </c>
      <c r="D899">
        <v>2</v>
      </c>
      <c r="E899" t="s">
        <v>1573</v>
      </c>
      <c r="F899" t="s">
        <v>2776</v>
      </c>
      <c r="G899" t="s">
        <v>2777</v>
      </c>
    </row>
    <row r="900" spans="1:7" x14ac:dyDescent="0.25">
      <c r="A900" s="23" t="s">
        <v>2365</v>
      </c>
      <c r="B900" t="s">
        <v>627</v>
      </c>
      <c r="C900" t="s">
        <v>970</v>
      </c>
      <c r="D900">
        <v>30</v>
      </c>
      <c r="E900" t="s">
        <v>2539</v>
      </c>
      <c r="F900" t="s">
        <v>2774</v>
      </c>
      <c r="G900" t="s">
        <v>2775</v>
      </c>
    </row>
    <row r="901" spans="1:7" x14ac:dyDescent="0.25">
      <c r="A901" s="23" t="s">
        <v>2365</v>
      </c>
      <c r="B901" t="s">
        <v>627</v>
      </c>
      <c r="C901" t="s">
        <v>1565</v>
      </c>
      <c r="D901">
        <v>29</v>
      </c>
      <c r="E901" t="s">
        <v>2540</v>
      </c>
      <c r="F901" t="s">
        <v>2774</v>
      </c>
      <c r="G901" t="s">
        <v>2775</v>
      </c>
    </row>
    <row r="902" spans="1:7" x14ac:dyDescent="0.25">
      <c r="A902" s="23" t="s">
        <v>2365</v>
      </c>
      <c r="B902" t="s">
        <v>627</v>
      </c>
      <c r="C902" t="s">
        <v>966</v>
      </c>
      <c r="D902">
        <v>18</v>
      </c>
      <c r="E902" t="s">
        <v>2124</v>
      </c>
      <c r="F902" t="s">
        <v>2774</v>
      </c>
      <c r="G902" t="s">
        <v>2775</v>
      </c>
    </row>
    <row r="903" spans="1:7" x14ac:dyDescent="0.25">
      <c r="A903" s="23" t="s">
        <v>2365</v>
      </c>
      <c r="B903" t="s">
        <v>627</v>
      </c>
      <c r="C903" t="s">
        <v>2126</v>
      </c>
      <c r="D903">
        <v>12</v>
      </c>
      <c r="E903" t="s">
        <v>2127</v>
      </c>
      <c r="F903" t="s">
        <v>2774</v>
      </c>
      <c r="G903" t="s">
        <v>2775</v>
      </c>
    </row>
    <row r="904" spans="1:7" x14ac:dyDescent="0.25">
      <c r="A904" s="23" t="s">
        <v>2365</v>
      </c>
      <c r="B904" t="s">
        <v>627</v>
      </c>
      <c r="C904" t="s">
        <v>2129</v>
      </c>
      <c r="D904">
        <v>5</v>
      </c>
      <c r="E904" t="s">
        <v>2541</v>
      </c>
      <c r="F904" t="s">
        <v>2780</v>
      </c>
      <c r="G904" t="s">
        <v>2781</v>
      </c>
    </row>
    <row r="905" spans="1:7" x14ac:dyDescent="0.25">
      <c r="A905" s="23" t="s">
        <v>2365</v>
      </c>
      <c r="B905" t="s">
        <v>627</v>
      </c>
      <c r="C905" t="s">
        <v>21</v>
      </c>
      <c r="D905">
        <v>2</v>
      </c>
      <c r="E905" t="s">
        <v>2132</v>
      </c>
      <c r="F905" t="s">
        <v>2776</v>
      </c>
      <c r="G905" t="s">
        <v>2777</v>
      </c>
    </row>
    <row r="906" spans="1:7" x14ac:dyDescent="0.25">
      <c r="A906" s="23" t="s">
        <v>2365</v>
      </c>
      <c r="B906" t="s">
        <v>627</v>
      </c>
      <c r="C906" t="s">
        <v>22</v>
      </c>
      <c r="D906">
        <v>2</v>
      </c>
      <c r="E906" t="s">
        <v>2134</v>
      </c>
      <c r="F906" t="s">
        <v>2776</v>
      </c>
      <c r="G906" t="s">
        <v>2777</v>
      </c>
    </row>
    <row r="907" spans="1:7" x14ac:dyDescent="0.25">
      <c r="A907" s="23" t="s">
        <v>2365</v>
      </c>
      <c r="B907" t="s">
        <v>627</v>
      </c>
      <c r="C907" t="s">
        <v>1557</v>
      </c>
      <c r="D907">
        <v>2</v>
      </c>
      <c r="E907" t="s">
        <v>2136</v>
      </c>
      <c r="F907" t="s">
        <v>2776</v>
      </c>
      <c r="G907" t="s">
        <v>2777</v>
      </c>
    </row>
    <row r="908" spans="1:7" x14ac:dyDescent="0.25">
      <c r="A908" s="23" t="s">
        <v>2365</v>
      </c>
      <c r="B908" t="s">
        <v>641</v>
      </c>
      <c r="C908" t="s">
        <v>1452</v>
      </c>
      <c r="D908">
        <v>62</v>
      </c>
      <c r="E908" t="s">
        <v>2521</v>
      </c>
      <c r="F908" t="s">
        <v>2774</v>
      </c>
      <c r="G908" t="s">
        <v>2775</v>
      </c>
    </row>
    <row r="909" spans="1:7" x14ac:dyDescent="0.25">
      <c r="A909" s="23" t="s">
        <v>2365</v>
      </c>
      <c r="B909" t="s">
        <v>641</v>
      </c>
      <c r="C909" t="s">
        <v>1455</v>
      </c>
      <c r="D909">
        <v>10</v>
      </c>
      <c r="E909" t="s">
        <v>2522</v>
      </c>
      <c r="F909" t="s">
        <v>2776</v>
      </c>
      <c r="G909" t="s">
        <v>2777</v>
      </c>
    </row>
    <row r="910" spans="1:7" x14ac:dyDescent="0.25">
      <c r="A910" s="23" t="s">
        <v>2365</v>
      </c>
      <c r="B910" t="s">
        <v>641</v>
      </c>
      <c r="C910" t="s">
        <v>617</v>
      </c>
      <c r="D910">
        <v>12</v>
      </c>
      <c r="E910" t="s">
        <v>2225</v>
      </c>
      <c r="F910" t="s">
        <v>2776</v>
      </c>
      <c r="G910" t="s">
        <v>2777</v>
      </c>
    </row>
    <row r="911" spans="1:7" x14ac:dyDescent="0.25">
      <c r="A911" s="23" t="s">
        <v>2365</v>
      </c>
      <c r="B911" t="s">
        <v>641</v>
      </c>
      <c r="C911" t="s">
        <v>950</v>
      </c>
      <c r="D911">
        <v>8</v>
      </c>
      <c r="E911" t="s">
        <v>2226</v>
      </c>
      <c r="F911" t="s">
        <v>2776</v>
      </c>
      <c r="G911" t="s">
        <v>2777</v>
      </c>
    </row>
    <row r="912" spans="1:7" x14ac:dyDescent="0.25">
      <c r="A912" s="23" t="s">
        <v>2365</v>
      </c>
      <c r="B912" t="s">
        <v>641</v>
      </c>
      <c r="C912" t="s">
        <v>23</v>
      </c>
      <c r="D912">
        <v>6</v>
      </c>
      <c r="E912" t="s">
        <v>2227</v>
      </c>
      <c r="F912" t="s">
        <v>2776</v>
      </c>
      <c r="G912" t="s">
        <v>2777</v>
      </c>
    </row>
    <row r="913" spans="1:7" x14ac:dyDescent="0.25">
      <c r="A913" s="23" t="s">
        <v>2365</v>
      </c>
      <c r="B913" t="s">
        <v>641</v>
      </c>
      <c r="C913" t="s">
        <v>2087</v>
      </c>
      <c r="D913">
        <v>2</v>
      </c>
      <c r="E913" t="s">
        <v>2475</v>
      </c>
      <c r="F913" t="s">
        <v>2776</v>
      </c>
      <c r="G913" t="s">
        <v>2777</v>
      </c>
    </row>
    <row r="914" spans="1:7" x14ac:dyDescent="0.25">
      <c r="A914" s="23" t="s">
        <v>2365</v>
      </c>
      <c r="B914" t="s">
        <v>674</v>
      </c>
      <c r="C914" t="s">
        <v>1452</v>
      </c>
      <c r="D914">
        <v>70</v>
      </c>
      <c r="E914" t="s">
        <v>2523</v>
      </c>
      <c r="F914" t="s">
        <v>2774</v>
      </c>
      <c r="G914" t="s">
        <v>2775</v>
      </c>
    </row>
    <row r="915" spans="1:7" x14ac:dyDescent="0.25">
      <c r="A915" s="23" t="s">
        <v>2365</v>
      </c>
      <c r="B915" t="s">
        <v>674</v>
      </c>
      <c r="C915" t="s">
        <v>1455</v>
      </c>
      <c r="D915">
        <v>18</v>
      </c>
      <c r="E915" t="s">
        <v>2234</v>
      </c>
      <c r="F915" t="s">
        <v>2776</v>
      </c>
      <c r="G915" t="s">
        <v>2777</v>
      </c>
    </row>
    <row r="916" spans="1:7" x14ac:dyDescent="0.25">
      <c r="A916" s="23" t="s">
        <v>2365</v>
      </c>
      <c r="B916" t="s">
        <v>674</v>
      </c>
      <c r="C916" t="s">
        <v>23</v>
      </c>
      <c r="D916">
        <v>4</v>
      </c>
      <c r="E916" t="s">
        <v>2227</v>
      </c>
      <c r="F916" t="s">
        <v>2776</v>
      </c>
      <c r="G916" t="s">
        <v>2777</v>
      </c>
    </row>
    <row r="917" spans="1:7" x14ac:dyDescent="0.25">
      <c r="A917" s="23" t="s">
        <v>2365</v>
      </c>
      <c r="B917" t="s">
        <v>674</v>
      </c>
      <c r="C917" t="s">
        <v>21</v>
      </c>
      <c r="D917">
        <v>4</v>
      </c>
      <c r="E917" t="s">
        <v>2164</v>
      </c>
      <c r="F917" t="s">
        <v>2776</v>
      </c>
      <c r="G917" t="s">
        <v>2777</v>
      </c>
    </row>
    <row r="918" spans="1:7" x14ac:dyDescent="0.25">
      <c r="A918" s="23" t="s">
        <v>2365</v>
      </c>
      <c r="B918" t="s">
        <v>674</v>
      </c>
      <c r="C918" t="s">
        <v>617</v>
      </c>
      <c r="D918">
        <v>2</v>
      </c>
      <c r="E918" t="s">
        <v>2236</v>
      </c>
      <c r="F918" t="s">
        <v>2776</v>
      </c>
      <c r="G918" t="s">
        <v>2777</v>
      </c>
    </row>
    <row r="919" spans="1:7" x14ac:dyDescent="0.25">
      <c r="A919" s="23" t="s">
        <v>2365</v>
      </c>
      <c r="B919" t="s">
        <v>674</v>
      </c>
      <c r="C919" t="s">
        <v>950</v>
      </c>
      <c r="D919">
        <v>2</v>
      </c>
      <c r="E919" t="s">
        <v>2237</v>
      </c>
      <c r="F919" t="s">
        <v>2776</v>
      </c>
      <c r="G919" t="s">
        <v>2777</v>
      </c>
    </row>
    <row r="920" spans="1:7" x14ac:dyDescent="0.25">
      <c r="A920" s="23" t="s">
        <v>2365</v>
      </c>
      <c r="B920" t="s">
        <v>617</v>
      </c>
      <c r="C920" t="s">
        <v>617</v>
      </c>
      <c r="D920">
        <v>76</v>
      </c>
      <c r="E920" t="s">
        <v>2692</v>
      </c>
      <c r="F920" t="s">
        <v>2774</v>
      </c>
      <c r="G920" t="s">
        <v>2775</v>
      </c>
    </row>
    <row r="921" spans="1:7" x14ac:dyDescent="0.25">
      <c r="A921" s="23" t="s">
        <v>2365</v>
      </c>
      <c r="B921" t="s">
        <v>617</v>
      </c>
      <c r="C921" t="s">
        <v>1202</v>
      </c>
      <c r="D921">
        <v>3</v>
      </c>
      <c r="E921" t="s">
        <v>2685</v>
      </c>
      <c r="F921" t="s">
        <v>2776</v>
      </c>
      <c r="G921" t="s">
        <v>2777</v>
      </c>
    </row>
    <row r="922" spans="1:7" x14ac:dyDescent="0.25">
      <c r="A922" s="23" t="s">
        <v>2365</v>
      </c>
      <c r="B922" t="s">
        <v>617</v>
      </c>
      <c r="C922" t="s">
        <v>2012</v>
      </c>
      <c r="D922">
        <v>3</v>
      </c>
      <c r="E922" t="s">
        <v>2533</v>
      </c>
      <c r="F922" t="s">
        <v>2776</v>
      </c>
      <c r="G922" t="s">
        <v>2777</v>
      </c>
    </row>
    <row r="923" spans="1:7" x14ac:dyDescent="0.25">
      <c r="A923" s="23" t="s">
        <v>2365</v>
      </c>
      <c r="B923" t="s">
        <v>617</v>
      </c>
      <c r="C923" t="s">
        <v>2059</v>
      </c>
      <c r="D923">
        <v>4</v>
      </c>
      <c r="E923" t="s">
        <v>2258</v>
      </c>
      <c r="F923" t="s">
        <v>2776</v>
      </c>
      <c r="G923" t="s">
        <v>2777</v>
      </c>
    </row>
    <row r="924" spans="1:7" x14ac:dyDescent="0.25">
      <c r="A924" s="23" t="s">
        <v>2365</v>
      </c>
      <c r="B924" t="s">
        <v>617</v>
      </c>
      <c r="C924" t="s">
        <v>2087</v>
      </c>
      <c r="D924">
        <v>4</v>
      </c>
      <c r="E924" t="s">
        <v>2475</v>
      </c>
      <c r="F924" t="s">
        <v>2776</v>
      </c>
      <c r="G924" t="s">
        <v>2777</v>
      </c>
    </row>
    <row r="925" spans="1:7" x14ac:dyDescent="0.25">
      <c r="A925" s="23" t="s">
        <v>2365</v>
      </c>
      <c r="B925" t="s">
        <v>617</v>
      </c>
      <c r="C925" t="s">
        <v>1452</v>
      </c>
      <c r="D925">
        <v>4</v>
      </c>
      <c r="E925" t="s">
        <v>2524</v>
      </c>
      <c r="F925" t="s">
        <v>2776</v>
      </c>
      <c r="G925" t="s">
        <v>2777</v>
      </c>
    </row>
    <row r="926" spans="1:7" x14ac:dyDescent="0.25">
      <c r="A926" s="23" t="s">
        <v>2365</v>
      </c>
      <c r="B926" t="s">
        <v>617</v>
      </c>
      <c r="C926" t="s">
        <v>635</v>
      </c>
      <c r="D926">
        <v>2</v>
      </c>
      <c r="E926" t="s">
        <v>2216</v>
      </c>
      <c r="F926" t="s">
        <v>2776</v>
      </c>
      <c r="G926" t="s">
        <v>2777</v>
      </c>
    </row>
    <row r="927" spans="1:7" x14ac:dyDescent="0.25">
      <c r="A927" s="23" t="s">
        <v>2365</v>
      </c>
      <c r="B927" t="s">
        <v>617</v>
      </c>
      <c r="C927" t="s">
        <v>2009</v>
      </c>
      <c r="D927">
        <v>2</v>
      </c>
      <c r="E927" t="s">
        <v>2264</v>
      </c>
      <c r="F927" t="s">
        <v>2776</v>
      </c>
      <c r="G927" t="s">
        <v>2777</v>
      </c>
    </row>
    <row r="928" spans="1:7" x14ac:dyDescent="0.25">
      <c r="A928" s="23" t="s">
        <v>2365</v>
      </c>
      <c r="B928" t="s">
        <v>617</v>
      </c>
      <c r="C928" t="s">
        <v>970</v>
      </c>
      <c r="D928">
        <v>2</v>
      </c>
      <c r="E928" t="s">
        <v>2183</v>
      </c>
      <c r="F928" t="s">
        <v>2776</v>
      </c>
      <c r="G928" t="s">
        <v>2777</v>
      </c>
    </row>
    <row r="929" spans="1:7" x14ac:dyDescent="0.25">
      <c r="A929" s="23" t="s">
        <v>2365</v>
      </c>
      <c r="B929" t="s">
        <v>635</v>
      </c>
      <c r="C929" t="s">
        <v>635</v>
      </c>
      <c r="D929">
        <v>83</v>
      </c>
      <c r="E929" t="s">
        <v>2476</v>
      </c>
      <c r="F929" t="s">
        <v>2774</v>
      </c>
      <c r="G929" t="s">
        <v>2775</v>
      </c>
    </row>
    <row r="930" spans="1:7" x14ac:dyDescent="0.25">
      <c r="A930" s="23" t="s">
        <v>2365</v>
      </c>
      <c r="B930" t="s">
        <v>635</v>
      </c>
      <c r="C930" t="s">
        <v>2087</v>
      </c>
      <c r="D930">
        <v>5</v>
      </c>
      <c r="E930" t="s">
        <v>2475</v>
      </c>
      <c r="F930" t="s">
        <v>2776</v>
      </c>
      <c r="G930" t="s">
        <v>2777</v>
      </c>
    </row>
    <row r="931" spans="1:7" x14ac:dyDescent="0.25">
      <c r="A931" s="23" t="s">
        <v>2365</v>
      </c>
      <c r="B931" t="s">
        <v>635</v>
      </c>
      <c r="C931" t="s">
        <v>617</v>
      </c>
      <c r="D931">
        <v>4</v>
      </c>
      <c r="E931" t="s">
        <v>2692</v>
      </c>
      <c r="F931" t="s">
        <v>2776</v>
      </c>
      <c r="G931" t="s">
        <v>2777</v>
      </c>
    </row>
    <row r="932" spans="1:7" x14ac:dyDescent="0.25">
      <c r="A932" s="23" t="s">
        <v>2365</v>
      </c>
      <c r="B932" t="s">
        <v>635</v>
      </c>
      <c r="C932" t="s">
        <v>2059</v>
      </c>
      <c r="D932">
        <v>4</v>
      </c>
      <c r="E932" t="s">
        <v>2271</v>
      </c>
      <c r="F932" t="s">
        <v>2776</v>
      </c>
      <c r="G932" t="s">
        <v>2777</v>
      </c>
    </row>
    <row r="933" spans="1:7" x14ac:dyDescent="0.25">
      <c r="A933" s="23" t="s">
        <v>2365</v>
      </c>
      <c r="B933" t="s">
        <v>635</v>
      </c>
      <c r="C933" t="s">
        <v>2009</v>
      </c>
      <c r="D933">
        <v>4</v>
      </c>
      <c r="E933" t="s">
        <v>2273</v>
      </c>
      <c r="F933" t="s">
        <v>2776</v>
      </c>
      <c r="G933" t="s">
        <v>2777</v>
      </c>
    </row>
    <row r="934" spans="1:7" x14ac:dyDescent="0.25">
      <c r="A934" s="23" t="s">
        <v>2365</v>
      </c>
      <c r="B934" t="s">
        <v>637</v>
      </c>
      <c r="C934" t="s">
        <v>2087</v>
      </c>
      <c r="D934">
        <v>78</v>
      </c>
      <c r="E934" t="s">
        <v>2682</v>
      </c>
      <c r="F934" t="s">
        <v>2774</v>
      </c>
      <c r="G934" t="s">
        <v>2775</v>
      </c>
    </row>
    <row r="935" spans="1:7" x14ac:dyDescent="0.25">
      <c r="A935" s="23" t="s">
        <v>2365</v>
      </c>
      <c r="B935" t="s">
        <v>637</v>
      </c>
      <c r="C935" t="s">
        <v>617</v>
      </c>
      <c r="D935">
        <v>6</v>
      </c>
      <c r="E935" t="s">
        <v>2692</v>
      </c>
      <c r="F935" t="s">
        <v>2776</v>
      </c>
      <c r="G935" t="s">
        <v>2777</v>
      </c>
    </row>
    <row r="936" spans="1:7" x14ac:dyDescent="0.25">
      <c r="A936" s="23" t="s">
        <v>2365</v>
      </c>
      <c r="B936" t="s">
        <v>637</v>
      </c>
      <c r="C936" t="s">
        <v>635</v>
      </c>
      <c r="D936">
        <v>4</v>
      </c>
      <c r="E936" t="s">
        <v>2216</v>
      </c>
      <c r="F936" t="s">
        <v>2776</v>
      </c>
      <c r="G936" t="s">
        <v>2777</v>
      </c>
    </row>
    <row r="937" spans="1:7" x14ac:dyDescent="0.25">
      <c r="A937" s="23" t="s">
        <v>2365</v>
      </c>
      <c r="B937" t="s">
        <v>637</v>
      </c>
      <c r="C937" t="s">
        <v>1452</v>
      </c>
      <c r="D937">
        <v>4</v>
      </c>
      <c r="E937" t="s">
        <v>2525</v>
      </c>
      <c r="F937" t="s">
        <v>2776</v>
      </c>
      <c r="G937" t="s">
        <v>2777</v>
      </c>
    </row>
    <row r="938" spans="1:7" x14ac:dyDescent="0.25">
      <c r="A938" s="23" t="s">
        <v>2365</v>
      </c>
      <c r="B938" t="s">
        <v>637</v>
      </c>
      <c r="C938" t="s">
        <v>2059</v>
      </c>
      <c r="D938">
        <v>4</v>
      </c>
      <c r="E938" t="s">
        <v>2280</v>
      </c>
      <c r="F938" t="s">
        <v>2776</v>
      </c>
      <c r="G938" t="s">
        <v>2777</v>
      </c>
    </row>
    <row r="939" spans="1:7" x14ac:dyDescent="0.25">
      <c r="A939" s="23" t="s">
        <v>2365</v>
      </c>
      <c r="B939" t="s">
        <v>637</v>
      </c>
      <c r="C939" t="s">
        <v>2009</v>
      </c>
      <c r="D939">
        <v>4</v>
      </c>
      <c r="E939" t="s">
        <v>2273</v>
      </c>
      <c r="F939" t="s">
        <v>2776</v>
      </c>
      <c r="G939" t="s">
        <v>2777</v>
      </c>
    </row>
    <row r="940" spans="1:7" x14ac:dyDescent="0.25">
      <c r="A940" s="23" t="s">
        <v>2365</v>
      </c>
      <c r="B940" t="s">
        <v>672</v>
      </c>
      <c r="C940" t="s">
        <v>617</v>
      </c>
      <c r="D940">
        <v>80</v>
      </c>
      <c r="E940" t="s">
        <v>2695</v>
      </c>
      <c r="F940" t="s">
        <v>2774</v>
      </c>
      <c r="G940" t="s">
        <v>2775</v>
      </c>
    </row>
    <row r="941" spans="1:7" x14ac:dyDescent="0.25">
      <c r="A941" s="23" t="s">
        <v>2365</v>
      </c>
      <c r="B941" t="s">
        <v>672</v>
      </c>
      <c r="C941" t="s">
        <v>635</v>
      </c>
      <c r="D941">
        <v>5</v>
      </c>
      <c r="E941" t="s">
        <v>2216</v>
      </c>
      <c r="F941" t="s">
        <v>2776</v>
      </c>
      <c r="G941" t="s">
        <v>2777</v>
      </c>
    </row>
    <row r="942" spans="1:7" x14ac:dyDescent="0.25">
      <c r="A942" s="23" t="s">
        <v>2365</v>
      </c>
      <c r="B942" t="s">
        <v>672</v>
      </c>
      <c r="C942" t="s">
        <v>2059</v>
      </c>
      <c r="D942">
        <v>5</v>
      </c>
      <c r="E942" t="s">
        <v>2284</v>
      </c>
      <c r="F942" t="s">
        <v>2776</v>
      </c>
      <c r="G942" t="s">
        <v>2777</v>
      </c>
    </row>
    <row r="943" spans="1:7" x14ac:dyDescent="0.25">
      <c r="A943" s="23" t="s">
        <v>2365</v>
      </c>
      <c r="B943" t="s">
        <v>672</v>
      </c>
      <c r="C943" t="s">
        <v>2087</v>
      </c>
      <c r="D943">
        <v>3</v>
      </c>
      <c r="E943" t="s">
        <v>2475</v>
      </c>
      <c r="F943" t="s">
        <v>2776</v>
      </c>
      <c r="G943" t="s">
        <v>2777</v>
      </c>
    </row>
    <row r="944" spans="1:7" x14ac:dyDescent="0.25">
      <c r="A944" s="23" t="s">
        <v>2365</v>
      </c>
      <c r="B944" t="s">
        <v>672</v>
      </c>
      <c r="C944" t="s">
        <v>2009</v>
      </c>
      <c r="D944">
        <v>3</v>
      </c>
      <c r="E944" t="s">
        <v>2273</v>
      </c>
      <c r="F944" t="s">
        <v>2776</v>
      </c>
      <c r="G944" t="s">
        <v>2777</v>
      </c>
    </row>
    <row r="945" spans="1:7" x14ac:dyDescent="0.25">
      <c r="A945" s="23" t="s">
        <v>2365</v>
      </c>
      <c r="B945" t="s">
        <v>672</v>
      </c>
      <c r="C945" t="s">
        <v>1202</v>
      </c>
      <c r="D945">
        <v>2</v>
      </c>
      <c r="E945" t="s">
        <v>2285</v>
      </c>
      <c r="F945" t="s">
        <v>2776</v>
      </c>
      <c r="G945" t="s">
        <v>2777</v>
      </c>
    </row>
    <row r="946" spans="1:7" x14ac:dyDescent="0.25">
      <c r="A946" s="23" t="s">
        <v>2365</v>
      </c>
      <c r="B946" t="s">
        <v>672</v>
      </c>
      <c r="C946" t="s">
        <v>2012</v>
      </c>
      <c r="D946">
        <v>2</v>
      </c>
      <c r="E946" t="s">
        <v>2534</v>
      </c>
      <c r="F946" t="s">
        <v>2776</v>
      </c>
      <c r="G946" t="s">
        <v>2777</v>
      </c>
    </row>
    <row r="947" spans="1:7" x14ac:dyDescent="0.25">
      <c r="A947" s="23" t="s">
        <v>2365</v>
      </c>
      <c r="B947" t="s">
        <v>621</v>
      </c>
      <c r="C947" t="s">
        <v>617</v>
      </c>
      <c r="D947">
        <v>78</v>
      </c>
      <c r="E947" t="s">
        <v>2693</v>
      </c>
      <c r="F947" t="s">
        <v>2774</v>
      </c>
      <c r="G947" t="s">
        <v>2775</v>
      </c>
    </row>
    <row r="948" spans="1:7" x14ac:dyDescent="0.25">
      <c r="A948" s="23" t="s">
        <v>2365</v>
      </c>
      <c r="B948" t="s">
        <v>621</v>
      </c>
      <c r="C948" t="s">
        <v>2059</v>
      </c>
      <c r="D948">
        <v>6</v>
      </c>
      <c r="E948" t="s">
        <v>2290</v>
      </c>
      <c r="F948" t="s">
        <v>2776</v>
      </c>
      <c r="G948" t="s">
        <v>2777</v>
      </c>
    </row>
    <row r="949" spans="1:7" x14ac:dyDescent="0.25">
      <c r="A949" s="23" t="s">
        <v>2365</v>
      </c>
      <c r="B949" t="s">
        <v>621</v>
      </c>
      <c r="C949" t="s">
        <v>635</v>
      </c>
      <c r="D949">
        <v>4</v>
      </c>
      <c r="E949" t="s">
        <v>2216</v>
      </c>
      <c r="F949" t="s">
        <v>2776</v>
      </c>
      <c r="G949" t="s">
        <v>2777</v>
      </c>
    </row>
    <row r="950" spans="1:7" x14ac:dyDescent="0.25">
      <c r="A950" s="23" t="s">
        <v>2365</v>
      </c>
      <c r="B950" t="s">
        <v>621</v>
      </c>
      <c r="C950" t="s">
        <v>1565</v>
      </c>
      <c r="D950">
        <v>4</v>
      </c>
      <c r="E950" t="s">
        <v>2702</v>
      </c>
      <c r="F950" t="s">
        <v>2776</v>
      </c>
      <c r="G950" t="s">
        <v>2777</v>
      </c>
    </row>
    <row r="951" spans="1:7" x14ac:dyDescent="0.25">
      <c r="A951" s="23" t="s">
        <v>2365</v>
      </c>
      <c r="B951" t="s">
        <v>621</v>
      </c>
      <c r="C951" t="s">
        <v>2087</v>
      </c>
      <c r="D951">
        <v>2</v>
      </c>
      <c r="E951" t="s">
        <v>2475</v>
      </c>
      <c r="F951" t="s">
        <v>2776</v>
      </c>
      <c r="G951" t="s">
        <v>2777</v>
      </c>
    </row>
    <row r="952" spans="1:7" x14ac:dyDescent="0.25">
      <c r="A952" s="23" t="s">
        <v>2365</v>
      </c>
      <c r="B952" t="s">
        <v>621</v>
      </c>
      <c r="C952" t="s">
        <v>2009</v>
      </c>
      <c r="D952">
        <v>2</v>
      </c>
      <c r="E952" t="s">
        <v>2273</v>
      </c>
      <c r="F952" t="s">
        <v>2776</v>
      </c>
      <c r="G952" t="s">
        <v>2777</v>
      </c>
    </row>
    <row r="953" spans="1:7" x14ac:dyDescent="0.25">
      <c r="A953" s="23" t="s">
        <v>2365</v>
      </c>
      <c r="B953" t="s">
        <v>621</v>
      </c>
      <c r="C953" t="s">
        <v>1202</v>
      </c>
      <c r="D953">
        <v>2</v>
      </c>
      <c r="E953" t="s">
        <v>2285</v>
      </c>
      <c r="F953" t="s">
        <v>2776</v>
      </c>
      <c r="G953" t="s">
        <v>2777</v>
      </c>
    </row>
    <row r="954" spans="1:7" x14ac:dyDescent="0.25">
      <c r="A954" s="23" t="s">
        <v>2365</v>
      </c>
      <c r="B954" t="s">
        <v>621</v>
      </c>
      <c r="C954" t="s">
        <v>2012</v>
      </c>
      <c r="D954">
        <v>2</v>
      </c>
      <c r="E954" t="s">
        <v>2534</v>
      </c>
      <c r="F954" t="s">
        <v>2776</v>
      </c>
      <c r="G954" t="s">
        <v>2777</v>
      </c>
    </row>
    <row r="955" spans="1:7" x14ac:dyDescent="0.25">
      <c r="A955" s="23" t="s">
        <v>2365</v>
      </c>
      <c r="B955" t="s">
        <v>676</v>
      </c>
      <c r="C955" t="s">
        <v>1202</v>
      </c>
      <c r="D955">
        <v>86</v>
      </c>
      <c r="E955" t="s">
        <v>2535</v>
      </c>
      <c r="F955" t="s">
        <v>2774</v>
      </c>
      <c r="G955" t="s">
        <v>2775</v>
      </c>
    </row>
    <row r="956" spans="1:7" x14ac:dyDescent="0.25">
      <c r="A956" s="23" t="s">
        <v>2365</v>
      </c>
      <c r="B956" t="s">
        <v>676</v>
      </c>
      <c r="C956" t="s">
        <v>617</v>
      </c>
      <c r="D956">
        <v>6</v>
      </c>
      <c r="E956" t="s">
        <v>2694</v>
      </c>
      <c r="F956" t="s">
        <v>2776</v>
      </c>
      <c r="G956" t="s">
        <v>2777</v>
      </c>
    </row>
    <row r="957" spans="1:7" x14ac:dyDescent="0.25">
      <c r="A957" s="23" t="s">
        <v>2365</v>
      </c>
      <c r="B957" t="s">
        <v>676</v>
      </c>
      <c r="C957" t="s">
        <v>2059</v>
      </c>
      <c r="D957">
        <v>3</v>
      </c>
      <c r="E957" t="s">
        <v>2295</v>
      </c>
      <c r="F957" t="s">
        <v>2776</v>
      </c>
      <c r="G957" t="s">
        <v>2777</v>
      </c>
    </row>
    <row r="958" spans="1:7" x14ac:dyDescent="0.25">
      <c r="A958" s="23" t="s">
        <v>2365</v>
      </c>
      <c r="B958" t="s">
        <v>676</v>
      </c>
      <c r="C958" t="s">
        <v>1565</v>
      </c>
      <c r="D958">
        <v>3</v>
      </c>
      <c r="E958" t="s">
        <v>2702</v>
      </c>
      <c r="F958" t="s">
        <v>2776</v>
      </c>
      <c r="G958" t="s">
        <v>2777</v>
      </c>
    </row>
    <row r="959" spans="1:7" x14ac:dyDescent="0.25">
      <c r="A959" s="23" t="s">
        <v>2365</v>
      </c>
      <c r="B959" t="s">
        <v>676</v>
      </c>
      <c r="C959" t="s">
        <v>2087</v>
      </c>
      <c r="D959">
        <v>2</v>
      </c>
      <c r="E959" t="s">
        <v>2475</v>
      </c>
      <c r="F959" t="s">
        <v>2776</v>
      </c>
      <c r="G959" t="s">
        <v>2777</v>
      </c>
    </row>
    <row r="960" spans="1:7" x14ac:dyDescent="0.25">
      <c r="A960" s="23" t="s">
        <v>2365</v>
      </c>
      <c r="B960" t="s">
        <v>669</v>
      </c>
      <c r="C960" t="s">
        <v>2012</v>
      </c>
      <c r="D960">
        <v>86</v>
      </c>
      <c r="E960" t="s">
        <v>2536</v>
      </c>
      <c r="F960" t="s">
        <v>2774</v>
      </c>
      <c r="G960" t="s">
        <v>2775</v>
      </c>
    </row>
    <row r="961" spans="1:7" x14ac:dyDescent="0.25">
      <c r="A961" s="23" t="s">
        <v>2365</v>
      </c>
      <c r="B961" t="s">
        <v>669</v>
      </c>
      <c r="C961" t="s">
        <v>617</v>
      </c>
      <c r="D961">
        <v>5</v>
      </c>
      <c r="E961" t="s">
        <v>2692</v>
      </c>
      <c r="F961" t="s">
        <v>2776</v>
      </c>
      <c r="G961" t="s">
        <v>2777</v>
      </c>
    </row>
    <row r="962" spans="1:7" x14ac:dyDescent="0.25">
      <c r="A962" s="23" t="s">
        <v>2365</v>
      </c>
      <c r="B962" t="s">
        <v>669</v>
      </c>
      <c r="C962" t="s">
        <v>2059</v>
      </c>
      <c r="D962">
        <v>4</v>
      </c>
      <c r="E962" t="s">
        <v>2300</v>
      </c>
      <c r="F962" t="s">
        <v>2776</v>
      </c>
      <c r="G962" t="s">
        <v>2777</v>
      </c>
    </row>
    <row r="963" spans="1:7" x14ac:dyDescent="0.25">
      <c r="A963" s="23" t="s">
        <v>2365</v>
      </c>
      <c r="B963" t="s">
        <v>669</v>
      </c>
      <c r="C963" t="s">
        <v>1565</v>
      </c>
      <c r="D963">
        <v>3</v>
      </c>
      <c r="E963" t="s">
        <v>2702</v>
      </c>
      <c r="F963" t="s">
        <v>2776</v>
      </c>
      <c r="G963" t="s">
        <v>2777</v>
      </c>
    </row>
    <row r="964" spans="1:7" x14ac:dyDescent="0.25">
      <c r="A964" s="23" t="s">
        <v>2365</v>
      </c>
      <c r="B964" t="s">
        <v>669</v>
      </c>
      <c r="C964" t="s">
        <v>2087</v>
      </c>
      <c r="D964">
        <v>2</v>
      </c>
      <c r="E964" t="s">
        <v>2475</v>
      </c>
      <c r="F964" t="s">
        <v>2776</v>
      </c>
      <c r="G964" t="s">
        <v>2777</v>
      </c>
    </row>
    <row r="965" spans="1:7" x14ac:dyDescent="0.25">
      <c r="A965" s="23" t="s">
        <v>2365</v>
      </c>
      <c r="B965" t="s">
        <v>649</v>
      </c>
      <c r="C965" t="s">
        <v>2059</v>
      </c>
      <c r="D965">
        <v>77</v>
      </c>
      <c r="E965" t="s">
        <v>2700</v>
      </c>
      <c r="F965" t="s">
        <v>2774</v>
      </c>
      <c r="G965" t="s">
        <v>2775</v>
      </c>
    </row>
    <row r="966" spans="1:7" x14ac:dyDescent="0.25">
      <c r="A966" s="23" t="s">
        <v>2365</v>
      </c>
      <c r="B966" t="s">
        <v>649</v>
      </c>
      <c r="C966" t="s">
        <v>617</v>
      </c>
      <c r="D966">
        <v>6</v>
      </c>
      <c r="E966" t="s">
        <v>2686</v>
      </c>
      <c r="F966" t="s">
        <v>2776</v>
      </c>
      <c r="G966" t="s">
        <v>2777</v>
      </c>
    </row>
    <row r="967" spans="1:7" x14ac:dyDescent="0.25">
      <c r="A967" s="23" t="s">
        <v>2365</v>
      </c>
      <c r="B967" t="s">
        <v>649</v>
      </c>
      <c r="C967" t="s">
        <v>1565</v>
      </c>
      <c r="D967">
        <v>6</v>
      </c>
      <c r="E967" t="s">
        <v>2702</v>
      </c>
      <c r="F967" t="s">
        <v>2776</v>
      </c>
      <c r="G967" t="s">
        <v>2777</v>
      </c>
    </row>
    <row r="968" spans="1:7" x14ac:dyDescent="0.25">
      <c r="A968" s="23" t="s">
        <v>2365</v>
      </c>
      <c r="B968" t="s">
        <v>649</v>
      </c>
      <c r="C968" t="s">
        <v>2012</v>
      </c>
      <c r="D968">
        <v>4</v>
      </c>
      <c r="E968" t="s">
        <v>2316</v>
      </c>
      <c r="F968" t="s">
        <v>2776</v>
      </c>
      <c r="G968" t="s">
        <v>2777</v>
      </c>
    </row>
    <row r="969" spans="1:7" x14ac:dyDescent="0.25">
      <c r="A969" s="23" t="s">
        <v>2365</v>
      </c>
      <c r="B969" t="s">
        <v>649</v>
      </c>
      <c r="C969" t="s">
        <v>2009</v>
      </c>
      <c r="D969">
        <v>4</v>
      </c>
      <c r="E969" t="s">
        <v>2273</v>
      </c>
      <c r="F969" t="s">
        <v>2776</v>
      </c>
      <c r="G969" t="s">
        <v>2777</v>
      </c>
    </row>
    <row r="970" spans="1:7" x14ac:dyDescent="0.25">
      <c r="A970" s="23" t="s">
        <v>2365</v>
      </c>
      <c r="B970" t="s">
        <v>649</v>
      </c>
      <c r="C970" t="s">
        <v>22</v>
      </c>
      <c r="D970">
        <v>3</v>
      </c>
      <c r="E970" t="s">
        <v>1761</v>
      </c>
      <c r="F970" t="s">
        <v>2776</v>
      </c>
      <c r="G970" t="s">
        <v>2777</v>
      </c>
    </row>
    <row r="971" spans="1:7" x14ac:dyDescent="0.25">
      <c r="A971" s="23" t="s">
        <v>2365</v>
      </c>
      <c r="B971" t="s">
        <v>623</v>
      </c>
      <c r="C971" t="s">
        <v>2059</v>
      </c>
      <c r="D971">
        <v>76</v>
      </c>
      <c r="E971" t="s">
        <v>2320</v>
      </c>
      <c r="F971" t="s">
        <v>2774</v>
      </c>
      <c r="G971" t="s">
        <v>2775</v>
      </c>
    </row>
    <row r="972" spans="1:7" x14ac:dyDescent="0.25">
      <c r="A972" s="23" t="s">
        <v>2365</v>
      </c>
      <c r="B972" t="s">
        <v>623</v>
      </c>
      <c r="C972" t="s">
        <v>2009</v>
      </c>
      <c r="D972">
        <v>4</v>
      </c>
      <c r="E972" t="s">
        <v>2273</v>
      </c>
      <c r="F972" t="s">
        <v>2776</v>
      </c>
      <c r="G972" t="s">
        <v>2777</v>
      </c>
    </row>
    <row r="973" spans="1:7" x14ac:dyDescent="0.25">
      <c r="A973" s="23" t="s">
        <v>2365</v>
      </c>
      <c r="B973" t="s">
        <v>623</v>
      </c>
      <c r="C973" t="s">
        <v>617</v>
      </c>
      <c r="D973">
        <v>4</v>
      </c>
      <c r="E973" t="s">
        <v>2687</v>
      </c>
      <c r="F973" t="s">
        <v>2776</v>
      </c>
      <c r="G973" t="s">
        <v>2777</v>
      </c>
    </row>
    <row r="974" spans="1:7" x14ac:dyDescent="0.25">
      <c r="A974" s="23" t="s">
        <v>2365</v>
      </c>
      <c r="B974" t="s">
        <v>623</v>
      </c>
      <c r="C974" t="s">
        <v>2012</v>
      </c>
      <c r="D974">
        <v>4</v>
      </c>
      <c r="E974" t="s">
        <v>2316</v>
      </c>
      <c r="F974" t="s">
        <v>2776</v>
      </c>
      <c r="G974" t="s">
        <v>2777</v>
      </c>
    </row>
    <row r="975" spans="1:7" x14ac:dyDescent="0.25">
      <c r="A975" s="23" t="s">
        <v>2365</v>
      </c>
      <c r="B975" t="s">
        <v>623</v>
      </c>
      <c r="C975" t="s">
        <v>2003</v>
      </c>
      <c r="D975">
        <v>6</v>
      </c>
      <c r="E975" t="s">
        <v>2323</v>
      </c>
      <c r="F975" t="s">
        <v>2776</v>
      </c>
      <c r="G975" t="s">
        <v>2777</v>
      </c>
    </row>
    <row r="976" spans="1:7" x14ac:dyDescent="0.25">
      <c r="A976" s="23" t="s">
        <v>2365</v>
      </c>
      <c r="B976" t="s">
        <v>623</v>
      </c>
      <c r="C976" t="s">
        <v>1565</v>
      </c>
      <c r="D976">
        <v>3</v>
      </c>
      <c r="E976" t="s">
        <v>2702</v>
      </c>
      <c r="F976" t="s">
        <v>2776</v>
      </c>
      <c r="G976" t="s">
        <v>2777</v>
      </c>
    </row>
    <row r="977" spans="1:7" x14ac:dyDescent="0.25">
      <c r="A977" s="23" t="s">
        <v>2365</v>
      </c>
      <c r="B977" t="s">
        <v>623</v>
      </c>
      <c r="C977" t="s">
        <v>22</v>
      </c>
      <c r="D977">
        <v>3</v>
      </c>
      <c r="E977" t="s">
        <v>1761</v>
      </c>
      <c r="F977" t="s">
        <v>2776</v>
      </c>
      <c r="G977" t="s">
        <v>2777</v>
      </c>
    </row>
    <row r="978" spans="1:7" x14ac:dyDescent="0.25">
      <c r="A978" s="23" t="s">
        <v>2365</v>
      </c>
      <c r="B978" t="s">
        <v>655</v>
      </c>
      <c r="C978" t="s">
        <v>2009</v>
      </c>
      <c r="D978">
        <v>78</v>
      </c>
      <c r="E978" t="s">
        <v>2326</v>
      </c>
      <c r="F978" t="s">
        <v>2774</v>
      </c>
      <c r="G978" t="s">
        <v>2775</v>
      </c>
    </row>
    <row r="979" spans="1:7" x14ac:dyDescent="0.25">
      <c r="A979" s="23" t="s">
        <v>2365</v>
      </c>
      <c r="B979" t="s">
        <v>655</v>
      </c>
      <c r="C979" t="s">
        <v>2059</v>
      </c>
      <c r="D979">
        <v>8</v>
      </c>
      <c r="E979" t="s">
        <v>2327</v>
      </c>
      <c r="F979" t="s">
        <v>2776</v>
      </c>
      <c r="G979" t="s">
        <v>2777</v>
      </c>
    </row>
    <row r="980" spans="1:7" x14ac:dyDescent="0.25">
      <c r="A980" s="23" t="s">
        <v>2365</v>
      </c>
      <c r="B980" t="s">
        <v>655</v>
      </c>
      <c r="C980" t="s">
        <v>617</v>
      </c>
      <c r="D980">
        <v>6</v>
      </c>
      <c r="E980" t="s">
        <v>2688</v>
      </c>
      <c r="F980" t="s">
        <v>2776</v>
      </c>
      <c r="G980" t="s">
        <v>2777</v>
      </c>
    </row>
    <row r="981" spans="1:7" x14ac:dyDescent="0.25">
      <c r="A981" s="23" t="s">
        <v>2365</v>
      </c>
      <c r="B981" t="s">
        <v>655</v>
      </c>
      <c r="C981" t="s">
        <v>2012</v>
      </c>
      <c r="D981">
        <v>3</v>
      </c>
      <c r="E981" t="s">
        <v>2329</v>
      </c>
      <c r="F981" t="s">
        <v>2776</v>
      </c>
      <c r="G981" t="s">
        <v>2777</v>
      </c>
    </row>
    <row r="982" spans="1:7" x14ac:dyDescent="0.25">
      <c r="A982" s="23" t="s">
        <v>2365</v>
      </c>
      <c r="B982" t="s">
        <v>655</v>
      </c>
      <c r="C982" t="s">
        <v>1565</v>
      </c>
      <c r="D982">
        <v>3</v>
      </c>
      <c r="E982" t="s">
        <v>2702</v>
      </c>
      <c r="F982" t="s">
        <v>2776</v>
      </c>
      <c r="G982" t="s">
        <v>2777</v>
      </c>
    </row>
    <row r="983" spans="1:7" x14ac:dyDescent="0.25">
      <c r="A983" s="23" t="s">
        <v>2365</v>
      </c>
      <c r="B983" t="s">
        <v>655</v>
      </c>
      <c r="C983" t="s">
        <v>635</v>
      </c>
      <c r="D983">
        <v>2</v>
      </c>
      <c r="E983" t="s">
        <v>2216</v>
      </c>
      <c r="F983" t="s">
        <v>2776</v>
      </c>
      <c r="G983" t="s">
        <v>2777</v>
      </c>
    </row>
    <row r="984" spans="1:7" x14ac:dyDescent="0.25">
      <c r="A984" s="23" t="s">
        <v>2365</v>
      </c>
      <c r="B984" t="s">
        <v>665</v>
      </c>
      <c r="C984" t="s">
        <v>2059</v>
      </c>
      <c r="D984">
        <v>64</v>
      </c>
      <c r="E984" t="s">
        <v>2701</v>
      </c>
      <c r="F984" t="s">
        <v>2774</v>
      </c>
      <c r="G984" t="s">
        <v>2775</v>
      </c>
    </row>
    <row r="985" spans="1:7" x14ac:dyDescent="0.25">
      <c r="A985" s="23" t="s">
        <v>2365</v>
      </c>
      <c r="B985" t="s">
        <v>665</v>
      </c>
      <c r="C985" t="s">
        <v>617</v>
      </c>
      <c r="D985">
        <v>12</v>
      </c>
      <c r="E985" t="s">
        <v>2689</v>
      </c>
      <c r="F985" t="s">
        <v>2776</v>
      </c>
      <c r="G985" t="s">
        <v>2777</v>
      </c>
    </row>
    <row r="986" spans="1:7" x14ac:dyDescent="0.25">
      <c r="A986" s="23" t="s">
        <v>2365</v>
      </c>
      <c r="B986" t="s">
        <v>665</v>
      </c>
      <c r="C986" t="s">
        <v>1565</v>
      </c>
      <c r="D986">
        <v>8</v>
      </c>
      <c r="E986" t="s">
        <v>2702</v>
      </c>
      <c r="F986" t="s">
        <v>2776</v>
      </c>
      <c r="G986" t="s">
        <v>2777</v>
      </c>
    </row>
    <row r="987" spans="1:7" x14ac:dyDescent="0.25">
      <c r="A987" s="23" t="s">
        <v>2365</v>
      </c>
      <c r="B987" t="s">
        <v>665</v>
      </c>
      <c r="C987" t="s">
        <v>2009</v>
      </c>
      <c r="D987">
        <v>3</v>
      </c>
      <c r="E987" t="s">
        <v>2273</v>
      </c>
      <c r="F987" t="s">
        <v>2776</v>
      </c>
      <c r="G987" t="s">
        <v>2777</v>
      </c>
    </row>
    <row r="988" spans="1:7" x14ac:dyDescent="0.25">
      <c r="A988" s="23" t="s">
        <v>2365</v>
      </c>
      <c r="B988" t="s">
        <v>665</v>
      </c>
      <c r="C988" t="s">
        <v>2012</v>
      </c>
      <c r="D988">
        <v>3</v>
      </c>
      <c r="E988" t="s">
        <v>2329</v>
      </c>
      <c r="F988" t="s">
        <v>2776</v>
      </c>
      <c r="G988" t="s">
        <v>2777</v>
      </c>
    </row>
    <row r="989" spans="1:7" x14ac:dyDescent="0.25">
      <c r="A989" s="23" t="s">
        <v>2365</v>
      </c>
      <c r="B989" t="s">
        <v>665</v>
      </c>
      <c r="C989" t="s">
        <v>22</v>
      </c>
      <c r="D989">
        <v>2</v>
      </c>
      <c r="E989" t="s">
        <v>1761</v>
      </c>
      <c r="F989" t="s">
        <v>2776</v>
      </c>
      <c r="G989" t="s">
        <v>2777</v>
      </c>
    </row>
    <row r="990" spans="1:7" x14ac:dyDescent="0.25">
      <c r="A990" s="23" t="s">
        <v>2365</v>
      </c>
      <c r="B990" t="s">
        <v>665</v>
      </c>
      <c r="C990" t="s">
        <v>635</v>
      </c>
      <c r="D990">
        <v>2</v>
      </c>
      <c r="E990" t="s">
        <v>2216</v>
      </c>
      <c r="F990" t="s">
        <v>2776</v>
      </c>
      <c r="G990" t="s">
        <v>2777</v>
      </c>
    </row>
    <row r="991" spans="1:7" x14ac:dyDescent="0.25">
      <c r="A991" s="23" t="s">
        <v>2365</v>
      </c>
      <c r="B991" t="s">
        <v>665</v>
      </c>
      <c r="C991" t="s">
        <v>2087</v>
      </c>
      <c r="D991">
        <v>2</v>
      </c>
      <c r="E991" t="s">
        <v>2475</v>
      </c>
      <c r="F991" t="s">
        <v>2776</v>
      </c>
      <c r="G991" t="s">
        <v>2777</v>
      </c>
    </row>
    <row r="992" spans="1:7" x14ac:dyDescent="0.25">
      <c r="A992" s="23" t="s">
        <v>2365</v>
      </c>
      <c r="B992" t="s">
        <v>667</v>
      </c>
      <c r="C992" t="s">
        <v>18</v>
      </c>
      <c r="D992">
        <v>84</v>
      </c>
      <c r="E992" t="s">
        <v>1497</v>
      </c>
      <c r="F992" t="s">
        <v>2774</v>
      </c>
      <c r="G992" t="s">
        <v>2775</v>
      </c>
    </row>
    <row r="993" spans="1:7" x14ac:dyDescent="0.25">
      <c r="A993" s="23" t="s">
        <v>2365</v>
      </c>
      <c r="B993" t="s">
        <v>667</v>
      </c>
      <c r="C993" t="s">
        <v>23</v>
      </c>
      <c r="D993">
        <v>6</v>
      </c>
      <c r="E993" t="s">
        <v>1498</v>
      </c>
      <c r="F993" t="s">
        <v>2776</v>
      </c>
      <c r="G993" t="s">
        <v>2777</v>
      </c>
    </row>
    <row r="994" spans="1:7" x14ac:dyDescent="0.25">
      <c r="A994" s="23" t="s">
        <v>2365</v>
      </c>
      <c r="B994" t="s">
        <v>667</v>
      </c>
      <c r="C994" t="s">
        <v>21</v>
      </c>
      <c r="D994">
        <v>3</v>
      </c>
      <c r="E994" t="s">
        <v>1500</v>
      </c>
      <c r="F994" t="s">
        <v>2776</v>
      </c>
      <c r="G994" t="s">
        <v>2777</v>
      </c>
    </row>
    <row r="995" spans="1:7" x14ac:dyDescent="0.25">
      <c r="A995" s="23" t="s">
        <v>2365</v>
      </c>
      <c r="B995" t="s">
        <v>667</v>
      </c>
      <c r="C995" t="s">
        <v>22</v>
      </c>
      <c r="D995">
        <v>4</v>
      </c>
      <c r="E995" t="s">
        <v>1502</v>
      </c>
      <c r="F995" t="s">
        <v>2776</v>
      </c>
      <c r="G995" t="s">
        <v>2777</v>
      </c>
    </row>
    <row r="996" spans="1:7" x14ac:dyDescent="0.25">
      <c r="A996" s="23" t="s">
        <v>2365</v>
      </c>
      <c r="B996" t="s">
        <v>667</v>
      </c>
      <c r="C996" t="s">
        <v>698</v>
      </c>
      <c r="D996">
        <v>3</v>
      </c>
      <c r="E996" t="s">
        <v>1463</v>
      </c>
      <c r="F996" t="s">
        <v>2776</v>
      </c>
      <c r="G996" t="s">
        <v>2777</v>
      </c>
    </row>
    <row r="997" spans="1:7" x14ac:dyDescent="0.25">
      <c r="A997" s="23" t="s">
        <v>2365</v>
      </c>
      <c r="B997" t="s">
        <v>643</v>
      </c>
      <c r="C997" t="s">
        <v>18</v>
      </c>
      <c r="D997">
        <v>84</v>
      </c>
      <c r="E997" t="s">
        <v>1505</v>
      </c>
      <c r="F997" t="s">
        <v>2774</v>
      </c>
      <c r="G997" t="s">
        <v>2775</v>
      </c>
    </row>
    <row r="998" spans="1:7" x14ac:dyDescent="0.25">
      <c r="A998" s="23" t="s">
        <v>2365</v>
      </c>
      <c r="B998" t="s">
        <v>643</v>
      </c>
      <c r="C998" t="s">
        <v>23</v>
      </c>
      <c r="D998">
        <v>4</v>
      </c>
      <c r="E998" t="s">
        <v>1506</v>
      </c>
      <c r="F998" t="s">
        <v>2776</v>
      </c>
      <c r="G998" t="s">
        <v>2777</v>
      </c>
    </row>
    <row r="999" spans="1:7" x14ac:dyDescent="0.25">
      <c r="A999" s="23" t="s">
        <v>2365</v>
      </c>
      <c r="B999" t="s">
        <v>643</v>
      </c>
      <c r="C999" t="s">
        <v>21</v>
      </c>
      <c r="D999">
        <v>3</v>
      </c>
      <c r="E999" t="s">
        <v>1508</v>
      </c>
      <c r="F999" t="s">
        <v>2776</v>
      </c>
      <c r="G999" t="s">
        <v>2777</v>
      </c>
    </row>
    <row r="1000" spans="1:7" x14ac:dyDescent="0.25">
      <c r="A1000" s="23" t="s">
        <v>2365</v>
      </c>
      <c r="B1000" t="s">
        <v>643</v>
      </c>
      <c r="C1000" t="s">
        <v>698</v>
      </c>
      <c r="D1000">
        <v>4</v>
      </c>
      <c r="E1000" t="s">
        <v>1463</v>
      </c>
      <c r="F1000" t="s">
        <v>2776</v>
      </c>
      <c r="G1000" t="s">
        <v>2777</v>
      </c>
    </row>
    <row r="1001" spans="1:7" x14ac:dyDescent="0.25">
      <c r="A1001" s="23" t="s">
        <v>2365</v>
      </c>
      <c r="B1001" t="s">
        <v>643</v>
      </c>
      <c r="C1001" t="s">
        <v>22</v>
      </c>
      <c r="D1001">
        <v>5</v>
      </c>
      <c r="E1001" t="s">
        <v>1510</v>
      </c>
      <c r="F1001" t="s">
        <v>2776</v>
      </c>
      <c r="G1001" t="s">
        <v>2777</v>
      </c>
    </row>
    <row r="1002" spans="1:7" x14ac:dyDescent="0.25">
      <c r="A1002" s="23" t="s">
        <v>2365</v>
      </c>
      <c r="B1002" t="s">
        <v>659</v>
      </c>
      <c r="C1002" t="s">
        <v>18</v>
      </c>
      <c r="D1002">
        <v>86</v>
      </c>
      <c r="E1002" t="s">
        <v>1512</v>
      </c>
      <c r="F1002" t="s">
        <v>2774</v>
      </c>
      <c r="G1002" t="s">
        <v>2775</v>
      </c>
    </row>
    <row r="1003" spans="1:7" x14ac:dyDescent="0.25">
      <c r="A1003" s="23" t="s">
        <v>2365</v>
      </c>
      <c r="B1003" t="s">
        <v>659</v>
      </c>
      <c r="C1003" t="s">
        <v>698</v>
      </c>
      <c r="D1003">
        <v>4</v>
      </c>
      <c r="E1003" t="s">
        <v>1463</v>
      </c>
      <c r="F1003" t="s">
        <v>2776</v>
      </c>
      <c r="G1003" t="s">
        <v>2777</v>
      </c>
    </row>
    <row r="1004" spans="1:7" x14ac:dyDescent="0.25">
      <c r="A1004" s="23" t="s">
        <v>2365</v>
      </c>
      <c r="B1004" t="s">
        <v>659</v>
      </c>
      <c r="C1004" t="s">
        <v>22</v>
      </c>
      <c r="D1004">
        <v>4</v>
      </c>
      <c r="E1004" t="s">
        <v>1514</v>
      </c>
      <c r="F1004" t="s">
        <v>2776</v>
      </c>
      <c r="G1004" t="s">
        <v>2777</v>
      </c>
    </row>
    <row r="1005" spans="1:7" x14ac:dyDescent="0.25">
      <c r="A1005" s="23" t="s">
        <v>2365</v>
      </c>
      <c r="B1005" t="s">
        <v>659</v>
      </c>
      <c r="C1005" t="s">
        <v>23</v>
      </c>
      <c r="D1005">
        <v>3</v>
      </c>
      <c r="E1005" t="s">
        <v>1515</v>
      </c>
      <c r="F1005" t="s">
        <v>2776</v>
      </c>
      <c r="G1005" t="s">
        <v>2777</v>
      </c>
    </row>
    <row r="1006" spans="1:7" x14ac:dyDescent="0.25">
      <c r="A1006" s="23" t="s">
        <v>2365</v>
      </c>
      <c r="B1006" t="s">
        <v>659</v>
      </c>
      <c r="C1006" t="s">
        <v>21</v>
      </c>
      <c r="D1006">
        <v>3</v>
      </c>
      <c r="E1006" t="s">
        <v>1517</v>
      </c>
      <c r="F1006" t="s">
        <v>2776</v>
      </c>
      <c r="G1006" t="s">
        <v>2777</v>
      </c>
    </row>
    <row r="1007" spans="1:7" x14ac:dyDescent="0.25">
      <c r="A1007" s="23" t="s">
        <v>2365</v>
      </c>
      <c r="B1007" t="s">
        <v>797</v>
      </c>
      <c r="C1007" t="s">
        <v>22</v>
      </c>
      <c r="D1007">
        <v>80</v>
      </c>
      <c r="E1007" t="s">
        <v>1553</v>
      </c>
      <c r="F1007" t="s">
        <v>2774</v>
      </c>
      <c r="G1007" t="s">
        <v>2775</v>
      </c>
    </row>
    <row r="1008" spans="1:7" x14ac:dyDescent="0.25">
      <c r="A1008" s="23" t="s">
        <v>2365</v>
      </c>
      <c r="B1008" t="s">
        <v>797</v>
      </c>
      <c r="C1008" t="s">
        <v>916</v>
      </c>
      <c r="D1008">
        <v>8</v>
      </c>
      <c r="E1008" t="s">
        <v>1551</v>
      </c>
      <c r="F1008" t="s">
        <v>2776</v>
      </c>
      <c r="G1008" t="s">
        <v>2777</v>
      </c>
    </row>
    <row r="1009" spans="1:7" x14ac:dyDescent="0.25">
      <c r="A1009" s="23" t="s">
        <v>2365</v>
      </c>
      <c r="B1009" t="s">
        <v>797</v>
      </c>
      <c r="C1009" t="s">
        <v>698</v>
      </c>
      <c r="D1009">
        <v>4</v>
      </c>
      <c r="E1009" t="s">
        <v>1463</v>
      </c>
      <c r="F1009" t="s">
        <v>2776</v>
      </c>
      <c r="G1009" t="s">
        <v>2777</v>
      </c>
    </row>
    <row r="1010" spans="1:7" x14ac:dyDescent="0.25">
      <c r="A1010" s="23" t="s">
        <v>2365</v>
      </c>
      <c r="B1010" t="s">
        <v>797</v>
      </c>
      <c r="C1010" t="s">
        <v>18</v>
      </c>
      <c r="D1010">
        <v>4</v>
      </c>
      <c r="E1010" t="s">
        <v>1547</v>
      </c>
      <c r="F1010" t="s">
        <v>2776</v>
      </c>
      <c r="G1010" t="s">
        <v>2777</v>
      </c>
    </row>
    <row r="1011" spans="1:7" x14ac:dyDescent="0.25">
      <c r="A1011" s="23" t="s">
        <v>2365</v>
      </c>
      <c r="B1011" t="s">
        <v>797</v>
      </c>
      <c r="C1011" t="s">
        <v>21</v>
      </c>
      <c r="D1011">
        <v>2</v>
      </c>
      <c r="E1011" t="s">
        <v>1535</v>
      </c>
      <c r="F1011" t="s">
        <v>2776</v>
      </c>
      <c r="G1011" t="s">
        <v>2777</v>
      </c>
    </row>
    <row r="1012" spans="1:7" x14ac:dyDescent="0.25">
      <c r="A1012" s="23" t="s">
        <v>2365</v>
      </c>
      <c r="B1012" t="s">
        <v>797</v>
      </c>
      <c r="C1012" t="s">
        <v>1557</v>
      </c>
      <c r="D1012">
        <v>2</v>
      </c>
      <c r="E1012" t="s">
        <v>1558</v>
      </c>
      <c r="F1012" t="s">
        <v>2776</v>
      </c>
      <c r="G1012" t="s">
        <v>2777</v>
      </c>
    </row>
    <row r="1013" spans="1:7" x14ac:dyDescent="0.25">
      <c r="A1013" s="23" t="s">
        <v>2365</v>
      </c>
      <c r="B1013" t="s">
        <v>657</v>
      </c>
      <c r="C1013" t="s">
        <v>966</v>
      </c>
      <c r="D1013">
        <v>52</v>
      </c>
      <c r="E1013" t="s">
        <v>2139</v>
      </c>
      <c r="F1013" t="s">
        <v>2774</v>
      </c>
      <c r="G1013" t="s">
        <v>2775</v>
      </c>
    </row>
    <row r="1014" spans="1:7" x14ac:dyDescent="0.25">
      <c r="A1014" s="23" t="s">
        <v>2365</v>
      </c>
      <c r="B1014" t="s">
        <v>657</v>
      </c>
      <c r="C1014" t="s">
        <v>21</v>
      </c>
      <c r="D1014">
        <v>16</v>
      </c>
      <c r="E1014" t="s">
        <v>2140</v>
      </c>
      <c r="F1014" t="s">
        <v>2776</v>
      </c>
      <c r="G1014" t="s">
        <v>2777</v>
      </c>
    </row>
    <row r="1015" spans="1:7" x14ac:dyDescent="0.25">
      <c r="A1015" s="23" t="s">
        <v>2365</v>
      </c>
      <c r="B1015" t="s">
        <v>657</v>
      </c>
      <c r="C1015" t="s">
        <v>970</v>
      </c>
      <c r="D1015">
        <v>8</v>
      </c>
      <c r="E1015" t="s">
        <v>2142</v>
      </c>
      <c r="F1015" t="s">
        <v>2776</v>
      </c>
      <c r="G1015" t="s">
        <v>2777</v>
      </c>
    </row>
    <row r="1016" spans="1:7" x14ac:dyDescent="0.25">
      <c r="A1016" s="23" t="s">
        <v>2365</v>
      </c>
      <c r="B1016" t="s">
        <v>657</v>
      </c>
      <c r="C1016" t="s">
        <v>1565</v>
      </c>
      <c r="D1016">
        <v>4</v>
      </c>
      <c r="E1016" t="s">
        <v>2542</v>
      </c>
      <c r="F1016" t="s">
        <v>2776</v>
      </c>
      <c r="G1016" t="s">
        <v>2777</v>
      </c>
    </row>
    <row r="1017" spans="1:7" x14ac:dyDescent="0.25">
      <c r="A1017" s="23" t="s">
        <v>2365</v>
      </c>
      <c r="B1017" t="s">
        <v>657</v>
      </c>
      <c r="C1017" t="s">
        <v>22</v>
      </c>
      <c r="D1017">
        <v>8</v>
      </c>
      <c r="E1017" t="s">
        <v>2140</v>
      </c>
      <c r="F1017" t="s">
        <v>2776</v>
      </c>
      <c r="G1017" t="s">
        <v>2777</v>
      </c>
    </row>
    <row r="1018" spans="1:7" x14ac:dyDescent="0.25">
      <c r="A1018" s="23" t="s">
        <v>2365</v>
      </c>
      <c r="B1018" t="s">
        <v>657</v>
      </c>
      <c r="C1018" t="s">
        <v>1455</v>
      </c>
      <c r="D1018">
        <v>6</v>
      </c>
      <c r="E1018" t="s">
        <v>2146</v>
      </c>
      <c r="F1018" t="s">
        <v>2776</v>
      </c>
      <c r="G1018" t="s">
        <v>2777</v>
      </c>
    </row>
    <row r="1019" spans="1:7" x14ac:dyDescent="0.25">
      <c r="A1019" s="23" t="s">
        <v>2365</v>
      </c>
      <c r="B1019" t="s">
        <v>657</v>
      </c>
      <c r="C1019" t="s">
        <v>1452</v>
      </c>
      <c r="D1019">
        <v>4</v>
      </c>
      <c r="E1019" t="s">
        <v>2148</v>
      </c>
      <c r="F1019" t="s">
        <v>2776</v>
      </c>
      <c r="G1019" t="s">
        <v>2777</v>
      </c>
    </row>
    <row r="1020" spans="1:7" x14ac:dyDescent="0.25">
      <c r="A1020" s="23" t="s">
        <v>2365</v>
      </c>
      <c r="B1020" t="s">
        <v>657</v>
      </c>
      <c r="C1020" t="s">
        <v>1557</v>
      </c>
      <c r="D1020">
        <v>2</v>
      </c>
      <c r="E1020" t="s">
        <v>2136</v>
      </c>
      <c r="F1020" t="s">
        <v>2776</v>
      </c>
      <c r="G1020" t="s">
        <v>2777</v>
      </c>
    </row>
    <row r="1021" spans="1:7" x14ac:dyDescent="0.25">
      <c r="A1021" s="23" t="s">
        <v>2365</v>
      </c>
      <c r="B1021" t="s">
        <v>613</v>
      </c>
      <c r="C1021" t="s">
        <v>2126</v>
      </c>
      <c r="D1021">
        <v>60</v>
      </c>
      <c r="E1021" t="s">
        <v>2152</v>
      </c>
      <c r="F1021" t="s">
        <v>2774</v>
      </c>
      <c r="G1021" t="s">
        <v>2775</v>
      </c>
    </row>
    <row r="1022" spans="1:7" x14ac:dyDescent="0.25">
      <c r="A1022" s="23" t="s">
        <v>2365</v>
      </c>
      <c r="B1022" t="s">
        <v>613</v>
      </c>
      <c r="C1022" t="s">
        <v>970</v>
      </c>
      <c r="D1022">
        <v>30</v>
      </c>
      <c r="E1022" t="s">
        <v>2335</v>
      </c>
      <c r="F1022" t="s">
        <v>2776</v>
      </c>
      <c r="G1022" t="s">
        <v>2777</v>
      </c>
    </row>
    <row r="1023" spans="1:7" x14ac:dyDescent="0.25">
      <c r="A1023" s="23" t="s">
        <v>2365</v>
      </c>
      <c r="B1023" t="s">
        <v>613</v>
      </c>
      <c r="C1023" t="s">
        <v>22</v>
      </c>
      <c r="D1023">
        <v>4</v>
      </c>
      <c r="E1023" t="s">
        <v>1761</v>
      </c>
      <c r="F1023" t="s">
        <v>2776</v>
      </c>
      <c r="G1023" t="s">
        <v>2777</v>
      </c>
    </row>
    <row r="1024" spans="1:7" x14ac:dyDescent="0.25">
      <c r="A1024" s="23" t="s">
        <v>2365</v>
      </c>
      <c r="B1024" t="s">
        <v>613</v>
      </c>
      <c r="C1024" t="s">
        <v>1565</v>
      </c>
      <c r="D1024">
        <v>2</v>
      </c>
      <c r="E1024" t="s">
        <v>2543</v>
      </c>
      <c r="F1024" t="s">
        <v>2776</v>
      </c>
      <c r="G1024" t="s">
        <v>2777</v>
      </c>
    </row>
    <row r="1025" spans="1:7" x14ac:dyDescent="0.25">
      <c r="A1025" s="23" t="s">
        <v>2365</v>
      </c>
      <c r="B1025" t="s">
        <v>613</v>
      </c>
      <c r="C1025" t="s">
        <v>2129</v>
      </c>
      <c r="D1025">
        <v>2</v>
      </c>
      <c r="E1025" t="s">
        <v>2544</v>
      </c>
      <c r="F1025" t="s">
        <v>2776</v>
      </c>
      <c r="G1025" t="s">
        <v>2777</v>
      </c>
    </row>
    <row r="1026" spans="1:7" x14ac:dyDescent="0.25">
      <c r="A1026" s="23" t="s">
        <v>2365</v>
      </c>
      <c r="B1026" t="s">
        <v>613</v>
      </c>
      <c r="C1026" t="s">
        <v>1557</v>
      </c>
      <c r="D1026">
        <v>2</v>
      </c>
      <c r="E1026" t="s">
        <v>2136</v>
      </c>
      <c r="F1026" t="s">
        <v>2776</v>
      </c>
      <c r="G1026" t="s">
        <v>2777</v>
      </c>
    </row>
    <row r="1027" spans="1:7" x14ac:dyDescent="0.25">
      <c r="A1027" s="23" t="s">
        <v>2365</v>
      </c>
      <c r="B1027" t="s">
        <v>645</v>
      </c>
      <c r="C1027" t="s">
        <v>2129</v>
      </c>
      <c r="D1027">
        <v>60</v>
      </c>
      <c r="E1027" t="s">
        <v>2545</v>
      </c>
      <c r="F1027" t="s">
        <v>2774</v>
      </c>
      <c r="G1027" t="s">
        <v>2775</v>
      </c>
    </row>
    <row r="1028" spans="1:7" x14ac:dyDescent="0.25">
      <c r="A1028" s="23" t="s">
        <v>2365</v>
      </c>
      <c r="B1028" t="s">
        <v>645</v>
      </c>
      <c r="C1028" t="s">
        <v>1565</v>
      </c>
      <c r="D1028">
        <v>22</v>
      </c>
      <c r="E1028" t="s">
        <v>2543</v>
      </c>
      <c r="F1028" t="s">
        <v>2776</v>
      </c>
      <c r="G1028" t="s">
        <v>2777</v>
      </c>
    </row>
    <row r="1029" spans="1:7" x14ac:dyDescent="0.25">
      <c r="A1029" s="23" t="s">
        <v>2365</v>
      </c>
      <c r="B1029" t="s">
        <v>645</v>
      </c>
      <c r="C1029" t="s">
        <v>22</v>
      </c>
      <c r="D1029">
        <v>6</v>
      </c>
      <c r="E1029" t="s">
        <v>1761</v>
      </c>
      <c r="F1029" t="s">
        <v>2776</v>
      </c>
      <c r="G1029" t="s">
        <v>2777</v>
      </c>
    </row>
    <row r="1030" spans="1:7" x14ac:dyDescent="0.25">
      <c r="A1030" s="23" t="s">
        <v>2365</v>
      </c>
      <c r="B1030" t="s">
        <v>645</v>
      </c>
      <c r="C1030" t="s">
        <v>1557</v>
      </c>
      <c r="D1030">
        <v>6</v>
      </c>
      <c r="E1030" t="s">
        <v>2136</v>
      </c>
      <c r="F1030" t="s">
        <v>2776</v>
      </c>
      <c r="G1030" t="s">
        <v>2777</v>
      </c>
    </row>
    <row r="1031" spans="1:7" x14ac:dyDescent="0.25">
      <c r="A1031" s="23" t="s">
        <v>2365</v>
      </c>
      <c r="B1031" t="s">
        <v>645</v>
      </c>
      <c r="C1031" t="s">
        <v>970</v>
      </c>
      <c r="D1031">
        <v>2</v>
      </c>
      <c r="E1031" t="s">
        <v>2161</v>
      </c>
      <c r="F1031" t="s">
        <v>2776</v>
      </c>
      <c r="G1031" t="s">
        <v>2777</v>
      </c>
    </row>
    <row r="1032" spans="1:7" x14ac:dyDescent="0.25">
      <c r="A1032" s="23" t="s">
        <v>2365</v>
      </c>
      <c r="B1032" t="s">
        <v>645</v>
      </c>
      <c r="C1032" t="s">
        <v>2126</v>
      </c>
      <c r="D1032">
        <v>2</v>
      </c>
      <c r="E1032" t="s">
        <v>2163</v>
      </c>
      <c r="F1032" t="s">
        <v>2776</v>
      </c>
      <c r="G1032" t="s">
        <v>2777</v>
      </c>
    </row>
    <row r="1033" spans="1:7" x14ac:dyDescent="0.25">
      <c r="A1033" s="23" t="s">
        <v>2365</v>
      </c>
      <c r="B1033" t="s">
        <v>645</v>
      </c>
      <c r="C1033" t="s">
        <v>21</v>
      </c>
      <c r="D1033">
        <v>2</v>
      </c>
      <c r="E1033" t="s">
        <v>2164</v>
      </c>
      <c r="F1033" t="s">
        <v>2776</v>
      </c>
      <c r="G1033" t="s">
        <v>2777</v>
      </c>
    </row>
    <row r="1034" spans="1:7" x14ac:dyDescent="0.25">
      <c r="A1034" s="23" t="s">
        <v>2365</v>
      </c>
      <c r="B1034" t="s">
        <v>651</v>
      </c>
      <c r="C1034" t="s">
        <v>970</v>
      </c>
      <c r="D1034">
        <v>62</v>
      </c>
      <c r="E1034" t="s">
        <v>2168</v>
      </c>
      <c r="F1034" t="s">
        <v>2774</v>
      </c>
      <c r="G1034" t="s">
        <v>2775</v>
      </c>
    </row>
    <row r="1035" spans="1:7" x14ac:dyDescent="0.25">
      <c r="A1035" s="23" t="s">
        <v>2365</v>
      </c>
      <c r="B1035" t="s">
        <v>651</v>
      </c>
      <c r="C1035" t="s">
        <v>617</v>
      </c>
      <c r="D1035">
        <v>16</v>
      </c>
      <c r="E1035" t="s">
        <v>2169</v>
      </c>
      <c r="F1035" t="s">
        <v>2776</v>
      </c>
      <c r="G1035" t="s">
        <v>2777</v>
      </c>
    </row>
    <row r="1036" spans="1:7" x14ac:dyDescent="0.25">
      <c r="A1036" s="23" t="s">
        <v>2365</v>
      </c>
      <c r="B1036" t="s">
        <v>651</v>
      </c>
      <c r="C1036" t="s">
        <v>1455</v>
      </c>
      <c r="D1036">
        <v>10</v>
      </c>
      <c r="E1036" t="s">
        <v>2171</v>
      </c>
      <c r="F1036" t="s">
        <v>2776</v>
      </c>
      <c r="G1036" t="s">
        <v>2777</v>
      </c>
    </row>
    <row r="1037" spans="1:7" x14ac:dyDescent="0.25">
      <c r="A1037" s="23" t="s">
        <v>2365</v>
      </c>
      <c r="B1037" t="s">
        <v>651</v>
      </c>
      <c r="C1037" t="s">
        <v>966</v>
      </c>
      <c r="D1037">
        <v>4</v>
      </c>
      <c r="E1037" t="s">
        <v>2175</v>
      </c>
      <c r="F1037" t="s">
        <v>2776</v>
      </c>
      <c r="G1037" t="s">
        <v>2777</v>
      </c>
    </row>
    <row r="1038" spans="1:7" x14ac:dyDescent="0.25">
      <c r="A1038" s="23" t="s">
        <v>2365</v>
      </c>
      <c r="B1038" t="s">
        <v>651</v>
      </c>
      <c r="C1038" t="s">
        <v>2126</v>
      </c>
      <c r="D1038">
        <v>4</v>
      </c>
      <c r="E1038" t="s">
        <v>2176</v>
      </c>
      <c r="F1038" t="s">
        <v>2776</v>
      </c>
      <c r="G1038" t="s">
        <v>2777</v>
      </c>
    </row>
    <row r="1039" spans="1:7" x14ac:dyDescent="0.25">
      <c r="A1039" s="23" t="s">
        <v>2365</v>
      </c>
      <c r="B1039" t="s">
        <v>651</v>
      </c>
      <c r="C1039" t="s">
        <v>1565</v>
      </c>
      <c r="D1039">
        <v>4</v>
      </c>
      <c r="E1039" t="s">
        <v>2543</v>
      </c>
      <c r="F1039" t="s">
        <v>2776</v>
      </c>
      <c r="G1039" t="s">
        <v>2777</v>
      </c>
    </row>
    <row r="1040" spans="1:7" x14ac:dyDescent="0.25">
      <c r="A1040" s="23" t="s">
        <v>2365</v>
      </c>
      <c r="B1040" t="s">
        <v>800</v>
      </c>
      <c r="C1040" t="s">
        <v>617</v>
      </c>
      <c r="D1040">
        <v>70</v>
      </c>
      <c r="E1040" t="s">
        <v>2472</v>
      </c>
      <c r="F1040" t="s">
        <v>2774</v>
      </c>
      <c r="G1040" t="s">
        <v>2775</v>
      </c>
    </row>
    <row r="1041" spans="1:7" x14ac:dyDescent="0.25">
      <c r="A1041" s="23" t="s">
        <v>2365</v>
      </c>
      <c r="B1041" t="s">
        <v>800</v>
      </c>
      <c r="C1041" t="s">
        <v>970</v>
      </c>
      <c r="D1041">
        <v>20</v>
      </c>
      <c r="E1041" t="s">
        <v>2180</v>
      </c>
      <c r="F1041" t="s">
        <v>2776</v>
      </c>
      <c r="G1041" t="s">
        <v>2777</v>
      </c>
    </row>
    <row r="1042" spans="1:7" x14ac:dyDescent="0.25">
      <c r="A1042" s="23" t="s">
        <v>2365</v>
      </c>
      <c r="B1042" t="s">
        <v>800</v>
      </c>
      <c r="C1042" t="s">
        <v>1455</v>
      </c>
      <c r="D1042">
        <v>4</v>
      </c>
      <c r="E1042" t="s">
        <v>2181</v>
      </c>
      <c r="F1042" t="s">
        <v>2776</v>
      </c>
      <c r="G1042" t="s">
        <v>2777</v>
      </c>
    </row>
    <row r="1043" spans="1:7" x14ac:dyDescent="0.25">
      <c r="A1043" s="23" t="s">
        <v>2365</v>
      </c>
      <c r="B1043" t="s">
        <v>800</v>
      </c>
      <c r="C1043" t="s">
        <v>2126</v>
      </c>
      <c r="D1043">
        <v>4</v>
      </c>
      <c r="E1043" t="s">
        <v>2176</v>
      </c>
      <c r="F1043" t="s">
        <v>2776</v>
      </c>
      <c r="G1043" t="s">
        <v>2777</v>
      </c>
    </row>
    <row r="1044" spans="1:7" x14ac:dyDescent="0.25">
      <c r="A1044" s="23" t="s">
        <v>2365</v>
      </c>
      <c r="B1044" t="s">
        <v>800</v>
      </c>
      <c r="C1044" t="s">
        <v>1565</v>
      </c>
      <c r="D1044">
        <v>2</v>
      </c>
      <c r="E1044" t="s">
        <v>2543</v>
      </c>
      <c r="F1044" t="s">
        <v>2776</v>
      </c>
      <c r="G1044" t="s">
        <v>2777</v>
      </c>
    </row>
    <row r="1045" spans="1:7" x14ac:dyDescent="0.25">
      <c r="A1045" s="23" t="s">
        <v>2365</v>
      </c>
      <c r="B1045" t="s">
        <v>804</v>
      </c>
      <c r="C1045" t="s">
        <v>2129</v>
      </c>
      <c r="D1045">
        <v>44</v>
      </c>
      <c r="E1045" t="s">
        <v>2546</v>
      </c>
      <c r="F1045" t="s">
        <v>2774</v>
      </c>
      <c r="G1045" t="s">
        <v>2775</v>
      </c>
    </row>
    <row r="1046" spans="1:7" x14ac:dyDescent="0.25">
      <c r="A1046" s="23" t="s">
        <v>2365</v>
      </c>
      <c r="B1046" t="s">
        <v>804</v>
      </c>
      <c r="C1046" t="s">
        <v>1565</v>
      </c>
      <c r="D1046">
        <v>24</v>
      </c>
      <c r="E1046" t="s">
        <v>2543</v>
      </c>
      <c r="F1046" t="s">
        <v>2776</v>
      </c>
      <c r="G1046" t="s">
        <v>2777</v>
      </c>
    </row>
    <row r="1047" spans="1:7" x14ac:dyDescent="0.25">
      <c r="A1047" s="23" t="s">
        <v>2365</v>
      </c>
      <c r="B1047" t="s">
        <v>804</v>
      </c>
      <c r="C1047" t="s">
        <v>22</v>
      </c>
      <c r="D1047">
        <v>12</v>
      </c>
      <c r="E1047" t="s">
        <v>2189</v>
      </c>
      <c r="F1047" t="s">
        <v>2776</v>
      </c>
      <c r="G1047" t="s">
        <v>2777</v>
      </c>
    </row>
    <row r="1048" spans="1:7" x14ac:dyDescent="0.25">
      <c r="A1048" s="23" t="s">
        <v>2365</v>
      </c>
      <c r="B1048" t="s">
        <v>804</v>
      </c>
      <c r="C1048" t="s">
        <v>1557</v>
      </c>
      <c r="D1048">
        <v>8</v>
      </c>
      <c r="E1048" t="s">
        <v>2136</v>
      </c>
      <c r="F1048" t="s">
        <v>2776</v>
      </c>
      <c r="G1048" t="s">
        <v>2777</v>
      </c>
    </row>
    <row r="1049" spans="1:7" x14ac:dyDescent="0.25">
      <c r="A1049" s="23" t="s">
        <v>2365</v>
      </c>
      <c r="B1049" t="s">
        <v>804</v>
      </c>
      <c r="C1049" t="s">
        <v>18</v>
      </c>
      <c r="D1049">
        <v>4</v>
      </c>
      <c r="E1049" t="s">
        <v>1474</v>
      </c>
      <c r="F1049" t="s">
        <v>2776</v>
      </c>
      <c r="G1049" t="s">
        <v>2777</v>
      </c>
    </row>
    <row r="1050" spans="1:7" x14ac:dyDescent="0.25">
      <c r="A1050" s="23" t="s">
        <v>2365</v>
      </c>
      <c r="B1050" t="s">
        <v>804</v>
      </c>
      <c r="C1050" t="s">
        <v>21</v>
      </c>
      <c r="D1050">
        <v>4</v>
      </c>
      <c r="E1050" t="s">
        <v>2192</v>
      </c>
      <c r="F1050" t="s">
        <v>2776</v>
      </c>
      <c r="G1050" t="s">
        <v>2777</v>
      </c>
    </row>
    <row r="1051" spans="1:7" x14ac:dyDescent="0.25">
      <c r="A1051" s="23" t="s">
        <v>2365</v>
      </c>
      <c r="B1051" t="s">
        <v>804</v>
      </c>
      <c r="C1051" t="s">
        <v>970</v>
      </c>
      <c r="D1051">
        <v>4</v>
      </c>
      <c r="E1051" t="s">
        <v>2194</v>
      </c>
      <c r="F1051" t="s">
        <v>2776</v>
      </c>
      <c r="G1051" t="s">
        <v>2777</v>
      </c>
    </row>
    <row r="1052" spans="1:7" x14ac:dyDescent="0.25">
      <c r="A1052" s="23" t="s">
        <v>2365</v>
      </c>
      <c r="B1052" t="s">
        <v>607</v>
      </c>
      <c r="C1052" t="s">
        <v>21</v>
      </c>
      <c r="D1052">
        <v>44</v>
      </c>
      <c r="E1052" t="s">
        <v>2196</v>
      </c>
      <c r="F1052" t="s">
        <v>2774</v>
      </c>
      <c r="G1052" t="s">
        <v>2775</v>
      </c>
    </row>
    <row r="1053" spans="1:7" x14ac:dyDescent="0.25">
      <c r="A1053" s="23" t="s">
        <v>2365</v>
      </c>
      <c r="B1053" t="s">
        <v>607</v>
      </c>
      <c r="C1053" t="s">
        <v>1455</v>
      </c>
      <c r="D1053">
        <v>18</v>
      </c>
      <c r="E1053" t="s">
        <v>2198</v>
      </c>
      <c r="F1053" t="s">
        <v>2776</v>
      </c>
      <c r="G1053" t="s">
        <v>2777</v>
      </c>
    </row>
    <row r="1054" spans="1:7" x14ac:dyDescent="0.25">
      <c r="A1054" s="23" t="s">
        <v>2365</v>
      </c>
      <c r="B1054" t="s">
        <v>607</v>
      </c>
      <c r="C1054" t="s">
        <v>1452</v>
      </c>
      <c r="D1054">
        <v>12</v>
      </c>
      <c r="E1054" t="s">
        <v>2200</v>
      </c>
      <c r="F1054" t="s">
        <v>2776</v>
      </c>
      <c r="G1054" t="s">
        <v>2777</v>
      </c>
    </row>
    <row r="1055" spans="1:7" x14ac:dyDescent="0.25">
      <c r="A1055" s="23" t="s">
        <v>2365</v>
      </c>
      <c r="B1055" t="s">
        <v>607</v>
      </c>
      <c r="C1055" t="s">
        <v>966</v>
      </c>
      <c r="D1055">
        <v>10</v>
      </c>
      <c r="E1055" t="s">
        <v>2202</v>
      </c>
      <c r="F1055" t="s">
        <v>2776</v>
      </c>
      <c r="G1055" t="s">
        <v>2777</v>
      </c>
    </row>
    <row r="1056" spans="1:7" x14ac:dyDescent="0.25">
      <c r="A1056" s="23" t="s">
        <v>2365</v>
      </c>
      <c r="B1056" t="s">
        <v>607</v>
      </c>
      <c r="C1056" t="s">
        <v>970</v>
      </c>
      <c r="D1056">
        <v>4</v>
      </c>
      <c r="E1056" t="s">
        <v>2204</v>
      </c>
      <c r="F1056" t="s">
        <v>2776</v>
      </c>
      <c r="G1056" t="s">
        <v>2777</v>
      </c>
    </row>
    <row r="1057" spans="1:7" x14ac:dyDescent="0.25">
      <c r="A1057" s="23" t="s">
        <v>2365</v>
      </c>
      <c r="B1057" t="s">
        <v>607</v>
      </c>
      <c r="C1057" t="s">
        <v>22</v>
      </c>
      <c r="D1057">
        <v>4</v>
      </c>
      <c r="E1057" t="s">
        <v>2206</v>
      </c>
      <c r="F1057" t="s">
        <v>2776</v>
      </c>
      <c r="G1057" t="s">
        <v>2777</v>
      </c>
    </row>
    <row r="1058" spans="1:7" x14ac:dyDescent="0.25">
      <c r="A1058" s="23" t="s">
        <v>2365</v>
      </c>
      <c r="B1058" t="s">
        <v>607</v>
      </c>
      <c r="C1058" t="s">
        <v>23</v>
      </c>
      <c r="D1058">
        <v>4</v>
      </c>
      <c r="E1058" t="s">
        <v>1573</v>
      </c>
      <c r="F1058" t="s">
        <v>2776</v>
      </c>
      <c r="G1058" t="s">
        <v>2777</v>
      </c>
    </row>
    <row r="1059" spans="1:7" x14ac:dyDescent="0.25">
      <c r="A1059" s="23" t="s">
        <v>2365</v>
      </c>
      <c r="B1059" t="s">
        <v>607</v>
      </c>
      <c r="C1059" t="s">
        <v>18</v>
      </c>
      <c r="D1059">
        <v>2</v>
      </c>
      <c r="E1059" t="s">
        <v>2209</v>
      </c>
      <c r="F1059" t="s">
        <v>2776</v>
      </c>
      <c r="G1059" t="s">
        <v>2777</v>
      </c>
    </row>
    <row r="1060" spans="1:7" x14ac:dyDescent="0.25">
      <c r="A1060" s="23" t="s">
        <v>2365</v>
      </c>
      <c r="B1060" t="s">
        <v>607</v>
      </c>
      <c r="C1060" t="s">
        <v>617</v>
      </c>
      <c r="D1060">
        <v>2</v>
      </c>
      <c r="E1060" t="s">
        <v>2210</v>
      </c>
      <c r="F1060" t="s">
        <v>2776</v>
      </c>
      <c r="G1060" t="s">
        <v>2777</v>
      </c>
    </row>
    <row r="1061" spans="1:7" x14ac:dyDescent="0.25">
      <c r="A1061" s="23" t="s">
        <v>2365</v>
      </c>
      <c r="B1061" t="s">
        <v>807</v>
      </c>
      <c r="C1061" t="s">
        <v>617</v>
      </c>
      <c r="D1061">
        <v>62</v>
      </c>
      <c r="E1061" t="s">
        <v>2772</v>
      </c>
      <c r="F1061" t="s">
        <v>2774</v>
      </c>
      <c r="G1061" t="s">
        <v>2775</v>
      </c>
    </row>
    <row r="1062" spans="1:7" x14ac:dyDescent="0.25">
      <c r="A1062" s="23" t="s">
        <v>2365</v>
      </c>
      <c r="B1062" t="s">
        <v>807</v>
      </c>
      <c r="C1062" t="s">
        <v>1452</v>
      </c>
      <c r="D1062">
        <v>30</v>
      </c>
      <c r="E1062" t="s">
        <v>2530</v>
      </c>
      <c r="F1062" t="s">
        <v>2776</v>
      </c>
      <c r="G1062" t="s">
        <v>2777</v>
      </c>
    </row>
    <row r="1063" spans="1:7" x14ac:dyDescent="0.25">
      <c r="A1063" s="23" t="s">
        <v>2365</v>
      </c>
      <c r="B1063" t="s">
        <v>807</v>
      </c>
      <c r="C1063" t="s">
        <v>2087</v>
      </c>
      <c r="D1063">
        <v>4</v>
      </c>
      <c r="E1063" t="s">
        <v>2475</v>
      </c>
      <c r="F1063" t="s">
        <v>2776</v>
      </c>
      <c r="G1063" t="s">
        <v>2777</v>
      </c>
    </row>
    <row r="1064" spans="1:7" x14ac:dyDescent="0.25">
      <c r="A1064" s="23" t="s">
        <v>2365</v>
      </c>
      <c r="B1064" t="s">
        <v>807</v>
      </c>
      <c r="C1064" t="s">
        <v>635</v>
      </c>
      <c r="D1064">
        <v>2</v>
      </c>
      <c r="E1064" t="s">
        <v>2216</v>
      </c>
      <c r="F1064" t="s">
        <v>2776</v>
      </c>
      <c r="G1064" t="s">
        <v>2777</v>
      </c>
    </row>
    <row r="1065" spans="1:7" x14ac:dyDescent="0.25">
      <c r="A1065" s="23" t="s">
        <v>2365</v>
      </c>
      <c r="B1065" t="s">
        <v>807</v>
      </c>
      <c r="C1065" t="s">
        <v>2012</v>
      </c>
      <c r="D1065">
        <v>2</v>
      </c>
      <c r="E1065" t="s">
        <v>2537</v>
      </c>
      <c r="F1065" t="s">
        <v>2776</v>
      </c>
      <c r="G1065" t="s">
        <v>2777</v>
      </c>
    </row>
    <row r="1066" spans="1:7" x14ac:dyDescent="0.25">
      <c r="A1066" s="23" t="s">
        <v>2365</v>
      </c>
      <c r="B1066" t="s">
        <v>810</v>
      </c>
      <c r="C1066" t="s">
        <v>1455</v>
      </c>
      <c r="D1066">
        <v>68</v>
      </c>
      <c r="E1066" t="s">
        <v>2238</v>
      </c>
      <c r="F1066" t="s">
        <v>2774</v>
      </c>
      <c r="G1066" t="s">
        <v>2775</v>
      </c>
    </row>
    <row r="1067" spans="1:7" x14ac:dyDescent="0.25">
      <c r="A1067" s="23" t="s">
        <v>2365</v>
      </c>
      <c r="B1067" t="s">
        <v>810</v>
      </c>
      <c r="C1067" t="s">
        <v>21</v>
      </c>
      <c r="D1067">
        <v>13</v>
      </c>
      <c r="E1067" t="s">
        <v>2192</v>
      </c>
      <c r="F1067" t="s">
        <v>2776</v>
      </c>
      <c r="G1067" t="s">
        <v>2777</v>
      </c>
    </row>
    <row r="1068" spans="1:7" x14ac:dyDescent="0.25">
      <c r="A1068" s="23" t="s">
        <v>2365</v>
      </c>
      <c r="B1068" t="s">
        <v>810</v>
      </c>
      <c r="C1068" t="s">
        <v>1452</v>
      </c>
      <c r="D1068">
        <v>13</v>
      </c>
      <c r="E1068" t="s">
        <v>2526</v>
      </c>
      <c r="F1068" t="s">
        <v>2776</v>
      </c>
      <c r="G1068" t="s">
        <v>2777</v>
      </c>
    </row>
    <row r="1069" spans="1:7" x14ac:dyDescent="0.25">
      <c r="A1069" s="23" t="s">
        <v>2365</v>
      </c>
      <c r="B1069" t="s">
        <v>810</v>
      </c>
      <c r="C1069" t="s">
        <v>970</v>
      </c>
      <c r="D1069">
        <v>2</v>
      </c>
      <c r="E1069" t="s">
        <v>2241</v>
      </c>
      <c r="F1069" t="s">
        <v>2776</v>
      </c>
      <c r="G1069" t="s">
        <v>2777</v>
      </c>
    </row>
    <row r="1070" spans="1:7" x14ac:dyDescent="0.25">
      <c r="A1070" s="23" t="s">
        <v>2365</v>
      </c>
      <c r="B1070" t="s">
        <v>810</v>
      </c>
      <c r="C1070" t="s">
        <v>23</v>
      </c>
      <c r="D1070">
        <v>2</v>
      </c>
      <c r="E1070" t="s">
        <v>2227</v>
      </c>
      <c r="F1070" t="s">
        <v>2776</v>
      </c>
      <c r="G1070" t="s">
        <v>2777</v>
      </c>
    </row>
    <row r="1071" spans="1:7" x14ac:dyDescent="0.25">
      <c r="A1071" s="23" t="s">
        <v>2365</v>
      </c>
      <c r="B1071" t="s">
        <v>810</v>
      </c>
      <c r="C1071" t="s">
        <v>617</v>
      </c>
      <c r="D1071">
        <v>2</v>
      </c>
      <c r="E1071" t="s">
        <v>2242</v>
      </c>
      <c r="F1071" t="s">
        <v>2776</v>
      </c>
      <c r="G1071" t="s">
        <v>2777</v>
      </c>
    </row>
    <row r="1072" spans="1:7" x14ac:dyDescent="0.25">
      <c r="A1072" s="23" t="s">
        <v>2365</v>
      </c>
      <c r="B1072" t="s">
        <v>813</v>
      </c>
      <c r="C1072" t="s">
        <v>1452</v>
      </c>
      <c r="D1072">
        <v>68</v>
      </c>
      <c r="E1072" t="s">
        <v>2527</v>
      </c>
      <c r="F1072" t="s">
        <v>2774</v>
      </c>
      <c r="G1072" t="s">
        <v>2775</v>
      </c>
    </row>
    <row r="1073" spans="1:7" x14ac:dyDescent="0.25">
      <c r="A1073" s="23" t="s">
        <v>2365</v>
      </c>
      <c r="B1073" t="s">
        <v>813</v>
      </c>
      <c r="C1073" t="s">
        <v>1455</v>
      </c>
      <c r="D1073">
        <v>10</v>
      </c>
      <c r="E1073" t="s">
        <v>2528</v>
      </c>
      <c r="F1073" t="s">
        <v>2776</v>
      </c>
      <c r="G1073" t="s">
        <v>2777</v>
      </c>
    </row>
    <row r="1074" spans="1:7" x14ac:dyDescent="0.25">
      <c r="A1074" s="23" t="s">
        <v>2365</v>
      </c>
      <c r="B1074" t="s">
        <v>813</v>
      </c>
      <c r="C1074" t="s">
        <v>617</v>
      </c>
      <c r="D1074">
        <v>10</v>
      </c>
      <c r="E1074" t="s">
        <v>2529</v>
      </c>
      <c r="F1074" t="s">
        <v>2776</v>
      </c>
      <c r="G1074" t="s">
        <v>2777</v>
      </c>
    </row>
    <row r="1075" spans="1:7" x14ac:dyDescent="0.25">
      <c r="A1075" s="23" t="s">
        <v>2365</v>
      </c>
      <c r="B1075" t="s">
        <v>813</v>
      </c>
      <c r="C1075" t="s">
        <v>23</v>
      </c>
      <c r="D1075">
        <v>6</v>
      </c>
      <c r="E1075" t="s">
        <v>2227</v>
      </c>
      <c r="F1075" t="s">
        <v>2776</v>
      </c>
      <c r="G1075" t="s">
        <v>2777</v>
      </c>
    </row>
    <row r="1076" spans="1:7" x14ac:dyDescent="0.25">
      <c r="A1076" s="23" t="s">
        <v>2365</v>
      </c>
      <c r="B1076" t="s">
        <v>813</v>
      </c>
      <c r="C1076" t="s">
        <v>950</v>
      </c>
      <c r="D1076">
        <v>4</v>
      </c>
      <c r="E1076" t="s">
        <v>2246</v>
      </c>
      <c r="F1076" t="s">
        <v>2776</v>
      </c>
      <c r="G1076" t="s">
        <v>2777</v>
      </c>
    </row>
    <row r="1077" spans="1:7" x14ac:dyDescent="0.25">
      <c r="A1077" s="23" t="s">
        <v>2365</v>
      </c>
      <c r="B1077" t="s">
        <v>813</v>
      </c>
      <c r="C1077" t="s">
        <v>2087</v>
      </c>
      <c r="D1077">
        <v>2</v>
      </c>
      <c r="E1077" t="s">
        <v>2475</v>
      </c>
      <c r="F1077" t="s">
        <v>2776</v>
      </c>
      <c r="G1077" t="s">
        <v>2777</v>
      </c>
    </row>
    <row r="1078" spans="1:7" x14ac:dyDescent="0.25">
      <c r="A1078" s="23" t="s">
        <v>2365</v>
      </c>
      <c r="B1078" t="s">
        <v>816</v>
      </c>
      <c r="C1078" t="s">
        <v>1452</v>
      </c>
      <c r="D1078">
        <v>72</v>
      </c>
      <c r="E1078" t="s">
        <v>2519</v>
      </c>
      <c r="F1078" t="s">
        <v>2774</v>
      </c>
      <c r="G1078" t="s">
        <v>2775</v>
      </c>
    </row>
    <row r="1079" spans="1:7" x14ac:dyDescent="0.25">
      <c r="A1079" s="23" t="s">
        <v>2365</v>
      </c>
      <c r="B1079" t="s">
        <v>816</v>
      </c>
      <c r="C1079" t="s">
        <v>21</v>
      </c>
      <c r="D1079">
        <v>10</v>
      </c>
      <c r="E1079" t="s">
        <v>2192</v>
      </c>
      <c r="F1079" t="s">
        <v>2776</v>
      </c>
      <c r="G1079" t="s">
        <v>2777</v>
      </c>
    </row>
    <row r="1080" spans="1:7" x14ac:dyDescent="0.25">
      <c r="A1080" s="23" t="s">
        <v>2365</v>
      </c>
      <c r="B1080" t="s">
        <v>816</v>
      </c>
      <c r="C1080" t="s">
        <v>23</v>
      </c>
      <c r="D1080">
        <v>8</v>
      </c>
      <c r="E1080" t="s">
        <v>2227</v>
      </c>
      <c r="F1080" t="s">
        <v>2776</v>
      </c>
      <c r="G1080" t="s">
        <v>2777</v>
      </c>
    </row>
    <row r="1081" spans="1:7" x14ac:dyDescent="0.25">
      <c r="A1081" s="23" t="s">
        <v>2365</v>
      </c>
      <c r="B1081" t="s">
        <v>816</v>
      </c>
      <c r="C1081" t="s">
        <v>1455</v>
      </c>
      <c r="D1081">
        <v>4</v>
      </c>
      <c r="E1081" t="s">
        <v>2181</v>
      </c>
      <c r="F1081" t="s">
        <v>2776</v>
      </c>
      <c r="G1081" t="s">
        <v>2777</v>
      </c>
    </row>
    <row r="1082" spans="1:7" x14ac:dyDescent="0.25">
      <c r="A1082" s="23" t="s">
        <v>2365</v>
      </c>
      <c r="B1082" t="s">
        <v>816</v>
      </c>
      <c r="C1082" t="s">
        <v>950</v>
      </c>
      <c r="D1082">
        <v>4</v>
      </c>
      <c r="E1082" t="s">
        <v>2246</v>
      </c>
      <c r="F1082" t="s">
        <v>2776</v>
      </c>
      <c r="G1082" t="s">
        <v>2777</v>
      </c>
    </row>
    <row r="1083" spans="1:7" x14ac:dyDescent="0.25">
      <c r="A1083" s="23" t="s">
        <v>2365</v>
      </c>
      <c r="B1083" t="s">
        <v>816</v>
      </c>
      <c r="C1083" t="s">
        <v>22</v>
      </c>
      <c r="D1083">
        <v>2</v>
      </c>
      <c r="E1083" t="s">
        <v>2250</v>
      </c>
      <c r="F1083" t="s">
        <v>2776</v>
      </c>
      <c r="G1083" t="s">
        <v>2777</v>
      </c>
    </row>
    <row r="1084" spans="1:7" x14ac:dyDescent="0.25">
      <c r="A1084" s="23" t="s">
        <v>2365</v>
      </c>
      <c r="B1084" t="s">
        <v>2301</v>
      </c>
      <c r="C1084" t="s">
        <v>2012</v>
      </c>
      <c r="D1084">
        <v>80</v>
      </c>
      <c r="E1084" t="s">
        <v>2538</v>
      </c>
      <c r="F1084" t="s">
        <v>2774</v>
      </c>
      <c r="G1084" t="s">
        <v>2775</v>
      </c>
    </row>
    <row r="1085" spans="1:7" x14ac:dyDescent="0.25">
      <c r="A1085" s="23" t="s">
        <v>2365</v>
      </c>
      <c r="B1085" t="s">
        <v>2301</v>
      </c>
      <c r="C1085" t="s">
        <v>617</v>
      </c>
      <c r="D1085">
        <v>8</v>
      </c>
      <c r="E1085" t="s">
        <v>2692</v>
      </c>
      <c r="F1085" t="s">
        <v>2776</v>
      </c>
      <c r="G1085" t="s">
        <v>2777</v>
      </c>
    </row>
    <row r="1086" spans="1:7" x14ac:dyDescent="0.25">
      <c r="A1086" s="23" t="s">
        <v>2365</v>
      </c>
      <c r="B1086" t="s">
        <v>2301</v>
      </c>
      <c r="C1086" t="s">
        <v>970</v>
      </c>
      <c r="D1086">
        <v>6</v>
      </c>
      <c r="E1086" t="s">
        <v>2303</v>
      </c>
      <c r="F1086" t="s">
        <v>2776</v>
      </c>
      <c r="G1086" t="s">
        <v>2777</v>
      </c>
    </row>
    <row r="1087" spans="1:7" x14ac:dyDescent="0.25">
      <c r="A1087" s="23" t="s">
        <v>2365</v>
      </c>
      <c r="B1087" t="s">
        <v>2301</v>
      </c>
      <c r="C1087" t="s">
        <v>2059</v>
      </c>
      <c r="D1087">
        <v>4</v>
      </c>
      <c r="E1087" t="s">
        <v>2304</v>
      </c>
      <c r="F1087" t="s">
        <v>2776</v>
      </c>
      <c r="G1087" t="s">
        <v>2777</v>
      </c>
    </row>
    <row r="1088" spans="1:7" x14ac:dyDescent="0.25">
      <c r="A1088" s="23" t="s">
        <v>2365</v>
      </c>
      <c r="B1088" t="s">
        <v>2301</v>
      </c>
      <c r="C1088" t="s">
        <v>1565</v>
      </c>
      <c r="D1088">
        <v>4</v>
      </c>
      <c r="E1088" t="s">
        <v>2547</v>
      </c>
      <c r="F1088" t="s">
        <v>2776</v>
      </c>
      <c r="G1088" t="s">
        <v>2777</v>
      </c>
    </row>
    <row r="1089" spans="1:7" x14ac:dyDescent="0.25">
      <c r="A1089" s="23" t="s">
        <v>2365</v>
      </c>
      <c r="B1089" t="s">
        <v>819</v>
      </c>
      <c r="C1089" t="s">
        <v>617</v>
      </c>
      <c r="D1089">
        <v>4</v>
      </c>
      <c r="E1089" t="s">
        <v>2692</v>
      </c>
      <c r="F1089" t="s">
        <v>2776</v>
      </c>
      <c r="G1089" t="s">
        <v>2777</v>
      </c>
    </row>
    <row r="1090" spans="1:7" x14ac:dyDescent="0.25">
      <c r="A1090" s="23" t="s">
        <v>2365</v>
      </c>
      <c r="B1090" t="s">
        <v>819</v>
      </c>
      <c r="C1090" t="s">
        <v>2059</v>
      </c>
      <c r="D1090">
        <v>4</v>
      </c>
      <c r="E1090" t="s">
        <v>2310</v>
      </c>
      <c r="F1090" t="s">
        <v>2776</v>
      </c>
      <c r="G1090" t="s">
        <v>2777</v>
      </c>
    </row>
    <row r="1091" spans="1:7" x14ac:dyDescent="0.25">
      <c r="A1091" s="23" t="s">
        <v>2365</v>
      </c>
      <c r="B1091" t="s">
        <v>819</v>
      </c>
      <c r="C1091" t="s">
        <v>1565</v>
      </c>
      <c r="D1091">
        <v>2</v>
      </c>
      <c r="E1091" t="s">
        <v>2543</v>
      </c>
      <c r="F1091" t="s">
        <v>2776</v>
      </c>
      <c r="G1091" t="s">
        <v>2777</v>
      </c>
    </row>
    <row r="1092" spans="1:7" x14ac:dyDescent="0.25">
      <c r="A1092" s="23" t="s">
        <v>2365</v>
      </c>
      <c r="B1092" t="s">
        <v>819</v>
      </c>
      <c r="C1092" t="s">
        <v>2087</v>
      </c>
      <c r="D1092">
        <v>2</v>
      </c>
      <c r="E1092" t="s">
        <v>2475</v>
      </c>
      <c r="F1092" t="s">
        <v>2776</v>
      </c>
      <c r="G1092" t="s">
        <v>2777</v>
      </c>
    </row>
    <row r="1093" spans="1:7" x14ac:dyDescent="0.25">
      <c r="A1093" s="23" t="s">
        <v>2365</v>
      </c>
      <c r="B1093" t="s">
        <v>822</v>
      </c>
      <c r="C1093" t="s">
        <v>2012</v>
      </c>
      <c r="D1093">
        <v>86</v>
      </c>
      <c r="E1093" t="s">
        <v>2531</v>
      </c>
      <c r="F1093" t="s">
        <v>2774</v>
      </c>
      <c r="G1093" t="s">
        <v>2775</v>
      </c>
    </row>
    <row r="1094" spans="1:7" x14ac:dyDescent="0.25">
      <c r="A1094" s="23" t="s">
        <v>2365</v>
      </c>
      <c r="B1094" t="s">
        <v>822</v>
      </c>
      <c r="C1094" t="s">
        <v>617</v>
      </c>
      <c r="D1094">
        <v>6</v>
      </c>
      <c r="E1094" t="s">
        <v>2694</v>
      </c>
      <c r="F1094" t="s">
        <v>2776</v>
      </c>
      <c r="G1094" t="s">
        <v>2777</v>
      </c>
    </row>
    <row r="1095" spans="1:7" x14ac:dyDescent="0.25">
      <c r="A1095" s="23" t="s">
        <v>2365</v>
      </c>
      <c r="B1095" t="s">
        <v>822</v>
      </c>
      <c r="C1095" t="s">
        <v>2059</v>
      </c>
      <c r="D1095">
        <v>4</v>
      </c>
      <c r="E1095" t="s">
        <v>2310</v>
      </c>
      <c r="F1095" t="s">
        <v>2776</v>
      </c>
      <c r="G1095" t="s">
        <v>2777</v>
      </c>
    </row>
    <row r="1096" spans="1:7" x14ac:dyDescent="0.25">
      <c r="A1096" s="23" t="s">
        <v>2365</v>
      </c>
      <c r="B1096" t="s">
        <v>822</v>
      </c>
      <c r="C1096" t="s">
        <v>1565</v>
      </c>
      <c r="D1096">
        <v>2</v>
      </c>
      <c r="E1096" t="s">
        <v>2543</v>
      </c>
      <c r="F1096" t="s">
        <v>2776</v>
      </c>
      <c r="G1096" t="s">
        <v>2777</v>
      </c>
    </row>
    <row r="1097" spans="1:7" x14ac:dyDescent="0.25">
      <c r="A1097" s="23" t="s">
        <v>2365</v>
      </c>
      <c r="B1097" t="s">
        <v>822</v>
      </c>
      <c r="C1097" t="s">
        <v>2087</v>
      </c>
      <c r="D1097">
        <v>2</v>
      </c>
      <c r="E1097" t="s">
        <v>2475</v>
      </c>
      <c r="F1097" t="s">
        <v>2776</v>
      </c>
      <c r="G1097" t="s">
        <v>2777</v>
      </c>
    </row>
    <row r="1098" spans="1:7" x14ac:dyDescent="0.25">
      <c r="A1098" s="23" t="s">
        <v>2365</v>
      </c>
      <c r="B1098" t="s">
        <v>2584</v>
      </c>
      <c r="C1098" t="s">
        <v>2002</v>
      </c>
      <c r="D1098">
        <v>45</v>
      </c>
      <c r="E1098" t="s">
        <v>2607</v>
      </c>
      <c r="F1098" t="s">
        <v>2780</v>
      </c>
      <c r="G1098" t="s">
        <v>2781</v>
      </c>
    </row>
    <row r="1099" spans="1:7" x14ac:dyDescent="0.25">
      <c r="A1099" s="23" t="s">
        <v>2365</v>
      </c>
      <c r="B1099" t="s">
        <v>2584</v>
      </c>
      <c r="C1099" t="s">
        <v>2009</v>
      </c>
      <c r="D1099">
        <v>30</v>
      </c>
      <c r="E1099" t="s">
        <v>2608</v>
      </c>
      <c r="F1099" t="s">
        <v>2776</v>
      </c>
      <c r="G1099" t="s">
        <v>2777</v>
      </c>
    </row>
    <row r="1100" spans="1:7" x14ac:dyDescent="0.25">
      <c r="A1100" s="23" t="s">
        <v>2365</v>
      </c>
      <c r="B1100" t="s">
        <v>2584</v>
      </c>
      <c r="C1100" t="s">
        <v>2059</v>
      </c>
      <c r="D1100">
        <v>20</v>
      </c>
      <c r="E1100" t="s">
        <v>2766</v>
      </c>
      <c r="F1100" t="s">
        <v>2776</v>
      </c>
      <c r="G1100" t="s">
        <v>2777</v>
      </c>
    </row>
    <row r="1101" spans="1:7" x14ac:dyDescent="0.25">
      <c r="A1101" s="23" t="s">
        <v>2365</v>
      </c>
      <c r="B1101" t="s">
        <v>2584</v>
      </c>
      <c r="C1101" t="s">
        <v>617</v>
      </c>
      <c r="D1101">
        <v>5</v>
      </c>
      <c r="E1101" t="s">
        <v>2767</v>
      </c>
      <c r="F1101" t="s">
        <v>2776</v>
      </c>
      <c r="G1101" t="s">
        <v>2777</v>
      </c>
    </row>
    <row r="1102" spans="1:7" x14ac:dyDescent="0.25">
      <c r="A1102" s="23" t="s">
        <v>2365</v>
      </c>
      <c r="B1102" s="15" t="s">
        <v>2626</v>
      </c>
      <c r="C1102" s="28" t="s">
        <v>2059</v>
      </c>
      <c r="D1102" s="13">
        <v>70</v>
      </c>
      <c r="E1102" s="15" t="s">
        <v>2627</v>
      </c>
      <c r="F1102" t="s">
        <v>2778</v>
      </c>
      <c r="G1102" t="s">
        <v>2779</v>
      </c>
    </row>
    <row r="1103" spans="1:7" x14ac:dyDescent="0.25">
      <c r="A1103" s="23" t="s">
        <v>2365</v>
      </c>
      <c r="B1103" s="15" t="s">
        <v>2626</v>
      </c>
      <c r="C1103" s="13" t="s">
        <v>22</v>
      </c>
      <c r="D1103" s="13">
        <v>20</v>
      </c>
      <c r="E1103" s="15" t="s">
        <v>2134</v>
      </c>
      <c r="F1103" t="s">
        <v>2778</v>
      </c>
      <c r="G1103" t="s">
        <v>2779</v>
      </c>
    </row>
    <row r="1104" spans="1:7" x14ac:dyDescent="0.25">
      <c r="A1104" s="23" t="s">
        <v>2365</v>
      </c>
      <c r="B1104" s="15" t="s">
        <v>2626</v>
      </c>
      <c r="C1104" s="13" t="s">
        <v>617</v>
      </c>
      <c r="D1104" s="13">
        <v>10</v>
      </c>
      <c r="E1104" s="15" t="s">
        <v>2690</v>
      </c>
      <c r="F1104" t="s">
        <v>2778</v>
      </c>
      <c r="G1104" t="s">
        <v>2779</v>
      </c>
    </row>
    <row r="1105" spans="1:7" x14ac:dyDescent="0.25">
      <c r="A1105" s="23" t="s">
        <v>2365</v>
      </c>
      <c r="B1105" s="19" t="s">
        <v>544</v>
      </c>
      <c r="C1105" t="s">
        <v>954</v>
      </c>
      <c r="D1105">
        <v>65</v>
      </c>
      <c r="E1105" t="s">
        <v>2696</v>
      </c>
      <c r="F1105" t="s">
        <v>2774</v>
      </c>
      <c r="G1105" t="s">
        <v>2775</v>
      </c>
    </row>
    <row r="1106" spans="1:7" x14ac:dyDescent="0.25">
      <c r="A1106" s="23" t="s">
        <v>2365</v>
      </c>
      <c r="B1106" s="19" t="s">
        <v>544</v>
      </c>
      <c r="C1106" t="s">
        <v>903</v>
      </c>
      <c r="D1106">
        <v>8</v>
      </c>
      <c r="E1106" t="s">
        <v>2000</v>
      </c>
      <c r="F1106" t="s">
        <v>2774</v>
      </c>
      <c r="G1106" t="s">
        <v>2775</v>
      </c>
    </row>
    <row r="1107" spans="1:7" x14ac:dyDescent="0.25">
      <c r="A1107" s="23" t="s">
        <v>2365</v>
      </c>
      <c r="B1107" s="19" t="s">
        <v>544</v>
      </c>
      <c r="C1107" t="s">
        <v>2009</v>
      </c>
      <c r="D1107">
        <v>3</v>
      </c>
      <c r="E1107" t="s">
        <v>2010</v>
      </c>
      <c r="F1107" t="s">
        <v>2776</v>
      </c>
      <c r="G1107" t="s">
        <v>2777</v>
      </c>
    </row>
    <row r="1108" spans="1:7" x14ac:dyDescent="0.25">
      <c r="A1108" s="23" t="s">
        <v>2365</v>
      </c>
      <c r="B1108" s="19" t="s">
        <v>544</v>
      </c>
      <c r="C1108" t="s">
        <v>2059</v>
      </c>
      <c r="D1108">
        <v>3</v>
      </c>
      <c r="E1108" t="s">
        <v>2060</v>
      </c>
      <c r="F1108" t="s">
        <v>2776</v>
      </c>
      <c r="G1108" t="s">
        <v>2777</v>
      </c>
    </row>
    <row r="1109" spans="1:7" x14ac:dyDescent="0.25">
      <c r="A1109" s="23" t="s">
        <v>2365</v>
      </c>
      <c r="B1109" s="19" t="s">
        <v>544</v>
      </c>
      <c r="C1109" t="s">
        <v>1202</v>
      </c>
      <c r="D1109">
        <v>1</v>
      </c>
      <c r="E1109" t="s">
        <v>2011</v>
      </c>
      <c r="F1109" t="s">
        <v>2776</v>
      </c>
      <c r="G1109" t="s">
        <v>2777</v>
      </c>
    </row>
    <row r="1110" spans="1:7" x14ac:dyDescent="0.25">
      <c r="A1110" s="23" t="s">
        <v>2365</v>
      </c>
      <c r="B1110" s="19" t="s">
        <v>544</v>
      </c>
      <c r="C1110" t="s">
        <v>2012</v>
      </c>
      <c r="D1110">
        <v>2</v>
      </c>
      <c r="E1110" t="s">
        <v>2532</v>
      </c>
      <c r="F1110" t="s">
        <v>2776</v>
      </c>
      <c r="G1110" t="s">
        <v>2777</v>
      </c>
    </row>
    <row r="1111" spans="1:7" x14ac:dyDescent="0.25">
      <c r="A1111" s="23" t="s">
        <v>2365</v>
      </c>
      <c r="B1111" s="19" t="s">
        <v>544</v>
      </c>
      <c r="C1111" t="s">
        <v>1565</v>
      </c>
      <c r="D1111">
        <v>4</v>
      </c>
      <c r="E1111" t="s">
        <v>2548</v>
      </c>
      <c r="F1111" t="s">
        <v>2776</v>
      </c>
      <c r="G1111" t="s">
        <v>2777</v>
      </c>
    </row>
    <row r="1112" spans="1:7" x14ac:dyDescent="0.25">
      <c r="A1112" s="23" t="s">
        <v>2365</v>
      </c>
      <c r="B1112" s="19" t="s">
        <v>544</v>
      </c>
      <c r="C1112" t="s">
        <v>941</v>
      </c>
      <c r="D1112">
        <v>3</v>
      </c>
      <c r="E1112" t="s">
        <v>2723</v>
      </c>
      <c r="F1112" t="s">
        <v>2778</v>
      </c>
      <c r="G1112" t="s">
        <v>2779</v>
      </c>
    </row>
    <row r="1113" spans="1:7" x14ac:dyDescent="0.25">
      <c r="A1113" s="23" t="s">
        <v>2365</v>
      </c>
      <c r="B1113" s="19" t="s">
        <v>544</v>
      </c>
      <c r="C1113" t="s">
        <v>2002</v>
      </c>
      <c r="D1113">
        <v>7</v>
      </c>
      <c r="E1113" t="s">
        <v>2013</v>
      </c>
      <c r="F1113" t="s">
        <v>2776</v>
      </c>
      <c r="G1113" t="s">
        <v>2777</v>
      </c>
    </row>
    <row r="1114" spans="1:7" x14ac:dyDescent="0.25">
      <c r="A1114" s="23" t="s">
        <v>2365</v>
      </c>
      <c r="B1114" s="19" t="s">
        <v>544</v>
      </c>
      <c r="C1114" t="s">
        <v>2003</v>
      </c>
      <c r="D1114">
        <v>4</v>
      </c>
      <c r="E1114" t="s">
        <v>2014</v>
      </c>
      <c r="F1114" t="s">
        <v>2776</v>
      </c>
      <c r="G1114" t="s">
        <v>2777</v>
      </c>
    </row>
    <row r="1115" spans="1:7" x14ac:dyDescent="0.25">
      <c r="A1115" s="24" t="s">
        <v>2366</v>
      </c>
      <c r="B1115" s="19" t="s">
        <v>546</v>
      </c>
      <c r="C1115" t="s">
        <v>954</v>
      </c>
      <c r="D1115">
        <v>61</v>
      </c>
      <c r="E1115" t="s">
        <v>2005</v>
      </c>
      <c r="F1115" t="s">
        <v>2774</v>
      </c>
      <c r="G1115" t="s">
        <v>2775</v>
      </c>
    </row>
    <row r="1116" spans="1:7" x14ac:dyDescent="0.25">
      <c r="A1116" s="24" t="s">
        <v>2366</v>
      </c>
      <c r="B1116" s="19" t="s">
        <v>546</v>
      </c>
      <c r="C1116" t="s">
        <v>2002</v>
      </c>
      <c r="D1116">
        <v>20</v>
      </c>
      <c r="E1116" t="s">
        <v>2016</v>
      </c>
      <c r="F1116" t="s">
        <v>2774</v>
      </c>
      <c r="G1116" t="s">
        <v>2775</v>
      </c>
    </row>
    <row r="1117" spans="1:7" x14ac:dyDescent="0.25">
      <c r="A1117" s="24" t="s">
        <v>2366</v>
      </c>
      <c r="B1117" s="19" t="s">
        <v>546</v>
      </c>
      <c r="C1117" t="s">
        <v>2003</v>
      </c>
      <c r="D1117">
        <v>6</v>
      </c>
      <c r="E1117" t="s">
        <v>2014</v>
      </c>
      <c r="F1117" t="s">
        <v>2776</v>
      </c>
      <c r="G1117" t="s">
        <v>2777</v>
      </c>
    </row>
    <row r="1118" spans="1:7" x14ac:dyDescent="0.25">
      <c r="A1118" s="24" t="s">
        <v>2366</v>
      </c>
      <c r="B1118" s="19" t="s">
        <v>546</v>
      </c>
      <c r="C1118" t="s">
        <v>2009</v>
      </c>
      <c r="D1118">
        <v>2</v>
      </c>
      <c r="E1118" t="s">
        <v>2010</v>
      </c>
      <c r="F1118" t="s">
        <v>2776</v>
      </c>
      <c r="G1118" t="s">
        <v>2777</v>
      </c>
    </row>
    <row r="1119" spans="1:7" x14ac:dyDescent="0.25">
      <c r="A1119" s="24" t="s">
        <v>2366</v>
      </c>
      <c r="B1119" s="19" t="s">
        <v>546</v>
      </c>
      <c r="C1119" t="s">
        <v>2059</v>
      </c>
      <c r="D1119">
        <v>3</v>
      </c>
      <c r="E1119" t="s">
        <v>2060</v>
      </c>
      <c r="F1119" t="s">
        <v>2776</v>
      </c>
      <c r="G1119" t="s">
        <v>2777</v>
      </c>
    </row>
    <row r="1120" spans="1:7" x14ac:dyDescent="0.25">
      <c r="A1120" s="24" t="s">
        <v>2366</v>
      </c>
      <c r="B1120" s="19" t="s">
        <v>546</v>
      </c>
      <c r="C1120" t="s">
        <v>1202</v>
      </c>
      <c r="D1120">
        <v>1</v>
      </c>
      <c r="E1120" t="s">
        <v>2011</v>
      </c>
      <c r="F1120" t="s">
        <v>2776</v>
      </c>
      <c r="G1120" t="s">
        <v>2777</v>
      </c>
    </row>
    <row r="1121" spans="1:7" x14ac:dyDescent="0.25">
      <c r="A1121" s="24" t="s">
        <v>2366</v>
      </c>
      <c r="B1121" s="19" t="s">
        <v>546</v>
      </c>
      <c r="C1121" t="s">
        <v>2012</v>
      </c>
      <c r="D1121">
        <v>2</v>
      </c>
      <c r="E1121" t="s">
        <v>2532</v>
      </c>
      <c r="F1121" t="s">
        <v>2776</v>
      </c>
      <c r="G1121" t="s">
        <v>2777</v>
      </c>
    </row>
    <row r="1122" spans="1:7" x14ac:dyDescent="0.25">
      <c r="A1122" s="24" t="s">
        <v>2366</v>
      </c>
      <c r="B1122" s="19" t="s">
        <v>546</v>
      </c>
      <c r="C1122" t="s">
        <v>1565</v>
      </c>
      <c r="D1122">
        <v>3</v>
      </c>
      <c r="E1122" t="s">
        <v>2543</v>
      </c>
      <c r="F1122" t="s">
        <v>2776</v>
      </c>
      <c r="G1122" t="s">
        <v>2777</v>
      </c>
    </row>
    <row r="1123" spans="1:7" x14ac:dyDescent="0.25">
      <c r="A1123" s="24" t="s">
        <v>2366</v>
      </c>
      <c r="B1123" s="19" t="s">
        <v>546</v>
      </c>
      <c r="C1123" t="s">
        <v>941</v>
      </c>
      <c r="D1123">
        <v>2</v>
      </c>
      <c r="E1123" t="s">
        <v>2724</v>
      </c>
      <c r="F1123" t="s">
        <v>2778</v>
      </c>
      <c r="G1123" t="s">
        <v>2779</v>
      </c>
    </row>
    <row r="1124" spans="1:7" x14ac:dyDescent="0.25">
      <c r="A1124" s="24" t="s">
        <v>2366</v>
      </c>
      <c r="B1124" s="19" t="s">
        <v>882</v>
      </c>
      <c r="C1124" t="s">
        <v>2003</v>
      </c>
      <c r="D1124">
        <v>40</v>
      </c>
      <c r="E1124" t="s">
        <v>2029</v>
      </c>
      <c r="F1124" t="s">
        <v>2774</v>
      </c>
      <c r="G1124" t="s">
        <v>2775</v>
      </c>
    </row>
    <row r="1125" spans="1:7" x14ac:dyDescent="0.25">
      <c r="A1125" s="24" t="s">
        <v>2366</v>
      </c>
      <c r="B1125" s="19" t="s">
        <v>882</v>
      </c>
      <c r="C1125" t="s">
        <v>2002</v>
      </c>
      <c r="D1125">
        <v>22</v>
      </c>
      <c r="E1125" t="s">
        <v>2031</v>
      </c>
      <c r="F1125" t="s">
        <v>2774</v>
      </c>
      <c r="G1125" t="s">
        <v>2775</v>
      </c>
    </row>
    <row r="1126" spans="1:7" x14ac:dyDescent="0.25">
      <c r="A1126" s="24" t="s">
        <v>2366</v>
      </c>
      <c r="B1126" s="19" t="s">
        <v>882</v>
      </c>
      <c r="C1126" t="s">
        <v>1565</v>
      </c>
      <c r="D1126">
        <v>26</v>
      </c>
      <c r="E1126" t="s">
        <v>2549</v>
      </c>
      <c r="F1126" t="s">
        <v>2774</v>
      </c>
      <c r="G1126" t="s">
        <v>2775</v>
      </c>
    </row>
    <row r="1127" spans="1:7" x14ac:dyDescent="0.25">
      <c r="A1127" s="24" t="s">
        <v>2366</v>
      </c>
      <c r="B1127" s="19" t="s">
        <v>882</v>
      </c>
      <c r="C1127" t="s">
        <v>954</v>
      </c>
      <c r="D1127">
        <v>6</v>
      </c>
      <c r="E1127" t="s">
        <v>2697</v>
      </c>
      <c r="F1127" t="s">
        <v>2780</v>
      </c>
      <c r="G1127" t="s">
        <v>2781</v>
      </c>
    </row>
    <row r="1128" spans="1:7" x14ac:dyDescent="0.25">
      <c r="A1128" s="24" t="s">
        <v>2366</v>
      </c>
      <c r="B1128" s="19" t="s">
        <v>882</v>
      </c>
      <c r="C1128" t="s">
        <v>2009</v>
      </c>
      <c r="D1128">
        <v>2</v>
      </c>
      <c r="E1128" t="s">
        <v>2010</v>
      </c>
      <c r="F1128" t="s">
        <v>2776</v>
      </c>
      <c r="G1128" t="s">
        <v>2777</v>
      </c>
    </row>
    <row r="1129" spans="1:7" x14ac:dyDescent="0.25">
      <c r="A1129" s="24" t="s">
        <v>2366</v>
      </c>
      <c r="B1129" s="19" t="s">
        <v>882</v>
      </c>
      <c r="C1129" t="s">
        <v>2059</v>
      </c>
      <c r="D1129">
        <v>2</v>
      </c>
      <c r="E1129" t="s">
        <v>2024</v>
      </c>
      <c r="F1129" t="s">
        <v>2776</v>
      </c>
      <c r="G1129" t="s">
        <v>2777</v>
      </c>
    </row>
    <row r="1130" spans="1:7" x14ac:dyDescent="0.25">
      <c r="A1130" s="24" t="s">
        <v>2366</v>
      </c>
      <c r="B1130" s="19" t="s">
        <v>882</v>
      </c>
      <c r="C1130" t="s">
        <v>941</v>
      </c>
      <c r="D1130">
        <v>2</v>
      </c>
      <c r="E1130" t="s">
        <v>2723</v>
      </c>
      <c r="F1130" t="s">
        <v>2778</v>
      </c>
      <c r="G1130" t="s">
        <v>2779</v>
      </c>
    </row>
    <row r="1131" spans="1:7" x14ac:dyDescent="0.25">
      <c r="A1131" s="24" t="s">
        <v>2366</v>
      </c>
      <c r="B1131" t="s">
        <v>877</v>
      </c>
      <c r="C1131" t="s">
        <v>2002</v>
      </c>
      <c r="D1131">
        <v>92</v>
      </c>
      <c r="E1131" t="s">
        <v>2018</v>
      </c>
      <c r="F1131" t="s">
        <v>2774</v>
      </c>
      <c r="G1131" t="s">
        <v>2775</v>
      </c>
    </row>
    <row r="1132" spans="1:7" x14ac:dyDescent="0.25">
      <c r="A1132" s="24" t="s">
        <v>2366</v>
      </c>
      <c r="B1132" t="s">
        <v>877</v>
      </c>
      <c r="C1132" t="s">
        <v>2003</v>
      </c>
      <c r="D1132">
        <v>3</v>
      </c>
      <c r="E1132" t="s">
        <v>2019</v>
      </c>
      <c r="F1132" t="s">
        <v>2776</v>
      </c>
      <c r="G1132" t="s">
        <v>2777</v>
      </c>
    </row>
    <row r="1133" spans="1:7" x14ac:dyDescent="0.25">
      <c r="A1133" s="24" t="s">
        <v>2366</v>
      </c>
      <c r="B1133" t="s">
        <v>877</v>
      </c>
      <c r="C1133" t="s">
        <v>954</v>
      </c>
      <c r="D1133">
        <v>3</v>
      </c>
      <c r="E1133" t="s">
        <v>2698</v>
      </c>
      <c r="F1133" t="s">
        <v>2780</v>
      </c>
      <c r="G1133" t="s">
        <v>2781</v>
      </c>
    </row>
    <row r="1134" spans="1:7" x14ac:dyDescent="0.25">
      <c r="A1134" s="24" t="s">
        <v>2366</v>
      </c>
      <c r="B1134" t="s">
        <v>877</v>
      </c>
      <c r="C1134" t="s">
        <v>2009</v>
      </c>
      <c r="D1134">
        <v>1</v>
      </c>
      <c r="E1134" t="s">
        <v>2010</v>
      </c>
      <c r="F1134" t="s">
        <v>2776</v>
      </c>
      <c r="G1134" t="s">
        <v>2777</v>
      </c>
    </row>
    <row r="1135" spans="1:7" x14ac:dyDescent="0.25">
      <c r="A1135" s="24" t="s">
        <v>2366</v>
      </c>
      <c r="B1135" t="s">
        <v>877</v>
      </c>
      <c r="C1135" t="s">
        <v>2059</v>
      </c>
      <c r="D1135">
        <v>1</v>
      </c>
      <c r="E1135" t="s">
        <v>2024</v>
      </c>
      <c r="F1135" t="s">
        <v>2776</v>
      </c>
      <c r="G1135" t="s">
        <v>2777</v>
      </c>
    </row>
    <row r="1136" spans="1:7" x14ac:dyDescent="0.25">
      <c r="A1136" s="24" t="s">
        <v>2366</v>
      </c>
      <c r="B1136" t="s">
        <v>880</v>
      </c>
      <c r="C1136" t="s">
        <v>2002</v>
      </c>
      <c r="D1136">
        <v>92</v>
      </c>
      <c r="E1136" t="s">
        <v>2027</v>
      </c>
      <c r="F1136" t="s">
        <v>2774</v>
      </c>
      <c r="G1136" t="s">
        <v>2775</v>
      </c>
    </row>
    <row r="1137" spans="1:7" x14ac:dyDescent="0.25">
      <c r="A1137" s="24" t="s">
        <v>2366</v>
      </c>
      <c r="B1137" t="s">
        <v>880</v>
      </c>
      <c r="C1137" t="s">
        <v>2003</v>
      </c>
      <c r="D1137">
        <v>3</v>
      </c>
      <c r="E1137" t="s">
        <v>2019</v>
      </c>
      <c r="F1137" t="s">
        <v>2776</v>
      </c>
      <c r="G1137" t="s">
        <v>2777</v>
      </c>
    </row>
    <row r="1138" spans="1:7" x14ac:dyDescent="0.25">
      <c r="A1138" s="24" t="s">
        <v>2366</v>
      </c>
      <c r="B1138" t="s">
        <v>880</v>
      </c>
      <c r="C1138" t="s">
        <v>954</v>
      </c>
      <c r="D1138">
        <v>3</v>
      </c>
      <c r="E1138" t="s">
        <v>2698</v>
      </c>
      <c r="F1138" t="s">
        <v>2780</v>
      </c>
      <c r="G1138" t="s">
        <v>2781</v>
      </c>
    </row>
    <row r="1139" spans="1:7" x14ac:dyDescent="0.25">
      <c r="A1139" s="24" t="s">
        <v>2366</v>
      </c>
      <c r="B1139" t="s">
        <v>880</v>
      </c>
      <c r="C1139" t="s">
        <v>2009</v>
      </c>
      <c r="D1139">
        <v>1</v>
      </c>
      <c r="E1139" t="s">
        <v>2010</v>
      </c>
      <c r="F1139" t="s">
        <v>2776</v>
      </c>
      <c r="G1139" t="s">
        <v>2777</v>
      </c>
    </row>
    <row r="1140" spans="1:7" x14ac:dyDescent="0.25">
      <c r="A1140" s="24" t="s">
        <v>2366</v>
      </c>
      <c r="B1140" t="s">
        <v>880</v>
      </c>
      <c r="C1140" t="s">
        <v>2059</v>
      </c>
      <c r="D1140">
        <v>1</v>
      </c>
      <c r="E1140" t="s">
        <v>2024</v>
      </c>
      <c r="F1140" t="s">
        <v>2776</v>
      </c>
      <c r="G1140" t="s">
        <v>2777</v>
      </c>
    </row>
    <row r="1141" spans="1:7" x14ac:dyDescent="0.25">
      <c r="A1141" s="24" t="s">
        <v>2366</v>
      </c>
      <c r="B1141" t="s">
        <v>548</v>
      </c>
      <c r="C1141" t="s">
        <v>2003</v>
      </c>
      <c r="D1141">
        <v>90</v>
      </c>
      <c r="E1141" t="s">
        <v>2043</v>
      </c>
      <c r="F1141" t="s">
        <v>2774</v>
      </c>
      <c r="G1141" t="s">
        <v>2775</v>
      </c>
    </row>
    <row r="1142" spans="1:7" x14ac:dyDescent="0.25">
      <c r="A1142" s="24" t="s">
        <v>2366</v>
      </c>
      <c r="B1142" t="s">
        <v>548</v>
      </c>
      <c r="C1142" t="s">
        <v>2002</v>
      </c>
      <c r="D1142">
        <v>4</v>
      </c>
      <c r="E1142" t="s">
        <v>2044</v>
      </c>
      <c r="F1142" t="s">
        <v>2776</v>
      </c>
      <c r="G1142" t="s">
        <v>2777</v>
      </c>
    </row>
    <row r="1143" spans="1:7" x14ac:dyDescent="0.25">
      <c r="A1143" s="24" t="s">
        <v>2366</v>
      </c>
      <c r="B1143" t="s">
        <v>548</v>
      </c>
      <c r="C1143" t="s">
        <v>2009</v>
      </c>
      <c r="D1143">
        <v>2</v>
      </c>
      <c r="E1143" t="s">
        <v>2010</v>
      </c>
      <c r="F1143" t="s">
        <v>2776</v>
      </c>
      <c r="G1143" t="s">
        <v>2777</v>
      </c>
    </row>
    <row r="1144" spans="1:7" x14ac:dyDescent="0.25">
      <c r="A1144" s="24" t="s">
        <v>2366</v>
      </c>
      <c r="B1144" t="s">
        <v>548</v>
      </c>
      <c r="C1144" t="s">
        <v>2059</v>
      </c>
      <c r="D1144">
        <v>2</v>
      </c>
      <c r="E1144" t="s">
        <v>2046</v>
      </c>
      <c r="F1144" t="s">
        <v>2776</v>
      </c>
      <c r="G1144" t="s">
        <v>2777</v>
      </c>
    </row>
    <row r="1145" spans="1:7" x14ac:dyDescent="0.25">
      <c r="A1145" s="24" t="s">
        <v>2366</v>
      </c>
      <c r="B1145" t="s">
        <v>548</v>
      </c>
      <c r="C1145" t="s">
        <v>954</v>
      </c>
      <c r="D1145">
        <v>2</v>
      </c>
      <c r="E1145" t="s">
        <v>2698</v>
      </c>
      <c r="F1145" t="s">
        <v>2780</v>
      </c>
      <c r="G1145" t="s">
        <v>2781</v>
      </c>
    </row>
    <row r="1146" spans="1:7" x14ac:dyDescent="0.25">
      <c r="A1146" s="24" t="s">
        <v>2366</v>
      </c>
      <c r="B1146" t="s">
        <v>885</v>
      </c>
      <c r="C1146" t="s">
        <v>2003</v>
      </c>
      <c r="D1146">
        <v>90</v>
      </c>
      <c r="E1146" t="s">
        <v>2049</v>
      </c>
      <c r="F1146" t="s">
        <v>2774</v>
      </c>
      <c r="G1146" t="s">
        <v>2775</v>
      </c>
    </row>
    <row r="1147" spans="1:7" x14ac:dyDescent="0.25">
      <c r="A1147" s="24" t="s">
        <v>2366</v>
      </c>
      <c r="B1147" t="s">
        <v>885</v>
      </c>
      <c r="C1147" t="s">
        <v>2002</v>
      </c>
      <c r="D1147">
        <v>4</v>
      </c>
      <c r="E1147" t="s">
        <v>2044</v>
      </c>
      <c r="F1147" t="s">
        <v>2776</v>
      </c>
      <c r="G1147" t="s">
        <v>2777</v>
      </c>
    </row>
    <row r="1148" spans="1:7" x14ac:dyDescent="0.25">
      <c r="A1148" s="24" t="s">
        <v>2366</v>
      </c>
      <c r="B1148" t="s">
        <v>885</v>
      </c>
      <c r="C1148" t="s">
        <v>2009</v>
      </c>
      <c r="D1148">
        <v>2</v>
      </c>
      <c r="E1148" t="s">
        <v>2010</v>
      </c>
      <c r="F1148" t="s">
        <v>2776</v>
      </c>
      <c r="G1148" t="s">
        <v>2777</v>
      </c>
    </row>
    <row r="1149" spans="1:7" x14ac:dyDescent="0.25">
      <c r="A1149" s="24" t="s">
        <v>2366</v>
      </c>
      <c r="B1149" t="s">
        <v>885</v>
      </c>
      <c r="C1149" t="s">
        <v>2059</v>
      </c>
      <c r="D1149">
        <v>2</v>
      </c>
      <c r="E1149" t="s">
        <v>2046</v>
      </c>
      <c r="F1149" t="s">
        <v>2776</v>
      </c>
      <c r="G1149" t="s">
        <v>2777</v>
      </c>
    </row>
    <row r="1150" spans="1:7" x14ac:dyDescent="0.25">
      <c r="A1150" s="24" t="s">
        <v>2366</v>
      </c>
      <c r="B1150" t="s">
        <v>885</v>
      </c>
      <c r="C1150" t="s">
        <v>954</v>
      </c>
      <c r="D1150">
        <v>2</v>
      </c>
      <c r="E1150" t="s">
        <v>2698</v>
      </c>
      <c r="F1150" t="s">
        <v>2780</v>
      </c>
      <c r="G1150" t="s">
        <v>2781</v>
      </c>
    </row>
    <row r="1151" spans="1:7" x14ac:dyDescent="0.25">
      <c r="A1151" s="24" t="s">
        <v>2366</v>
      </c>
      <c r="B1151" t="s">
        <v>888</v>
      </c>
      <c r="C1151" t="s">
        <v>2003</v>
      </c>
      <c r="D1151">
        <v>88</v>
      </c>
      <c r="E1151" t="s">
        <v>2051</v>
      </c>
      <c r="F1151" t="s">
        <v>2774</v>
      </c>
      <c r="G1151" t="s">
        <v>2775</v>
      </c>
    </row>
    <row r="1152" spans="1:7" x14ac:dyDescent="0.25">
      <c r="A1152" s="24" t="s">
        <v>2366</v>
      </c>
      <c r="B1152" t="s">
        <v>888</v>
      </c>
      <c r="C1152" t="s">
        <v>2002</v>
      </c>
      <c r="D1152">
        <v>6</v>
      </c>
      <c r="E1152" t="s">
        <v>2044</v>
      </c>
      <c r="F1152" t="s">
        <v>2776</v>
      </c>
      <c r="G1152" t="s">
        <v>2777</v>
      </c>
    </row>
    <row r="1153" spans="1:7" x14ac:dyDescent="0.25">
      <c r="A1153" s="24" t="s">
        <v>2366</v>
      </c>
      <c r="B1153" t="s">
        <v>888</v>
      </c>
      <c r="C1153" t="s">
        <v>2009</v>
      </c>
      <c r="D1153">
        <v>2</v>
      </c>
      <c r="E1153" t="s">
        <v>2010</v>
      </c>
      <c r="F1153" t="s">
        <v>2776</v>
      </c>
      <c r="G1153" t="s">
        <v>2777</v>
      </c>
    </row>
    <row r="1154" spans="1:7" x14ac:dyDescent="0.25">
      <c r="A1154" s="24" t="s">
        <v>2366</v>
      </c>
      <c r="B1154" t="s">
        <v>888</v>
      </c>
      <c r="C1154" t="s">
        <v>2059</v>
      </c>
      <c r="D1154">
        <v>2</v>
      </c>
      <c r="E1154" t="s">
        <v>2046</v>
      </c>
      <c r="F1154" t="s">
        <v>2776</v>
      </c>
      <c r="G1154" t="s">
        <v>2777</v>
      </c>
    </row>
    <row r="1155" spans="1:7" x14ac:dyDescent="0.25">
      <c r="A1155" s="24" t="s">
        <v>2366</v>
      </c>
      <c r="B1155" t="s">
        <v>888</v>
      </c>
      <c r="C1155" t="s">
        <v>954</v>
      </c>
      <c r="D1155">
        <v>2</v>
      </c>
      <c r="E1155" t="s">
        <v>2698</v>
      </c>
      <c r="F1155" t="s">
        <v>2780</v>
      </c>
      <c r="G1155" t="s">
        <v>2781</v>
      </c>
    </row>
    <row r="1156" spans="1:7" x14ac:dyDescent="0.25">
      <c r="A1156" s="24" t="s">
        <v>2366</v>
      </c>
      <c r="B1156" t="s">
        <v>891</v>
      </c>
      <c r="C1156" t="s">
        <v>2003</v>
      </c>
      <c r="D1156">
        <v>66</v>
      </c>
      <c r="E1156" t="s">
        <v>2053</v>
      </c>
      <c r="F1156" t="s">
        <v>2774</v>
      </c>
      <c r="G1156" t="s">
        <v>2775</v>
      </c>
    </row>
    <row r="1157" spans="1:7" x14ac:dyDescent="0.25">
      <c r="A1157" s="24" t="s">
        <v>2366</v>
      </c>
      <c r="B1157" t="s">
        <v>891</v>
      </c>
      <c r="C1157" t="s">
        <v>1025</v>
      </c>
      <c r="D1157">
        <v>16</v>
      </c>
      <c r="E1157" t="s">
        <v>2054</v>
      </c>
      <c r="F1157" t="s">
        <v>2780</v>
      </c>
      <c r="G1157" t="s">
        <v>2781</v>
      </c>
    </row>
    <row r="1158" spans="1:7" x14ac:dyDescent="0.25">
      <c r="A1158" s="24" t="s">
        <v>2366</v>
      </c>
      <c r="B1158" t="s">
        <v>891</v>
      </c>
      <c r="C1158" t="s">
        <v>2002</v>
      </c>
      <c r="D1158">
        <v>8</v>
      </c>
      <c r="E1158" t="s">
        <v>2044</v>
      </c>
      <c r="F1158" t="s">
        <v>2776</v>
      </c>
      <c r="G1158" t="s">
        <v>2777</v>
      </c>
    </row>
    <row r="1159" spans="1:7" x14ac:dyDescent="0.25">
      <c r="A1159" s="24" t="s">
        <v>2366</v>
      </c>
      <c r="B1159" t="s">
        <v>891</v>
      </c>
      <c r="C1159" t="s">
        <v>2009</v>
      </c>
      <c r="D1159">
        <v>2</v>
      </c>
      <c r="E1159" t="s">
        <v>2010</v>
      </c>
      <c r="F1159" t="s">
        <v>2776</v>
      </c>
      <c r="G1159" t="s">
        <v>2777</v>
      </c>
    </row>
    <row r="1160" spans="1:7" x14ac:dyDescent="0.25">
      <c r="A1160" s="24" t="s">
        <v>2366</v>
      </c>
      <c r="B1160" t="s">
        <v>891</v>
      </c>
      <c r="C1160" t="s">
        <v>2059</v>
      </c>
      <c r="D1160">
        <v>4</v>
      </c>
      <c r="E1160" t="s">
        <v>2046</v>
      </c>
      <c r="F1160" t="s">
        <v>2776</v>
      </c>
      <c r="G1160" t="s">
        <v>2777</v>
      </c>
    </row>
    <row r="1161" spans="1:7" x14ac:dyDescent="0.25">
      <c r="A1161" s="24" t="s">
        <v>2366</v>
      </c>
      <c r="B1161" t="s">
        <v>891</v>
      </c>
      <c r="C1161" t="s">
        <v>954</v>
      </c>
      <c r="D1161">
        <v>4</v>
      </c>
      <c r="E1161" t="s">
        <v>2698</v>
      </c>
      <c r="F1161" t="s">
        <v>2780</v>
      </c>
      <c r="G1161" t="s">
        <v>2781</v>
      </c>
    </row>
    <row r="1162" spans="1:7" x14ac:dyDescent="0.25">
      <c r="A1162" s="24" t="s">
        <v>2366</v>
      </c>
      <c r="B1162" t="s">
        <v>2585</v>
      </c>
      <c r="C1162" t="s">
        <v>2002</v>
      </c>
      <c r="D1162">
        <v>90</v>
      </c>
      <c r="E1162" t="s">
        <v>2768</v>
      </c>
      <c r="F1162" t="s">
        <v>2780</v>
      </c>
      <c r="G1162" t="s">
        <v>2781</v>
      </c>
    </row>
    <row r="1163" spans="1:7" x14ac:dyDescent="0.25">
      <c r="A1163" s="24" t="s">
        <v>2366</v>
      </c>
      <c r="B1163" t="s">
        <v>2585</v>
      </c>
      <c r="C1163" t="s">
        <v>2003</v>
      </c>
      <c r="D1163">
        <v>10</v>
      </c>
      <c r="E1163" t="s">
        <v>2603</v>
      </c>
      <c r="F1163" t="s">
        <v>2776</v>
      </c>
      <c r="G1163" t="s">
        <v>2777</v>
      </c>
    </row>
    <row r="1164" spans="1:7" x14ac:dyDescent="0.25">
      <c r="A1164" s="24" t="s">
        <v>2366</v>
      </c>
      <c r="B1164" t="s">
        <v>2589</v>
      </c>
      <c r="C1164" t="s">
        <v>2002</v>
      </c>
      <c r="D1164">
        <v>88</v>
      </c>
      <c r="E1164" t="s">
        <v>2604</v>
      </c>
      <c r="F1164" t="s">
        <v>2780</v>
      </c>
      <c r="G1164" t="s">
        <v>2781</v>
      </c>
    </row>
    <row r="1165" spans="1:7" x14ac:dyDescent="0.25">
      <c r="A1165" s="24" t="s">
        <v>2366</v>
      </c>
      <c r="B1165" t="s">
        <v>2589</v>
      </c>
      <c r="C1165" t="s">
        <v>954</v>
      </c>
      <c r="D1165">
        <v>7</v>
      </c>
      <c r="E1165" t="s">
        <v>2605</v>
      </c>
      <c r="F1165" t="s">
        <v>2776</v>
      </c>
      <c r="G1165" t="s">
        <v>2777</v>
      </c>
    </row>
    <row r="1166" spans="1:7" x14ac:dyDescent="0.25">
      <c r="A1166" s="24" t="s">
        <v>2366</v>
      </c>
      <c r="B1166" t="s">
        <v>2589</v>
      </c>
      <c r="C1166" t="s">
        <v>2003</v>
      </c>
      <c r="D1166">
        <v>5</v>
      </c>
      <c r="E1166" t="s">
        <v>2606</v>
      </c>
      <c r="F1166" t="s">
        <v>2776</v>
      </c>
      <c r="G1166" t="s">
        <v>2777</v>
      </c>
    </row>
    <row r="1167" spans="1:7" x14ac:dyDescent="0.25">
      <c r="A1167" s="24" t="s">
        <v>2366</v>
      </c>
      <c r="B1167" t="s">
        <v>2590</v>
      </c>
      <c r="C1167" t="s">
        <v>2002</v>
      </c>
      <c r="D1167">
        <v>82</v>
      </c>
      <c r="E1167" t="s">
        <v>2600</v>
      </c>
      <c r="F1167" t="s">
        <v>2780</v>
      </c>
      <c r="G1167" t="s">
        <v>2781</v>
      </c>
    </row>
    <row r="1168" spans="1:7" x14ac:dyDescent="0.25">
      <c r="A1168" s="24" t="s">
        <v>2366</v>
      </c>
      <c r="B1168" t="s">
        <v>2590</v>
      </c>
      <c r="C1168" t="s">
        <v>1025</v>
      </c>
      <c r="D1168">
        <v>13</v>
      </c>
      <c r="E1168" t="s">
        <v>2601</v>
      </c>
      <c r="F1168" t="s">
        <v>2776</v>
      </c>
      <c r="G1168" t="s">
        <v>2777</v>
      </c>
    </row>
    <row r="1169" spans="1:7" x14ac:dyDescent="0.25">
      <c r="A1169" s="24" t="s">
        <v>2366</v>
      </c>
      <c r="B1169" t="s">
        <v>2590</v>
      </c>
      <c r="C1169" t="s">
        <v>2003</v>
      </c>
      <c r="D1169">
        <v>5</v>
      </c>
      <c r="E1169" t="s">
        <v>2602</v>
      </c>
      <c r="F1169" t="s">
        <v>2776</v>
      </c>
      <c r="G1169" t="s">
        <v>2777</v>
      </c>
    </row>
    <row r="1170" spans="1:7" x14ac:dyDescent="0.25">
      <c r="A1170" s="24" t="s">
        <v>2366</v>
      </c>
      <c r="B1170" s="15" t="s">
        <v>2658</v>
      </c>
      <c r="C1170" s="13" t="s">
        <v>2002</v>
      </c>
      <c r="D1170" s="13">
        <v>60</v>
      </c>
      <c r="E1170" s="15" t="s">
        <v>2659</v>
      </c>
      <c r="F1170" t="s">
        <v>2778</v>
      </c>
      <c r="G1170" t="s">
        <v>2779</v>
      </c>
    </row>
    <row r="1171" spans="1:7" x14ac:dyDescent="0.25">
      <c r="A1171" s="24" t="s">
        <v>2366</v>
      </c>
      <c r="B1171" s="15" t="s">
        <v>2658</v>
      </c>
      <c r="C1171" s="28" t="s">
        <v>2059</v>
      </c>
      <c r="D1171" s="13">
        <v>25</v>
      </c>
      <c r="E1171" s="15" t="s">
        <v>2632</v>
      </c>
      <c r="F1171" t="s">
        <v>2778</v>
      </c>
      <c r="G1171" t="s">
        <v>2779</v>
      </c>
    </row>
    <row r="1172" spans="1:7" x14ac:dyDescent="0.25">
      <c r="A1172" s="24" t="s">
        <v>2366</v>
      </c>
      <c r="B1172" s="15" t="s">
        <v>2658</v>
      </c>
      <c r="C1172" s="13" t="s">
        <v>2009</v>
      </c>
      <c r="D1172" s="13">
        <v>10</v>
      </c>
      <c r="E1172" s="15" t="s">
        <v>2264</v>
      </c>
      <c r="F1172" t="s">
        <v>2778</v>
      </c>
      <c r="G1172" t="s">
        <v>2779</v>
      </c>
    </row>
    <row r="1173" spans="1:7" x14ac:dyDescent="0.25">
      <c r="A1173" s="24" t="s">
        <v>2366</v>
      </c>
      <c r="B1173" s="15" t="s">
        <v>2658</v>
      </c>
      <c r="C1173" s="13" t="s">
        <v>617</v>
      </c>
      <c r="D1173" s="13">
        <v>5</v>
      </c>
      <c r="E1173" s="15" t="s">
        <v>2691</v>
      </c>
      <c r="F1173" t="s">
        <v>2778</v>
      </c>
      <c r="G1173" t="s">
        <v>2779</v>
      </c>
    </row>
    <row r="1174" spans="1:7" x14ac:dyDescent="0.25">
      <c r="A1174" s="24" t="s">
        <v>2366</v>
      </c>
      <c r="B1174" s="15" t="s">
        <v>2665</v>
      </c>
      <c r="C1174" s="13" t="s">
        <v>2002</v>
      </c>
      <c r="D1174" s="13">
        <v>90</v>
      </c>
      <c r="E1174" s="15" t="s">
        <v>2634</v>
      </c>
      <c r="F1174" t="s">
        <v>2778</v>
      </c>
      <c r="G1174" t="s">
        <v>2779</v>
      </c>
    </row>
    <row r="1175" spans="1:7" x14ac:dyDescent="0.25">
      <c r="A1175" s="24" t="s">
        <v>2366</v>
      </c>
      <c r="B1175" s="15" t="s">
        <v>2665</v>
      </c>
      <c r="C1175" s="13" t="s">
        <v>2003</v>
      </c>
      <c r="D1175" s="13">
        <v>10</v>
      </c>
      <c r="E1175" s="15" t="s">
        <v>2666</v>
      </c>
      <c r="F1175" t="s">
        <v>2778</v>
      </c>
      <c r="G1175" t="s">
        <v>2779</v>
      </c>
    </row>
    <row r="1176" spans="1:7" x14ac:dyDescent="0.25">
      <c r="A1176" s="24" t="s">
        <v>2366</v>
      </c>
      <c r="B1176" s="15" t="s">
        <v>2630</v>
      </c>
      <c r="C1176" s="13" t="s">
        <v>2002</v>
      </c>
      <c r="D1176" s="13">
        <v>55</v>
      </c>
      <c r="E1176" s="15" t="s">
        <v>2631</v>
      </c>
      <c r="F1176" t="s">
        <v>2778</v>
      </c>
      <c r="G1176" t="s">
        <v>2779</v>
      </c>
    </row>
    <row r="1177" spans="1:7" x14ac:dyDescent="0.25">
      <c r="A1177" s="24" t="s">
        <v>2366</v>
      </c>
      <c r="B1177" s="15" t="s">
        <v>2630</v>
      </c>
      <c r="C1177" s="28" t="s">
        <v>2059</v>
      </c>
      <c r="D1177" s="13">
        <v>25</v>
      </c>
      <c r="E1177" s="15" t="s">
        <v>2632</v>
      </c>
      <c r="F1177" t="s">
        <v>2778</v>
      </c>
      <c r="G1177" t="s">
        <v>2779</v>
      </c>
    </row>
    <row r="1178" spans="1:7" x14ac:dyDescent="0.25">
      <c r="A1178" s="24" t="s">
        <v>2366</v>
      </c>
      <c r="B1178" s="15" t="s">
        <v>2630</v>
      </c>
      <c r="C1178" s="13" t="s">
        <v>2009</v>
      </c>
      <c r="D1178" s="13">
        <v>15</v>
      </c>
      <c r="E1178" s="15" t="s">
        <v>2264</v>
      </c>
      <c r="F1178" t="s">
        <v>2778</v>
      </c>
      <c r="G1178" t="s">
        <v>2779</v>
      </c>
    </row>
    <row r="1179" spans="1:7" x14ac:dyDescent="0.25">
      <c r="A1179" s="24" t="s">
        <v>2366</v>
      </c>
      <c r="B1179" s="15" t="s">
        <v>2630</v>
      </c>
      <c r="C1179" s="13" t="s">
        <v>617</v>
      </c>
      <c r="D1179" s="13">
        <v>5</v>
      </c>
      <c r="E1179" s="15" t="s">
        <v>2691</v>
      </c>
      <c r="F1179" t="s">
        <v>2778</v>
      </c>
      <c r="G1179" t="s">
        <v>2779</v>
      </c>
    </row>
    <row r="1180" spans="1:7" x14ac:dyDescent="0.25">
      <c r="A1180" s="24" t="s">
        <v>2366</v>
      </c>
      <c r="B1180" s="15" t="s">
        <v>2633</v>
      </c>
      <c r="C1180" s="13" t="s">
        <v>2002</v>
      </c>
      <c r="D1180" s="13">
        <v>85</v>
      </c>
      <c r="E1180" s="15" t="s">
        <v>2634</v>
      </c>
      <c r="F1180" t="s">
        <v>2778</v>
      </c>
      <c r="G1180" t="s">
        <v>2779</v>
      </c>
    </row>
    <row r="1181" spans="1:7" x14ac:dyDescent="0.25">
      <c r="A1181" s="24" t="s">
        <v>2366</v>
      </c>
      <c r="B1181" s="15" t="s">
        <v>2633</v>
      </c>
      <c r="C1181" s="13" t="s">
        <v>2003</v>
      </c>
      <c r="D1181" s="13">
        <v>15</v>
      </c>
      <c r="E1181" s="15" t="s">
        <v>2635</v>
      </c>
      <c r="F1181" t="s">
        <v>2778</v>
      </c>
      <c r="G1181" t="s">
        <v>2779</v>
      </c>
    </row>
    <row r="1182" spans="1:7" x14ac:dyDescent="0.25">
      <c r="A1182" s="24" t="s">
        <v>2366</v>
      </c>
      <c r="B1182" s="15" t="s">
        <v>2655</v>
      </c>
      <c r="C1182" s="13" t="s">
        <v>2002</v>
      </c>
      <c r="D1182" s="13">
        <v>85</v>
      </c>
      <c r="E1182" s="15" t="s">
        <v>2656</v>
      </c>
      <c r="F1182" t="s">
        <v>2778</v>
      </c>
      <c r="G1182" t="s">
        <v>2779</v>
      </c>
    </row>
    <row r="1183" spans="1:7" x14ac:dyDescent="0.25">
      <c r="A1183" s="24" t="s">
        <v>2366</v>
      </c>
      <c r="B1183" s="15" t="s">
        <v>2655</v>
      </c>
      <c r="C1183" s="13" t="s">
        <v>2003</v>
      </c>
      <c r="D1183" s="13">
        <v>15</v>
      </c>
      <c r="E1183" s="15" t="s">
        <v>2657</v>
      </c>
      <c r="F1183" t="s">
        <v>2778</v>
      </c>
      <c r="G1183" t="s">
        <v>2779</v>
      </c>
    </row>
    <row r="1184" spans="1:7" x14ac:dyDescent="0.25">
      <c r="A1184" s="24" t="s">
        <v>2366</v>
      </c>
      <c r="B1184" s="15" t="s">
        <v>2646</v>
      </c>
      <c r="C1184" s="13" t="s">
        <v>2002</v>
      </c>
      <c r="D1184" s="13">
        <v>80</v>
      </c>
      <c r="E1184" s="15" t="s">
        <v>2647</v>
      </c>
      <c r="F1184" t="s">
        <v>2778</v>
      </c>
      <c r="G1184" t="s">
        <v>2779</v>
      </c>
    </row>
    <row r="1185" spans="1:7" x14ac:dyDescent="0.25">
      <c r="A1185" s="24" t="s">
        <v>2366</v>
      </c>
      <c r="B1185" s="15" t="s">
        <v>2646</v>
      </c>
      <c r="C1185" s="28" t="s">
        <v>2059</v>
      </c>
      <c r="D1185" s="13">
        <v>10</v>
      </c>
      <c r="E1185" s="15" t="s">
        <v>2648</v>
      </c>
      <c r="F1185" t="s">
        <v>2778</v>
      </c>
      <c r="G1185" t="s">
        <v>2779</v>
      </c>
    </row>
    <row r="1186" spans="1:7" x14ac:dyDescent="0.25">
      <c r="A1186" s="24" t="s">
        <v>2366</v>
      </c>
      <c r="B1186" s="15" t="s">
        <v>2646</v>
      </c>
      <c r="C1186" s="13" t="s">
        <v>2003</v>
      </c>
      <c r="D1186" s="13">
        <v>10</v>
      </c>
      <c r="E1186" s="15" t="s">
        <v>2635</v>
      </c>
      <c r="F1186" t="s">
        <v>2778</v>
      </c>
      <c r="G1186" t="s">
        <v>2779</v>
      </c>
    </row>
  </sheetData>
  <autoFilter ref="A1:E1186" xr:uid="{E378474D-B3E1-470C-AD09-7548288EA277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E36A-ADC2-4C88-B6C7-F4F7F27E54E8}">
  <dimension ref="A1:J196"/>
  <sheetViews>
    <sheetView zoomScaleNormal="100" workbookViewId="0">
      <selection activeCell="J5" sqref="J5:J16"/>
    </sheetView>
  </sheetViews>
  <sheetFormatPr defaultRowHeight="15" x14ac:dyDescent="0.25"/>
  <cols>
    <col min="2" max="2" width="36.42578125" customWidth="1"/>
    <col min="3" max="3" width="23.85546875" customWidth="1"/>
  </cols>
  <sheetData>
    <row r="1" spans="1:10" x14ac:dyDescent="0.25">
      <c r="A1" t="s">
        <v>740</v>
      </c>
      <c r="B1" t="s">
        <v>741</v>
      </c>
      <c r="C1" t="s">
        <v>740</v>
      </c>
      <c r="D1" t="s">
        <v>742</v>
      </c>
      <c r="E1" t="s">
        <v>743</v>
      </c>
    </row>
    <row r="2" spans="1:10" x14ac:dyDescent="0.25">
      <c r="A2" t="s">
        <v>607</v>
      </c>
      <c r="B2" t="s">
        <v>608</v>
      </c>
      <c r="C2" t="s">
        <v>607</v>
      </c>
      <c r="D2">
        <v>2.1070000000000002</v>
      </c>
      <c r="E2">
        <v>8.4139999999999997</v>
      </c>
    </row>
    <row r="3" spans="1:10" x14ac:dyDescent="0.25">
      <c r="A3" t="s">
        <v>464</v>
      </c>
      <c r="B3" t="s">
        <v>463</v>
      </c>
      <c r="C3" t="s">
        <v>464</v>
      </c>
      <c r="D3">
        <v>1.202</v>
      </c>
      <c r="E3">
        <v>4.0579999999999998</v>
      </c>
      <c r="J3" t="s">
        <v>2591</v>
      </c>
    </row>
    <row r="4" spans="1:10" x14ac:dyDescent="0.25">
      <c r="A4" t="s">
        <v>696</v>
      </c>
      <c r="B4" t="s">
        <v>697</v>
      </c>
      <c r="C4" t="s">
        <v>696</v>
      </c>
      <c r="D4">
        <v>3.4260000000000002</v>
      </c>
      <c r="E4">
        <v>7.1849999999999996</v>
      </c>
    </row>
    <row r="5" spans="1:10" x14ac:dyDescent="0.25">
      <c r="A5" t="s">
        <v>680</v>
      </c>
      <c r="B5" t="s">
        <v>681</v>
      </c>
      <c r="C5" t="s">
        <v>680</v>
      </c>
      <c r="D5">
        <v>793</v>
      </c>
      <c r="E5">
        <v>4.9960000000000004</v>
      </c>
      <c r="J5" s="27" t="s">
        <v>2582</v>
      </c>
    </row>
    <row r="6" spans="1:10" x14ac:dyDescent="0.25">
      <c r="A6" t="s">
        <v>585</v>
      </c>
      <c r="B6" t="s">
        <v>586</v>
      </c>
      <c r="C6" t="s">
        <v>585</v>
      </c>
      <c r="D6">
        <v>16.343</v>
      </c>
      <c r="E6">
        <v>18.962</v>
      </c>
      <c r="J6" s="27" t="s">
        <v>764</v>
      </c>
    </row>
    <row r="7" spans="1:10" x14ac:dyDescent="0.25">
      <c r="A7" t="s">
        <v>609</v>
      </c>
      <c r="B7" t="s">
        <v>610</v>
      </c>
      <c r="C7" t="s">
        <v>609</v>
      </c>
      <c r="D7">
        <v>352</v>
      </c>
      <c r="E7">
        <v>1.901</v>
      </c>
      <c r="J7" s="27" t="s">
        <v>2583</v>
      </c>
    </row>
    <row r="8" spans="1:10" x14ac:dyDescent="0.25">
      <c r="A8" t="s">
        <v>544</v>
      </c>
      <c r="B8" t="s">
        <v>543</v>
      </c>
      <c r="C8" t="s">
        <v>544</v>
      </c>
      <c r="D8">
        <v>16.841000000000001</v>
      </c>
      <c r="E8">
        <v>25.908999999999999</v>
      </c>
      <c r="J8" s="1"/>
    </row>
    <row r="9" spans="1:10" x14ac:dyDescent="0.25">
      <c r="A9" t="s">
        <v>466</v>
      </c>
      <c r="B9" t="s">
        <v>465</v>
      </c>
      <c r="C9" t="s">
        <v>466</v>
      </c>
      <c r="D9">
        <v>5.242</v>
      </c>
      <c r="E9">
        <v>10.238</v>
      </c>
      <c r="J9" s="11" t="s">
        <v>2584</v>
      </c>
    </row>
    <row r="10" spans="1:10" x14ac:dyDescent="0.25">
      <c r="A10" t="s">
        <v>611</v>
      </c>
      <c r="B10" t="s">
        <v>612</v>
      </c>
      <c r="C10" t="s">
        <v>611</v>
      </c>
      <c r="D10">
        <v>608</v>
      </c>
      <c r="E10">
        <v>3.0030000000000001</v>
      </c>
      <c r="J10" s="11" t="s">
        <v>2585</v>
      </c>
    </row>
    <row r="11" spans="1:10" x14ac:dyDescent="0.25">
      <c r="A11" t="s">
        <v>551</v>
      </c>
      <c r="B11" t="s">
        <v>552</v>
      </c>
      <c r="C11" t="s">
        <v>551</v>
      </c>
      <c r="D11">
        <v>498</v>
      </c>
      <c r="E11">
        <v>2.9780000000000002</v>
      </c>
      <c r="J11" s="11" t="s">
        <v>2586</v>
      </c>
    </row>
    <row r="12" spans="1:10" x14ac:dyDescent="0.25">
      <c r="A12" t="s">
        <v>615</v>
      </c>
      <c r="B12" t="s">
        <v>616</v>
      </c>
      <c r="C12" t="s">
        <v>615</v>
      </c>
      <c r="D12">
        <v>394</v>
      </c>
      <c r="E12">
        <v>2.0659999999999998</v>
      </c>
      <c r="J12" s="11" t="s">
        <v>2587</v>
      </c>
    </row>
    <row r="13" spans="1:10" x14ac:dyDescent="0.25">
      <c r="A13" t="s">
        <v>613</v>
      </c>
      <c r="B13" t="s">
        <v>614</v>
      </c>
      <c r="C13" t="s">
        <v>613</v>
      </c>
      <c r="D13">
        <v>2.4319999999999999</v>
      </c>
      <c r="E13">
        <v>11.282999999999999</v>
      </c>
      <c r="J13" s="11" t="s">
        <v>2588</v>
      </c>
    </row>
    <row r="14" spans="1:10" x14ac:dyDescent="0.25">
      <c r="A14" t="s">
        <v>474</v>
      </c>
      <c r="B14" t="s">
        <v>473</v>
      </c>
      <c r="C14" t="s">
        <v>474</v>
      </c>
      <c r="D14">
        <v>1.9239999999999999</v>
      </c>
      <c r="E14">
        <v>3.3519999999999999</v>
      </c>
      <c r="J14" s="11" t="s">
        <v>549</v>
      </c>
    </row>
    <row r="15" spans="1:10" x14ac:dyDescent="0.25">
      <c r="A15" t="s">
        <v>470</v>
      </c>
      <c r="B15" t="s">
        <v>469</v>
      </c>
      <c r="C15" t="s">
        <v>470</v>
      </c>
      <c r="D15">
        <v>14.538</v>
      </c>
      <c r="E15">
        <v>22.416</v>
      </c>
      <c r="J15" s="11" t="s">
        <v>2589</v>
      </c>
    </row>
    <row r="16" spans="1:10" x14ac:dyDescent="0.25">
      <c r="A16" t="s">
        <v>553</v>
      </c>
      <c r="B16" t="s">
        <v>554</v>
      </c>
      <c r="C16" t="s">
        <v>553</v>
      </c>
      <c r="D16">
        <v>526</v>
      </c>
      <c r="E16">
        <v>2.8029999999999999</v>
      </c>
      <c r="J16" s="11" t="s">
        <v>2590</v>
      </c>
    </row>
    <row r="17" spans="1:5" x14ac:dyDescent="0.25">
      <c r="A17" t="s">
        <v>684</v>
      </c>
      <c r="B17" t="s">
        <v>685</v>
      </c>
      <c r="C17" t="s">
        <v>684</v>
      </c>
      <c r="D17">
        <v>372</v>
      </c>
      <c r="E17">
        <v>3.3839999999999999</v>
      </c>
    </row>
    <row r="18" spans="1:5" x14ac:dyDescent="0.25">
      <c r="A18" t="s">
        <v>549</v>
      </c>
      <c r="B18" t="s">
        <v>550</v>
      </c>
      <c r="C18" t="s">
        <v>549</v>
      </c>
      <c r="D18">
        <v>1.8540000000000001</v>
      </c>
      <c r="E18">
        <v>4.6340000000000003</v>
      </c>
    </row>
    <row r="19" spans="1:5" x14ac:dyDescent="0.25">
      <c r="A19" t="s">
        <v>587</v>
      </c>
      <c r="B19" t="s">
        <v>588</v>
      </c>
      <c r="C19" t="s">
        <v>587</v>
      </c>
      <c r="D19">
        <v>1.238</v>
      </c>
      <c r="E19">
        <v>5.452</v>
      </c>
    </row>
    <row r="20" spans="1:5" x14ac:dyDescent="0.25">
      <c r="A20" t="s">
        <v>468</v>
      </c>
      <c r="B20" t="s">
        <v>467</v>
      </c>
      <c r="C20" t="s">
        <v>468</v>
      </c>
      <c r="D20">
        <v>1.417</v>
      </c>
      <c r="E20">
        <v>5.0209999999999999</v>
      </c>
    </row>
    <row r="21" spans="1:5" x14ac:dyDescent="0.25">
      <c r="A21" t="s">
        <v>589</v>
      </c>
      <c r="B21" t="s">
        <v>590</v>
      </c>
      <c r="C21" t="s">
        <v>589</v>
      </c>
      <c r="D21">
        <v>23.007000000000001</v>
      </c>
      <c r="E21">
        <v>44.957000000000001</v>
      </c>
    </row>
    <row r="22" spans="1:5" x14ac:dyDescent="0.25">
      <c r="A22" t="s">
        <v>472</v>
      </c>
      <c r="B22" t="s">
        <v>471</v>
      </c>
      <c r="C22" t="s">
        <v>472</v>
      </c>
      <c r="D22">
        <v>2.746</v>
      </c>
      <c r="E22">
        <v>7.6280000000000001</v>
      </c>
    </row>
    <row r="23" spans="1:5" x14ac:dyDescent="0.25">
      <c r="A23" t="s">
        <v>682</v>
      </c>
      <c r="B23" t="s">
        <v>683</v>
      </c>
      <c r="C23" t="s">
        <v>682</v>
      </c>
      <c r="D23">
        <v>703</v>
      </c>
      <c r="E23">
        <v>5.3</v>
      </c>
    </row>
    <row r="24" spans="1:5" x14ac:dyDescent="0.25">
      <c r="A24" t="s">
        <v>692</v>
      </c>
      <c r="B24" t="s">
        <v>693</v>
      </c>
      <c r="C24" t="s">
        <v>692</v>
      </c>
      <c r="D24">
        <v>2.4780000000000002</v>
      </c>
      <c r="E24">
        <v>8.6080000000000005</v>
      </c>
    </row>
    <row r="25" spans="1:5" x14ac:dyDescent="0.25">
      <c r="A25" t="s">
        <v>555</v>
      </c>
      <c r="B25" t="s">
        <v>556</v>
      </c>
      <c r="C25" t="s">
        <v>555</v>
      </c>
      <c r="D25">
        <v>28.007000000000001</v>
      </c>
      <c r="E25">
        <v>36.463000000000001</v>
      </c>
    </row>
    <row r="26" spans="1:5" x14ac:dyDescent="0.25">
      <c r="A26" t="s">
        <v>694</v>
      </c>
      <c r="B26" t="s">
        <v>695</v>
      </c>
      <c r="C26" t="s">
        <v>694</v>
      </c>
      <c r="D26">
        <v>458</v>
      </c>
      <c r="E26">
        <v>3.2829999999999999</v>
      </c>
    </row>
    <row r="27" spans="1:5" x14ac:dyDescent="0.25">
      <c r="A27" t="s">
        <v>591</v>
      </c>
      <c r="B27" t="s">
        <v>592</v>
      </c>
      <c r="C27" t="s">
        <v>591</v>
      </c>
      <c r="D27">
        <v>4.2750000000000004</v>
      </c>
      <c r="E27">
        <v>11.292999999999999</v>
      </c>
    </row>
    <row r="28" spans="1:5" x14ac:dyDescent="0.25">
      <c r="A28" t="s">
        <v>617</v>
      </c>
      <c r="B28" t="s">
        <v>618</v>
      </c>
      <c r="C28" t="s">
        <v>617</v>
      </c>
      <c r="D28">
        <v>1.89</v>
      </c>
      <c r="E28">
        <v>13.108000000000001</v>
      </c>
    </row>
    <row r="29" spans="1:5" x14ac:dyDescent="0.25">
      <c r="A29" t="s">
        <v>593</v>
      </c>
      <c r="B29" t="s">
        <v>594</v>
      </c>
      <c r="C29" t="s">
        <v>593</v>
      </c>
      <c r="D29">
        <v>7.7569999999999997</v>
      </c>
      <c r="E29">
        <v>21.113</v>
      </c>
    </row>
    <row r="30" spans="1:5" x14ac:dyDescent="0.25">
      <c r="A30" t="s">
        <v>686</v>
      </c>
      <c r="B30" t="s">
        <v>687</v>
      </c>
      <c r="C30" t="s">
        <v>686</v>
      </c>
      <c r="D30">
        <v>746</v>
      </c>
      <c r="E30">
        <v>4.9619999999999997</v>
      </c>
    </row>
    <row r="31" spans="1:5" x14ac:dyDescent="0.25">
      <c r="A31" t="s">
        <v>557</v>
      </c>
      <c r="B31" t="s">
        <v>558</v>
      </c>
      <c r="C31" t="s">
        <v>557</v>
      </c>
      <c r="D31">
        <v>1.673</v>
      </c>
      <c r="E31">
        <v>7.8860000000000001</v>
      </c>
    </row>
    <row r="32" spans="1:5" x14ac:dyDescent="0.25">
      <c r="A32" t="s">
        <v>498</v>
      </c>
      <c r="B32" t="s">
        <v>497</v>
      </c>
      <c r="C32" t="s">
        <v>498</v>
      </c>
      <c r="D32">
        <v>1.9510000000000001</v>
      </c>
      <c r="E32">
        <v>3.9289999999999998</v>
      </c>
    </row>
    <row r="33" spans="1:5" x14ac:dyDescent="0.25">
      <c r="A33" t="s">
        <v>559</v>
      </c>
      <c r="B33" t="s">
        <v>560</v>
      </c>
      <c r="C33" t="s">
        <v>559</v>
      </c>
      <c r="D33">
        <v>611</v>
      </c>
      <c r="E33">
        <v>3.8730000000000002</v>
      </c>
    </row>
    <row r="34" spans="1:5" x14ac:dyDescent="0.25">
      <c r="A34" t="s">
        <v>478</v>
      </c>
      <c r="B34" t="s">
        <v>477</v>
      </c>
      <c r="C34" t="s">
        <v>478</v>
      </c>
      <c r="D34">
        <v>622</v>
      </c>
      <c r="E34">
        <v>3.641</v>
      </c>
    </row>
    <row r="35" spans="1:5" x14ac:dyDescent="0.25">
      <c r="A35" t="s">
        <v>480</v>
      </c>
      <c r="B35" t="s">
        <v>479</v>
      </c>
      <c r="C35" t="s">
        <v>480</v>
      </c>
      <c r="D35">
        <v>6.3310000000000004</v>
      </c>
      <c r="E35">
        <v>8.1530000000000005</v>
      </c>
    </row>
    <row r="36" spans="1:5" x14ac:dyDescent="0.25">
      <c r="A36" t="s">
        <v>484</v>
      </c>
      <c r="B36" t="s">
        <v>483</v>
      </c>
      <c r="C36" t="s">
        <v>484</v>
      </c>
      <c r="D36">
        <v>3.7450000000000001</v>
      </c>
      <c r="E36">
        <v>8.827</v>
      </c>
    </row>
    <row r="37" spans="1:5" x14ac:dyDescent="0.25">
      <c r="A37" t="s">
        <v>561</v>
      </c>
      <c r="B37" t="s">
        <v>562</v>
      </c>
      <c r="C37" t="s">
        <v>561</v>
      </c>
      <c r="D37">
        <v>2.2589999999999999</v>
      </c>
      <c r="E37">
        <v>10.003</v>
      </c>
    </row>
    <row r="38" spans="1:5" x14ac:dyDescent="0.25">
      <c r="A38" t="s">
        <v>595</v>
      </c>
      <c r="B38" t="s">
        <v>596</v>
      </c>
      <c r="C38" t="s">
        <v>595</v>
      </c>
      <c r="D38">
        <v>3.4580000000000002</v>
      </c>
      <c r="E38">
        <v>10.414</v>
      </c>
    </row>
    <row r="39" spans="1:5" x14ac:dyDescent="0.25">
      <c r="A39" t="s">
        <v>698</v>
      </c>
      <c r="B39" t="s">
        <v>699</v>
      </c>
      <c r="C39" t="s">
        <v>698</v>
      </c>
      <c r="D39">
        <v>6.13</v>
      </c>
      <c r="E39">
        <v>10.119999999999999</v>
      </c>
    </row>
    <row r="40" spans="1:5" x14ac:dyDescent="0.25">
      <c r="A40" t="s">
        <v>577</v>
      </c>
      <c r="B40" t="s">
        <v>578</v>
      </c>
      <c r="C40" t="s">
        <v>577</v>
      </c>
      <c r="D40">
        <v>1.2030000000000001</v>
      </c>
      <c r="E40">
        <v>5.44</v>
      </c>
    </row>
    <row r="41" spans="1:5" x14ac:dyDescent="0.25">
      <c r="A41" t="s">
        <v>486</v>
      </c>
      <c r="B41" t="s">
        <v>485</v>
      </c>
      <c r="C41" t="s">
        <v>486</v>
      </c>
      <c r="D41">
        <v>298</v>
      </c>
      <c r="E41">
        <v>2.6480000000000001</v>
      </c>
    </row>
    <row r="42" spans="1:5" x14ac:dyDescent="0.25">
      <c r="A42" t="s">
        <v>700</v>
      </c>
      <c r="B42" t="s">
        <v>701</v>
      </c>
      <c r="C42" t="s">
        <v>700</v>
      </c>
      <c r="D42">
        <v>749</v>
      </c>
      <c r="E42">
        <v>3.9169999999999998</v>
      </c>
    </row>
    <row r="43" spans="1:5" x14ac:dyDescent="0.25">
      <c r="A43" t="s">
        <v>490</v>
      </c>
      <c r="B43" t="s">
        <v>489</v>
      </c>
      <c r="C43" t="s">
        <v>490</v>
      </c>
      <c r="D43">
        <v>4.4260000000000002</v>
      </c>
      <c r="E43">
        <v>8.3710000000000004</v>
      </c>
    </row>
    <row r="44" spans="1:5" x14ac:dyDescent="0.25">
      <c r="A44" t="s">
        <v>492</v>
      </c>
      <c r="B44" t="s">
        <v>491</v>
      </c>
      <c r="C44" t="s">
        <v>492</v>
      </c>
      <c r="D44">
        <v>41.459000000000003</v>
      </c>
      <c r="E44">
        <v>38.787999999999997</v>
      </c>
    </row>
    <row r="45" spans="1:5" x14ac:dyDescent="0.25">
      <c r="A45" t="s">
        <v>619</v>
      </c>
      <c r="B45" t="s">
        <v>620</v>
      </c>
      <c r="C45" t="s">
        <v>619</v>
      </c>
      <c r="D45">
        <v>1.8149999999999999</v>
      </c>
      <c r="E45">
        <v>6.4039999999999999</v>
      </c>
    </row>
    <row r="46" spans="1:5" x14ac:dyDescent="0.25">
      <c r="A46" t="s">
        <v>482</v>
      </c>
      <c r="B46" t="s">
        <v>481</v>
      </c>
      <c r="C46" t="s">
        <v>482</v>
      </c>
      <c r="D46">
        <v>37.01</v>
      </c>
      <c r="E46">
        <v>35.015999999999998</v>
      </c>
    </row>
    <row r="47" spans="1:5" x14ac:dyDescent="0.25">
      <c r="A47" t="s">
        <v>702</v>
      </c>
      <c r="B47" t="s">
        <v>703</v>
      </c>
      <c r="C47" t="s">
        <v>702</v>
      </c>
      <c r="D47">
        <v>3.052</v>
      </c>
      <c r="E47">
        <v>8.3740000000000006</v>
      </c>
    </row>
    <row r="48" spans="1:5" x14ac:dyDescent="0.25">
      <c r="A48" t="s">
        <v>496</v>
      </c>
      <c r="B48" t="s">
        <v>495</v>
      </c>
      <c r="C48" t="s">
        <v>496</v>
      </c>
      <c r="D48">
        <v>3.0409999999999999</v>
      </c>
      <c r="E48">
        <v>6.8179999999999996</v>
      </c>
    </row>
    <row r="49" spans="1:5" x14ac:dyDescent="0.25">
      <c r="A49" t="s">
        <v>563</v>
      </c>
      <c r="B49" t="s">
        <v>564</v>
      </c>
      <c r="C49" t="s">
        <v>563</v>
      </c>
      <c r="D49">
        <v>1.9359999999999999</v>
      </c>
      <c r="E49">
        <v>8.6709999999999994</v>
      </c>
    </row>
    <row r="50" spans="1:5" x14ac:dyDescent="0.25">
      <c r="A50" t="s">
        <v>704</v>
      </c>
      <c r="B50" t="s">
        <v>705</v>
      </c>
      <c r="C50" t="s">
        <v>704</v>
      </c>
      <c r="D50">
        <v>348</v>
      </c>
      <c r="E50">
        <v>2.5619999999999998</v>
      </c>
    </row>
    <row r="51" spans="1:5" x14ac:dyDescent="0.25">
      <c r="A51" t="s">
        <v>567</v>
      </c>
      <c r="B51" t="s">
        <v>568</v>
      </c>
      <c r="C51" t="s">
        <v>567</v>
      </c>
      <c r="D51">
        <v>583</v>
      </c>
      <c r="E51">
        <v>3.4169999999999998</v>
      </c>
    </row>
    <row r="52" spans="1:5" x14ac:dyDescent="0.25">
      <c r="A52" t="s">
        <v>565</v>
      </c>
      <c r="B52" t="s">
        <v>566</v>
      </c>
      <c r="C52" t="s">
        <v>565</v>
      </c>
      <c r="D52">
        <v>1.2989999999999999</v>
      </c>
      <c r="E52">
        <v>6.86</v>
      </c>
    </row>
    <row r="53" spans="1:5" x14ac:dyDescent="0.25">
      <c r="A53" t="s">
        <v>621</v>
      </c>
      <c r="B53" t="s">
        <v>622</v>
      </c>
      <c r="C53" t="s">
        <v>621</v>
      </c>
      <c r="D53">
        <v>1.1080000000000001</v>
      </c>
      <c r="E53">
        <v>6.5549999999999997</v>
      </c>
    </row>
    <row r="54" spans="1:5" x14ac:dyDescent="0.25">
      <c r="A54" t="s">
        <v>500</v>
      </c>
      <c r="B54" t="s">
        <v>499</v>
      </c>
      <c r="C54" t="s">
        <v>500</v>
      </c>
      <c r="D54">
        <v>2.5449999999999999</v>
      </c>
      <c r="E54">
        <v>7.6189999999999998</v>
      </c>
    </row>
    <row r="55" spans="1:5" x14ac:dyDescent="0.25">
      <c r="A55" t="s">
        <v>504</v>
      </c>
      <c r="B55" t="s">
        <v>503</v>
      </c>
      <c r="C55" t="s">
        <v>504</v>
      </c>
      <c r="D55">
        <v>498</v>
      </c>
      <c r="E55">
        <v>2.3370000000000002</v>
      </c>
    </row>
    <row r="56" spans="1:5" x14ac:dyDescent="0.25">
      <c r="A56" t="s">
        <v>627</v>
      </c>
      <c r="B56" t="s">
        <v>628</v>
      </c>
      <c r="C56" t="s">
        <v>627</v>
      </c>
      <c r="D56">
        <v>12.859</v>
      </c>
      <c r="E56">
        <v>32.442999999999998</v>
      </c>
    </row>
    <row r="57" spans="1:5" x14ac:dyDescent="0.25">
      <c r="A57" t="s">
        <v>623</v>
      </c>
      <c r="B57" t="s">
        <v>624</v>
      </c>
      <c r="C57" t="s">
        <v>623</v>
      </c>
      <c r="D57">
        <v>11.978999999999999</v>
      </c>
      <c r="E57">
        <v>29.015000000000001</v>
      </c>
    </row>
    <row r="58" spans="1:5" x14ac:dyDescent="0.25">
      <c r="A58" t="s">
        <v>631</v>
      </c>
      <c r="B58" t="s">
        <v>632</v>
      </c>
      <c r="C58" t="s">
        <v>631</v>
      </c>
      <c r="D58">
        <v>2.5099999999999998</v>
      </c>
      <c r="E58">
        <v>6.548</v>
      </c>
    </row>
    <row r="59" spans="1:5" x14ac:dyDescent="0.25">
      <c r="A59" t="s">
        <v>629</v>
      </c>
      <c r="B59" t="s">
        <v>630</v>
      </c>
      <c r="C59" t="s">
        <v>629</v>
      </c>
      <c r="D59">
        <v>2.274</v>
      </c>
      <c r="E59">
        <v>7.0179999999999998</v>
      </c>
    </row>
    <row r="60" spans="1:5" x14ac:dyDescent="0.25">
      <c r="A60" t="s">
        <v>502</v>
      </c>
      <c r="B60" t="s">
        <v>501</v>
      </c>
      <c r="C60" t="s">
        <v>502</v>
      </c>
      <c r="D60">
        <v>6.7439999999999998</v>
      </c>
      <c r="E60">
        <v>13.044</v>
      </c>
    </row>
    <row r="61" spans="1:5" x14ac:dyDescent="0.25">
      <c r="A61" t="s">
        <v>625</v>
      </c>
      <c r="B61" t="s">
        <v>626</v>
      </c>
      <c r="C61" t="s">
        <v>625</v>
      </c>
      <c r="D61">
        <v>1.6859999999999999</v>
      </c>
      <c r="E61">
        <v>5.2080000000000002</v>
      </c>
    </row>
    <row r="62" spans="1:5" x14ac:dyDescent="0.25">
      <c r="A62" t="s">
        <v>506</v>
      </c>
      <c r="B62" t="s">
        <v>505</v>
      </c>
      <c r="C62" t="s">
        <v>506</v>
      </c>
      <c r="D62">
        <v>32.816000000000003</v>
      </c>
      <c r="E62">
        <v>23.773</v>
      </c>
    </row>
    <row r="63" spans="1:5" x14ac:dyDescent="0.25">
      <c r="A63" t="s">
        <v>690</v>
      </c>
      <c r="B63" t="s">
        <v>691</v>
      </c>
      <c r="C63" t="s">
        <v>690</v>
      </c>
      <c r="D63">
        <v>1.1970000000000001</v>
      </c>
      <c r="E63">
        <v>4.883</v>
      </c>
    </row>
    <row r="64" spans="1:5" x14ac:dyDescent="0.25">
      <c r="A64" t="s">
        <v>569</v>
      </c>
      <c r="B64" t="s">
        <v>570</v>
      </c>
      <c r="C64" t="s">
        <v>569</v>
      </c>
      <c r="D64">
        <v>8.0289999999999999</v>
      </c>
      <c r="E64">
        <v>16.065999999999999</v>
      </c>
    </row>
    <row r="65" spans="1:5" x14ac:dyDescent="0.25">
      <c r="A65" t="s">
        <v>635</v>
      </c>
      <c r="B65" t="s">
        <v>636</v>
      </c>
      <c r="C65" t="s">
        <v>635</v>
      </c>
      <c r="D65">
        <v>3.4449999999999998</v>
      </c>
      <c r="E65">
        <v>11.49</v>
      </c>
    </row>
    <row r="66" spans="1:5" x14ac:dyDescent="0.25">
      <c r="A66" t="s">
        <v>508</v>
      </c>
      <c r="B66" t="s">
        <v>507</v>
      </c>
      <c r="C66" t="s">
        <v>508</v>
      </c>
      <c r="D66">
        <v>1.8009999999999999</v>
      </c>
      <c r="E66">
        <v>6.0869999999999997</v>
      </c>
    </row>
    <row r="67" spans="1:5" x14ac:dyDescent="0.25">
      <c r="A67" t="s">
        <v>633</v>
      </c>
      <c r="B67" t="s">
        <v>634</v>
      </c>
      <c r="C67" t="s">
        <v>633</v>
      </c>
      <c r="D67">
        <v>1.319</v>
      </c>
      <c r="E67">
        <v>3.5680000000000001</v>
      </c>
    </row>
    <row r="68" spans="1:5" x14ac:dyDescent="0.25">
      <c r="A68" t="s">
        <v>641</v>
      </c>
      <c r="B68" t="s">
        <v>642</v>
      </c>
      <c r="C68" t="s">
        <v>641</v>
      </c>
      <c r="D68">
        <v>1.073</v>
      </c>
      <c r="E68">
        <v>3.89</v>
      </c>
    </row>
    <row r="69" spans="1:5" x14ac:dyDescent="0.25">
      <c r="A69" t="s">
        <v>706</v>
      </c>
      <c r="B69" t="s">
        <v>707</v>
      </c>
      <c r="C69" t="s">
        <v>706</v>
      </c>
      <c r="D69">
        <v>3.2309999999999999</v>
      </c>
      <c r="E69">
        <v>9.9550000000000001</v>
      </c>
    </row>
    <row r="70" spans="1:5" x14ac:dyDescent="0.25">
      <c r="A70" t="s">
        <v>678</v>
      </c>
      <c r="B70" t="s">
        <v>679</v>
      </c>
      <c r="C70" t="s">
        <v>678</v>
      </c>
      <c r="D70">
        <v>1.0469999999999999</v>
      </c>
      <c r="E70">
        <v>4.9180000000000001</v>
      </c>
    </row>
    <row r="71" spans="1:5" x14ac:dyDescent="0.25">
      <c r="A71" t="s">
        <v>639</v>
      </c>
      <c r="B71" t="s">
        <v>640</v>
      </c>
      <c r="C71" t="s">
        <v>639</v>
      </c>
      <c r="D71">
        <v>1.2370000000000001</v>
      </c>
      <c r="E71">
        <v>4.4560000000000004</v>
      </c>
    </row>
    <row r="72" spans="1:5" x14ac:dyDescent="0.25">
      <c r="A72" t="s">
        <v>514</v>
      </c>
      <c r="B72" t="s">
        <v>513</v>
      </c>
      <c r="C72" t="s">
        <v>514</v>
      </c>
      <c r="D72">
        <v>1.0329999999999999</v>
      </c>
      <c r="E72">
        <v>2.5630000000000002</v>
      </c>
    </row>
    <row r="73" spans="1:5" x14ac:dyDescent="0.25">
      <c r="A73" t="s">
        <v>643</v>
      </c>
      <c r="B73" t="s">
        <v>644</v>
      </c>
      <c r="C73" t="s">
        <v>643</v>
      </c>
      <c r="D73">
        <v>1.9670000000000001</v>
      </c>
      <c r="E73">
        <v>4.883</v>
      </c>
    </row>
    <row r="74" spans="1:5" x14ac:dyDescent="0.25">
      <c r="A74" t="s">
        <v>708</v>
      </c>
      <c r="B74" t="s">
        <v>709</v>
      </c>
      <c r="C74" t="s">
        <v>708</v>
      </c>
      <c r="D74">
        <v>3.198</v>
      </c>
      <c r="E74">
        <v>9.1859999999999999</v>
      </c>
    </row>
    <row r="75" spans="1:5" x14ac:dyDescent="0.25">
      <c r="A75" t="s">
        <v>710</v>
      </c>
      <c r="B75" t="s">
        <v>711</v>
      </c>
      <c r="C75" t="s">
        <v>710</v>
      </c>
      <c r="D75">
        <v>499</v>
      </c>
      <c r="E75">
        <v>2.3860000000000001</v>
      </c>
    </row>
    <row r="76" spans="1:5" x14ac:dyDescent="0.25">
      <c r="A76" t="s">
        <v>510</v>
      </c>
      <c r="B76" t="s">
        <v>509</v>
      </c>
      <c r="C76" t="s">
        <v>510</v>
      </c>
      <c r="D76">
        <v>789</v>
      </c>
      <c r="E76">
        <v>2.0939999999999999</v>
      </c>
    </row>
    <row r="77" spans="1:5" x14ac:dyDescent="0.25">
      <c r="A77" t="s">
        <v>512</v>
      </c>
      <c r="B77" t="s">
        <v>511</v>
      </c>
      <c r="C77" t="s">
        <v>512</v>
      </c>
      <c r="D77">
        <v>1.889</v>
      </c>
      <c r="E77">
        <v>6.1740000000000004</v>
      </c>
    </row>
    <row r="78" spans="1:5" x14ac:dyDescent="0.25">
      <c r="A78" t="s">
        <v>518</v>
      </c>
      <c r="B78" t="s">
        <v>517</v>
      </c>
      <c r="C78" t="s">
        <v>518</v>
      </c>
      <c r="D78">
        <v>830</v>
      </c>
      <c r="E78">
        <v>2.9710000000000001</v>
      </c>
    </row>
    <row r="79" spans="1:5" x14ac:dyDescent="0.25">
      <c r="A79" t="s">
        <v>649</v>
      </c>
      <c r="B79" t="s">
        <v>650</v>
      </c>
      <c r="C79" t="s">
        <v>649</v>
      </c>
      <c r="D79">
        <v>3.1869999999999998</v>
      </c>
      <c r="E79">
        <v>13.135999999999999</v>
      </c>
    </row>
    <row r="80" spans="1:5" x14ac:dyDescent="0.25">
      <c r="A80" t="s">
        <v>714</v>
      </c>
      <c r="B80" t="s">
        <v>715</v>
      </c>
      <c r="C80" t="s">
        <v>714</v>
      </c>
      <c r="D80">
        <v>357</v>
      </c>
      <c r="E80">
        <v>2.3029999999999999</v>
      </c>
    </row>
    <row r="81" spans="1:5" x14ac:dyDescent="0.25">
      <c r="A81" t="s">
        <v>520</v>
      </c>
      <c r="B81" t="s">
        <v>519</v>
      </c>
      <c r="C81" t="s">
        <v>520</v>
      </c>
      <c r="D81">
        <v>256</v>
      </c>
      <c r="E81">
        <v>2.2629999999999999</v>
      </c>
    </row>
    <row r="82" spans="1:5" x14ac:dyDescent="0.25">
      <c r="A82" t="s">
        <v>734</v>
      </c>
      <c r="B82" t="s">
        <v>735</v>
      </c>
      <c r="C82" t="s">
        <v>734</v>
      </c>
      <c r="D82">
        <v>9.8309999999999995</v>
      </c>
      <c r="E82">
        <v>22.158000000000001</v>
      </c>
    </row>
    <row r="83" spans="1:5" x14ac:dyDescent="0.25">
      <c r="A83" t="s">
        <v>571</v>
      </c>
      <c r="B83" t="s">
        <v>572</v>
      </c>
      <c r="C83" t="s">
        <v>571</v>
      </c>
      <c r="D83">
        <v>14.497999999999999</v>
      </c>
      <c r="E83">
        <v>30.257999999999999</v>
      </c>
    </row>
    <row r="84" spans="1:5" x14ac:dyDescent="0.25">
      <c r="A84" t="s">
        <v>516</v>
      </c>
      <c r="B84" t="s">
        <v>515</v>
      </c>
      <c r="C84" t="s">
        <v>516</v>
      </c>
      <c r="D84">
        <v>286</v>
      </c>
      <c r="E84">
        <v>1.722</v>
      </c>
    </row>
    <row r="85" spans="1:5" x14ac:dyDescent="0.25">
      <c r="A85" t="s">
        <v>712</v>
      </c>
      <c r="B85" t="s">
        <v>713</v>
      </c>
      <c r="C85" t="s">
        <v>712</v>
      </c>
      <c r="D85">
        <v>2.516</v>
      </c>
      <c r="E85">
        <v>5.9240000000000004</v>
      </c>
    </row>
    <row r="86" spans="1:5" x14ac:dyDescent="0.25">
      <c r="A86" t="s">
        <v>716</v>
      </c>
      <c r="B86" t="s">
        <v>717</v>
      </c>
      <c r="C86" t="s">
        <v>716</v>
      </c>
      <c r="D86">
        <v>504</v>
      </c>
      <c r="E86">
        <v>3.1579999999999999</v>
      </c>
    </row>
    <row r="87" spans="1:5" x14ac:dyDescent="0.25">
      <c r="A87" t="s">
        <v>647</v>
      </c>
      <c r="B87" t="s">
        <v>648</v>
      </c>
      <c r="C87" t="s">
        <v>647</v>
      </c>
      <c r="D87">
        <v>416</v>
      </c>
      <c r="E87">
        <v>2.2999999999999998</v>
      </c>
    </row>
    <row r="88" spans="1:5" x14ac:dyDescent="0.25">
      <c r="A88" t="s">
        <v>651</v>
      </c>
      <c r="B88" t="s">
        <v>652</v>
      </c>
      <c r="C88" t="s">
        <v>651</v>
      </c>
      <c r="D88">
        <v>913</v>
      </c>
      <c r="E88">
        <v>6.5339999999999998</v>
      </c>
    </row>
    <row r="89" spans="1:5" x14ac:dyDescent="0.25">
      <c r="A89" t="s">
        <v>522</v>
      </c>
      <c r="B89" t="s">
        <v>521</v>
      </c>
      <c r="C89" t="s">
        <v>522</v>
      </c>
      <c r="D89">
        <v>34.213000000000001</v>
      </c>
      <c r="E89">
        <v>31.073</v>
      </c>
    </row>
    <row r="90" spans="1:5" x14ac:dyDescent="0.25">
      <c r="A90" t="s">
        <v>546</v>
      </c>
      <c r="B90" t="s">
        <v>545</v>
      </c>
      <c r="C90" t="s">
        <v>546</v>
      </c>
      <c r="D90">
        <v>3.4950000000000001</v>
      </c>
      <c r="E90">
        <v>9.0779999999999994</v>
      </c>
    </row>
    <row r="91" spans="1:5" x14ac:dyDescent="0.25">
      <c r="A91" t="s">
        <v>573</v>
      </c>
      <c r="B91" t="s">
        <v>574</v>
      </c>
      <c r="C91" t="s">
        <v>573</v>
      </c>
      <c r="D91">
        <v>1.673</v>
      </c>
      <c r="E91">
        <v>5.9809999999999999</v>
      </c>
    </row>
    <row r="92" spans="1:5" x14ac:dyDescent="0.25">
      <c r="A92" t="s">
        <v>718</v>
      </c>
      <c r="B92" t="s">
        <v>719</v>
      </c>
      <c r="C92" t="s">
        <v>718</v>
      </c>
      <c r="D92">
        <v>6.8319999999999999</v>
      </c>
      <c r="E92">
        <v>16.309999999999999</v>
      </c>
    </row>
    <row r="93" spans="1:5" x14ac:dyDescent="0.25">
      <c r="A93" t="s">
        <v>524</v>
      </c>
      <c r="B93" t="s">
        <v>523</v>
      </c>
      <c r="C93" t="s">
        <v>524</v>
      </c>
      <c r="D93">
        <v>4.8099999999999996</v>
      </c>
      <c r="E93">
        <v>11.420999999999999</v>
      </c>
    </row>
    <row r="94" spans="1:5" x14ac:dyDescent="0.25">
      <c r="A94" t="s">
        <v>653</v>
      </c>
      <c r="B94" t="s">
        <v>654</v>
      </c>
      <c r="C94" t="s">
        <v>653</v>
      </c>
      <c r="D94">
        <v>639</v>
      </c>
      <c r="E94">
        <v>3.827</v>
      </c>
    </row>
    <row r="95" spans="1:5" x14ac:dyDescent="0.25">
      <c r="A95" t="s">
        <v>657</v>
      </c>
      <c r="B95" t="s">
        <v>658</v>
      </c>
      <c r="C95" t="s">
        <v>657</v>
      </c>
      <c r="D95">
        <v>3.5529999999999999</v>
      </c>
      <c r="E95">
        <v>12.909000000000001</v>
      </c>
    </row>
    <row r="96" spans="1:5" x14ac:dyDescent="0.25">
      <c r="A96" t="s">
        <v>659</v>
      </c>
      <c r="B96" t="s">
        <v>660</v>
      </c>
      <c r="C96" t="s">
        <v>659</v>
      </c>
      <c r="D96">
        <v>845</v>
      </c>
      <c r="E96">
        <v>2.609</v>
      </c>
    </row>
    <row r="97" spans="1:5" x14ac:dyDescent="0.25">
      <c r="A97" t="s">
        <v>575</v>
      </c>
      <c r="B97" t="s">
        <v>576</v>
      </c>
      <c r="C97" t="s">
        <v>575</v>
      </c>
      <c r="D97">
        <v>1.4750000000000001</v>
      </c>
      <c r="E97">
        <v>6.8419999999999996</v>
      </c>
    </row>
    <row r="98" spans="1:5" x14ac:dyDescent="0.25">
      <c r="A98" t="s">
        <v>548</v>
      </c>
      <c r="B98" t="s">
        <v>547</v>
      </c>
      <c r="C98" t="s">
        <v>548</v>
      </c>
      <c r="D98">
        <v>305</v>
      </c>
      <c r="E98">
        <v>2.887</v>
      </c>
    </row>
    <row r="99" spans="1:5" x14ac:dyDescent="0.25">
      <c r="A99" t="s">
        <v>599</v>
      </c>
      <c r="B99" t="s">
        <v>600</v>
      </c>
      <c r="C99" t="s">
        <v>599</v>
      </c>
      <c r="D99">
        <v>1.8080000000000001</v>
      </c>
      <c r="E99">
        <v>6.7380000000000004</v>
      </c>
    </row>
    <row r="100" spans="1:5" x14ac:dyDescent="0.25">
      <c r="A100" t="s">
        <v>597</v>
      </c>
      <c r="B100" t="s">
        <v>598</v>
      </c>
      <c r="C100" t="s">
        <v>597</v>
      </c>
      <c r="D100">
        <v>5.0289999999999999</v>
      </c>
      <c r="E100">
        <v>12.281000000000001</v>
      </c>
    </row>
    <row r="101" spans="1:5" x14ac:dyDescent="0.25">
      <c r="A101" t="s">
        <v>655</v>
      </c>
      <c r="B101" t="s">
        <v>656</v>
      </c>
      <c r="C101" t="s">
        <v>655</v>
      </c>
      <c r="D101">
        <v>9.4209999999999994</v>
      </c>
      <c r="E101">
        <v>21.399000000000001</v>
      </c>
    </row>
    <row r="102" spans="1:5" x14ac:dyDescent="0.25">
      <c r="A102" t="s">
        <v>526</v>
      </c>
      <c r="B102" t="s">
        <v>525</v>
      </c>
      <c r="C102" t="s">
        <v>526</v>
      </c>
      <c r="D102">
        <v>11.135999999999999</v>
      </c>
      <c r="E102">
        <v>7.0209999999999999</v>
      </c>
    </row>
    <row r="103" spans="1:5" x14ac:dyDescent="0.25">
      <c r="A103" t="s">
        <v>528</v>
      </c>
      <c r="B103" t="s">
        <v>527</v>
      </c>
      <c r="C103" t="s">
        <v>528</v>
      </c>
      <c r="D103">
        <v>2.7519999999999998</v>
      </c>
      <c r="E103">
        <v>9.18</v>
      </c>
    </row>
    <row r="104" spans="1:5" x14ac:dyDescent="0.25">
      <c r="A104" t="s">
        <v>661</v>
      </c>
      <c r="B104" t="s">
        <v>662</v>
      </c>
      <c r="C104" t="s">
        <v>661</v>
      </c>
      <c r="D104">
        <v>894</v>
      </c>
      <c r="E104">
        <v>5.2450000000000001</v>
      </c>
    </row>
    <row r="105" spans="1:5" x14ac:dyDescent="0.25">
      <c r="A105" t="s">
        <v>688</v>
      </c>
      <c r="B105" t="s">
        <v>689</v>
      </c>
      <c r="C105" t="s">
        <v>688</v>
      </c>
      <c r="D105">
        <v>355</v>
      </c>
      <c r="E105">
        <v>2.9609999999999999</v>
      </c>
    </row>
    <row r="106" spans="1:5" x14ac:dyDescent="0.25">
      <c r="A106" t="s">
        <v>530</v>
      </c>
      <c r="B106" t="s">
        <v>529</v>
      </c>
      <c r="C106" t="s">
        <v>530</v>
      </c>
      <c r="D106">
        <v>4.13</v>
      </c>
      <c r="E106">
        <v>9.4190000000000005</v>
      </c>
    </row>
    <row r="107" spans="1:5" x14ac:dyDescent="0.25">
      <c r="A107" t="s">
        <v>534</v>
      </c>
      <c r="B107" t="s">
        <v>533</v>
      </c>
      <c r="C107" t="s">
        <v>534</v>
      </c>
      <c r="D107">
        <v>26.965</v>
      </c>
      <c r="E107">
        <v>17.411999999999999</v>
      </c>
    </row>
    <row r="108" spans="1:5" x14ac:dyDescent="0.25">
      <c r="A108" t="s">
        <v>720</v>
      </c>
      <c r="B108" t="s">
        <v>721</v>
      </c>
      <c r="C108" t="s">
        <v>720</v>
      </c>
      <c r="D108">
        <v>410</v>
      </c>
      <c r="E108">
        <v>1.972</v>
      </c>
    </row>
    <row r="109" spans="1:5" x14ac:dyDescent="0.25">
      <c r="A109" t="s">
        <v>583</v>
      </c>
      <c r="B109" t="s">
        <v>584</v>
      </c>
      <c r="C109" t="s">
        <v>583</v>
      </c>
      <c r="D109">
        <v>1.4159999999999999</v>
      </c>
      <c r="E109">
        <v>4.7270000000000003</v>
      </c>
    </row>
    <row r="110" spans="1:5" x14ac:dyDescent="0.25">
      <c r="A110" t="s">
        <v>663</v>
      </c>
      <c r="B110" t="s">
        <v>664</v>
      </c>
      <c r="C110" t="s">
        <v>663</v>
      </c>
      <c r="D110">
        <v>3.1230000000000002</v>
      </c>
      <c r="E110">
        <v>8.6150000000000002</v>
      </c>
    </row>
    <row r="111" spans="1:5" x14ac:dyDescent="0.25">
      <c r="A111" t="s">
        <v>724</v>
      </c>
      <c r="B111" t="s">
        <v>725</v>
      </c>
      <c r="C111" t="s">
        <v>724</v>
      </c>
      <c r="D111">
        <v>690</v>
      </c>
      <c r="E111">
        <v>3.8980000000000001</v>
      </c>
    </row>
    <row r="112" spans="1:5" x14ac:dyDescent="0.25">
      <c r="A112" t="s">
        <v>532</v>
      </c>
      <c r="B112" t="s">
        <v>531</v>
      </c>
      <c r="C112" t="s">
        <v>532</v>
      </c>
      <c r="D112">
        <v>2.3220000000000001</v>
      </c>
      <c r="E112">
        <v>4.2610000000000001</v>
      </c>
    </row>
    <row r="113" spans="1:5" x14ac:dyDescent="0.25">
      <c r="A113" t="s">
        <v>665</v>
      </c>
      <c r="B113" t="s">
        <v>666</v>
      </c>
      <c r="C113" t="s">
        <v>665</v>
      </c>
      <c r="D113">
        <v>6.15</v>
      </c>
      <c r="E113">
        <v>13.263999999999999</v>
      </c>
    </row>
    <row r="114" spans="1:5" x14ac:dyDescent="0.25">
      <c r="A114" t="s">
        <v>540</v>
      </c>
      <c r="B114" t="s">
        <v>539</v>
      </c>
      <c r="C114" t="s">
        <v>540</v>
      </c>
      <c r="D114">
        <v>2.782</v>
      </c>
      <c r="E114">
        <v>3.51</v>
      </c>
    </row>
    <row r="115" spans="1:5" x14ac:dyDescent="0.25">
      <c r="A115" t="s">
        <v>538</v>
      </c>
      <c r="B115" t="s">
        <v>537</v>
      </c>
      <c r="C115" t="s">
        <v>538</v>
      </c>
      <c r="D115">
        <v>1.4870000000000001</v>
      </c>
      <c r="E115">
        <v>3.754</v>
      </c>
    </row>
    <row r="116" spans="1:5" x14ac:dyDescent="0.25">
      <c r="A116" t="s">
        <v>726</v>
      </c>
      <c r="B116" t="s">
        <v>727</v>
      </c>
      <c r="C116" t="s">
        <v>726</v>
      </c>
      <c r="D116">
        <v>947</v>
      </c>
      <c r="E116">
        <v>3.16</v>
      </c>
    </row>
    <row r="117" spans="1:5" x14ac:dyDescent="0.25">
      <c r="A117" t="s">
        <v>637</v>
      </c>
      <c r="B117" t="s">
        <v>638</v>
      </c>
      <c r="C117" t="s">
        <v>637</v>
      </c>
      <c r="D117">
        <v>1.095</v>
      </c>
      <c r="E117">
        <v>7.9109999999999996</v>
      </c>
    </row>
    <row r="118" spans="1:5" x14ac:dyDescent="0.25">
      <c r="A118" t="s">
        <v>488</v>
      </c>
      <c r="B118" t="s">
        <v>487</v>
      </c>
      <c r="C118" t="s">
        <v>488</v>
      </c>
      <c r="D118">
        <v>32.21</v>
      </c>
      <c r="E118">
        <v>36.695999999999998</v>
      </c>
    </row>
    <row r="119" spans="1:5" x14ac:dyDescent="0.25">
      <c r="A119" t="s">
        <v>645</v>
      </c>
      <c r="B119" t="s">
        <v>646</v>
      </c>
      <c r="C119" t="s">
        <v>645</v>
      </c>
      <c r="D119">
        <v>698</v>
      </c>
      <c r="E119">
        <v>4.0129999999999999</v>
      </c>
    </row>
    <row r="120" spans="1:5" x14ac:dyDescent="0.25">
      <c r="A120" t="s">
        <v>722</v>
      </c>
      <c r="B120" t="s">
        <v>723</v>
      </c>
      <c r="C120" t="s">
        <v>722</v>
      </c>
      <c r="D120">
        <v>720</v>
      </c>
      <c r="E120">
        <v>3.4420000000000002</v>
      </c>
    </row>
    <row r="121" spans="1:5" x14ac:dyDescent="0.25">
      <c r="A121" t="s">
        <v>536</v>
      </c>
      <c r="B121" t="s">
        <v>535</v>
      </c>
      <c r="C121" t="s">
        <v>536</v>
      </c>
      <c r="D121">
        <v>6.234</v>
      </c>
      <c r="E121">
        <v>12.705</v>
      </c>
    </row>
    <row r="122" spans="1:5" x14ac:dyDescent="0.25">
      <c r="A122" t="s">
        <v>476</v>
      </c>
      <c r="B122" t="s">
        <v>475</v>
      </c>
      <c r="C122" t="s">
        <v>476</v>
      </c>
      <c r="D122">
        <v>6.085</v>
      </c>
      <c r="E122">
        <v>13.547000000000001</v>
      </c>
    </row>
    <row r="123" spans="1:5" x14ac:dyDescent="0.25">
      <c r="A123" t="s">
        <v>667</v>
      </c>
      <c r="B123" t="s">
        <v>668</v>
      </c>
      <c r="C123" t="s">
        <v>667</v>
      </c>
      <c r="D123">
        <v>1.2330000000000001</v>
      </c>
      <c r="E123">
        <v>4.0209999999999999</v>
      </c>
    </row>
    <row r="124" spans="1:5" x14ac:dyDescent="0.25">
      <c r="A124" t="s">
        <v>672</v>
      </c>
      <c r="B124" t="s">
        <v>673</v>
      </c>
      <c r="C124" t="s">
        <v>672</v>
      </c>
      <c r="D124">
        <v>544</v>
      </c>
      <c r="E124">
        <v>5.2089999999999996</v>
      </c>
    </row>
    <row r="125" spans="1:5" x14ac:dyDescent="0.25">
      <c r="A125" t="s">
        <v>730</v>
      </c>
      <c r="B125" t="s">
        <v>731</v>
      </c>
      <c r="C125" t="s">
        <v>730</v>
      </c>
      <c r="D125">
        <v>1.1870000000000001</v>
      </c>
      <c r="E125">
        <v>4.8719999999999999</v>
      </c>
    </row>
    <row r="126" spans="1:5" x14ac:dyDescent="0.25">
      <c r="A126" t="s">
        <v>669</v>
      </c>
      <c r="B126" t="s">
        <v>670</v>
      </c>
      <c r="C126" t="s">
        <v>669</v>
      </c>
      <c r="D126">
        <v>1.823</v>
      </c>
      <c r="E126">
        <v>8.6259999999999994</v>
      </c>
    </row>
    <row r="127" spans="1:5" x14ac:dyDescent="0.25">
      <c r="A127" t="s">
        <v>579</v>
      </c>
      <c r="B127" t="s">
        <v>580</v>
      </c>
      <c r="C127" t="s">
        <v>579</v>
      </c>
      <c r="D127">
        <v>527</v>
      </c>
      <c r="E127">
        <v>3.0859999999999999</v>
      </c>
    </row>
    <row r="128" spans="1:5" x14ac:dyDescent="0.25">
      <c r="A128" t="s">
        <v>728</v>
      </c>
      <c r="B128" t="s">
        <v>729</v>
      </c>
      <c r="C128" t="s">
        <v>728</v>
      </c>
      <c r="D128">
        <v>1.534</v>
      </c>
      <c r="E128">
        <v>3.2549999999999999</v>
      </c>
    </row>
    <row r="129" spans="1:6" x14ac:dyDescent="0.25">
      <c r="A129" t="s">
        <v>19</v>
      </c>
      <c r="B129" t="s">
        <v>671</v>
      </c>
      <c r="C129" t="s">
        <v>19</v>
      </c>
      <c r="D129">
        <v>18.411000000000001</v>
      </c>
      <c r="E129">
        <v>24.408999999999999</v>
      </c>
    </row>
    <row r="130" spans="1:6" x14ac:dyDescent="0.25">
      <c r="A130" t="s">
        <v>732</v>
      </c>
      <c r="B130" t="s">
        <v>733</v>
      </c>
      <c r="C130" t="s">
        <v>732</v>
      </c>
      <c r="D130">
        <v>1.476</v>
      </c>
      <c r="E130">
        <v>5.85</v>
      </c>
    </row>
    <row r="131" spans="1:6" x14ac:dyDescent="0.25">
      <c r="A131" t="s">
        <v>542</v>
      </c>
      <c r="B131" t="s">
        <v>541</v>
      </c>
      <c r="C131" t="s">
        <v>542</v>
      </c>
      <c r="D131">
        <v>7.843</v>
      </c>
      <c r="E131">
        <v>7.7939999999999996</v>
      </c>
    </row>
    <row r="132" spans="1:6" x14ac:dyDescent="0.25">
      <c r="A132" t="s">
        <v>605</v>
      </c>
      <c r="B132" t="s">
        <v>606</v>
      </c>
      <c r="C132" t="s">
        <v>605</v>
      </c>
      <c r="D132">
        <v>4.3040000000000003</v>
      </c>
      <c r="E132">
        <v>14.007</v>
      </c>
    </row>
    <row r="133" spans="1:6" x14ac:dyDescent="0.25">
      <c r="A133" t="s">
        <v>494</v>
      </c>
      <c r="B133" t="s">
        <v>493</v>
      </c>
      <c r="C133" t="s">
        <v>494</v>
      </c>
      <c r="D133">
        <v>53.140999999999998</v>
      </c>
      <c r="E133">
        <v>59.674999999999997</v>
      </c>
    </row>
    <row r="134" spans="1:6" x14ac:dyDescent="0.25">
      <c r="A134" t="s">
        <v>581</v>
      </c>
      <c r="B134" t="s">
        <v>582</v>
      </c>
      <c r="C134" t="s">
        <v>581</v>
      </c>
      <c r="D134">
        <v>138.98400000000001</v>
      </c>
      <c r="E134">
        <v>101.26600000000001</v>
      </c>
    </row>
    <row r="135" spans="1:6" x14ac:dyDescent="0.25">
      <c r="A135" t="s">
        <v>601</v>
      </c>
      <c r="B135" t="s">
        <v>602</v>
      </c>
      <c r="C135" t="s">
        <v>601</v>
      </c>
      <c r="D135">
        <v>2.5760000000000001</v>
      </c>
      <c r="E135">
        <v>4.9459999999999997</v>
      </c>
    </row>
    <row r="136" spans="1:6" x14ac:dyDescent="0.25">
      <c r="A136" t="s">
        <v>674</v>
      </c>
      <c r="B136" t="s">
        <v>675</v>
      </c>
      <c r="C136" t="s">
        <v>674</v>
      </c>
      <c r="D136">
        <v>488</v>
      </c>
      <c r="E136">
        <v>2.0880000000000001</v>
      </c>
    </row>
    <row r="137" spans="1:6" x14ac:dyDescent="0.25">
      <c r="A137" t="s">
        <v>603</v>
      </c>
      <c r="B137" t="s">
        <v>604</v>
      </c>
      <c r="C137" t="s">
        <v>603</v>
      </c>
      <c r="D137">
        <v>7.24</v>
      </c>
      <c r="E137">
        <v>23.681999999999999</v>
      </c>
    </row>
    <row r="138" spans="1:6" x14ac:dyDescent="0.25">
      <c r="A138" t="s">
        <v>676</v>
      </c>
      <c r="B138" t="s">
        <v>677</v>
      </c>
      <c r="C138" t="s">
        <v>676</v>
      </c>
      <c r="D138">
        <v>1.1930000000000001</v>
      </c>
      <c r="E138">
        <v>5.101</v>
      </c>
    </row>
    <row r="139" spans="1:6" x14ac:dyDescent="0.25">
      <c r="A139" t="s">
        <v>736</v>
      </c>
      <c r="B139" t="s">
        <v>737</v>
      </c>
      <c r="C139" t="s">
        <v>736</v>
      </c>
      <c r="D139">
        <v>765</v>
      </c>
      <c r="E139">
        <v>4.1230000000000002</v>
      </c>
    </row>
    <row r="140" spans="1:6" x14ac:dyDescent="0.25">
      <c r="A140" t="s">
        <v>738</v>
      </c>
      <c r="B140" t="s">
        <v>739</v>
      </c>
      <c r="C140" t="s">
        <v>738</v>
      </c>
      <c r="D140">
        <v>914</v>
      </c>
      <c r="E140">
        <v>3.8279999999999998</v>
      </c>
    </row>
    <row r="141" spans="1:6" x14ac:dyDescent="0.25">
      <c r="A141" t="s">
        <v>1665</v>
      </c>
      <c r="F141" t="s">
        <v>2556</v>
      </c>
    </row>
    <row r="142" spans="1:6" x14ac:dyDescent="0.25">
      <c r="A142" t="s">
        <v>1364</v>
      </c>
      <c r="F142" t="s">
        <v>2557</v>
      </c>
    </row>
    <row r="143" spans="1:6" x14ac:dyDescent="0.25">
      <c r="A143" t="s">
        <v>2087</v>
      </c>
      <c r="F143" t="s">
        <v>2558</v>
      </c>
    </row>
    <row r="144" spans="1:6" x14ac:dyDescent="0.25">
      <c r="A144" t="s">
        <v>2377</v>
      </c>
      <c r="F144" t="s">
        <v>605</v>
      </c>
    </row>
    <row r="145" spans="1:6" x14ac:dyDescent="0.25">
      <c r="A145" t="s">
        <v>2301</v>
      </c>
      <c r="F145" t="s">
        <v>2559</v>
      </c>
    </row>
    <row r="146" spans="1:6" x14ac:dyDescent="0.25">
      <c r="A146" t="s">
        <v>953</v>
      </c>
      <c r="F146" t="s">
        <v>2560</v>
      </c>
    </row>
    <row r="147" spans="1:6" x14ac:dyDescent="0.25">
      <c r="A147" t="s">
        <v>987</v>
      </c>
      <c r="F147" t="s">
        <v>2560</v>
      </c>
    </row>
    <row r="148" spans="1:6" x14ac:dyDescent="0.25">
      <c r="A148" t="s">
        <v>997</v>
      </c>
      <c r="F148" t="s">
        <v>2560</v>
      </c>
    </row>
    <row r="149" spans="1:6" x14ac:dyDescent="0.25">
      <c r="A149" t="s">
        <v>975</v>
      </c>
      <c r="F149" t="s">
        <v>2560</v>
      </c>
    </row>
    <row r="150" spans="1:6" x14ac:dyDescent="0.25">
      <c r="A150" t="s">
        <v>2561</v>
      </c>
      <c r="F150" t="s">
        <v>2560</v>
      </c>
    </row>
    <row r="151" spans="1:6" x14ac:dyDescent="0.25">
      <c r="A151" t="s">
        <v>2562</v>
      </c>
      <c r="F151" t="s">
        <v>2560</v>
      </c>
    </row>
    <row r="152" spans="1:6" x14ac:dyDescent="0.25">
      <c r="A152" t="s">
        <v>2563</v>
      </c>
      <c r="F152" t="s">
        <v>2560</v>
      </c>
    </row>
    <row r="153" spans="1:6" x14ac:dyDescent="0.25">
      <c r="A153" t="s">
        <v>2383</v>
      </c>
      <c r="F153" t="s">
        <v>2560</v>
      </c>
    </row>
    <row r="154" spans="1:6" x14ac:dyDescent="0.25">
      <c r="A154" t="s">
        <v>2405</v>
      </c>
      <c r="F154" t="s">
        <v>2560</v>
      </c>
    </row>
    <row r="155" spans="1:6" x14ac:dyDescent="0.25">
      <c r="A155" t="s">
        <v>2384</v>
      </c>
      <c r="F155" t="s">
        <v>2560</v>
      </c>
    </row>
    <row r="156" spans="1:6" x14ac:dyDescent="0.25">
      <c r="A156" t="s">
        <v>2378</v>
      </c>
      <c r="F156" t="s">
        <v>2564</v>
      </c>
    </row>
    <row r="157" spans="1:6" x14ac:dyDescent="0.25">
      <c r="A157" t="s">
        <v>2565</v>
      </c>
      <c r="F157" t="s">
        <v>1565</v>
      </c>
    </row>
    <row r="158" spans="1:6" x14ac:dyDescent="0.25">
      <c r="A158" t="s">
        <v>2566</v>
      </c>
      <c r="F158" t="s">
        <v>1565</v>
      </c>
    </row>
    <row r="159" spans="1:6" x14ac:dyDescent="0.25">
      <c r="A159" t="s">
        <v>2567</v>
      </c>
      <c r="F159" t="s">
        <v>1565</v>
      </c>
    </row>
    <row r="160" spans="1:6" x14ac:dyDescent="0.25">
      <c r="A160" t="s">
        <v>2399</v>
      </c>
      <c r="F160" t="s">
        <v>2568</v>
      </c>
    </row>
    <row r="161" spans="1:6" x14ac:dyDescent="0.25">
      <c r="A161" t="s">
        <v>2400</v>
      </c>
      <c r="F161" t="s">
        <v>2569</v>
      </c>
    </row>
    <row r="162" spans="1:6" x14ac:dyDescent="0.25">
      <c r="A162" t="s">
        <v>810</v>
      </c>
      <c r="F162" t="s">
        <v>2570</v>
      </c>
    </row>
    <row r="163" spans="1:6" x14ac:dyDescent="0.25">
      <c r="A163" t="s">
        <v>2408</v>
      </c>
      <c r="F163" t="s">
        <v>2560</v>
      </c>
    </row>
    <row r="164" spans="1:6" x14ac:dyDescent="0.25">
      <c r="A164" t="s">
        <v>2407</v>
      </c>
      <c r="F164" t="s">
        <v>2560</v>
      </c>
    </row>
    <row r="165" spans="1:6" x14ac:dyDescent="0.25">
      <c r="A165" t="s">
        <v>2388</v>
      </c>
      <c r="F165" t="s">
        <v>2560</v>
      </c>
    </row>
    <row r="166" spans="1:6" x14ac:dyDescent="0.25">
      <c r="A166" t="s">
        <v>2386</v>
      </c>
      <c r="F166" t="s">
        <v>2560</v>
      </c>
    </row>
    <row r="167" spans="1:6" x14ac:dyDescent="0.25">
      <c r="A167" t="s">
        <v>2438</v>
      </c>
      <c r="F167" t="s">
        <v>2571</v>
      </c>
    </row>
    <row r="168" spans="1:6" x14ac:dyDescent="0.25">
      <c r="A168" t="s">
        <v>2382</v>
      </c>
      <c r="F168" t="s">
        <v>2571</v>
      </c>
    </row>
    <row r="169" spans="1:6" x14ac:dyDescent="0.25">
      <c r="A169" t="s">
        <v>2439</v>
      </c>
      <c r="F169" t="s">
        <v>2571</v>
      </c>
    </row>
    <row r="170" spans="1:6" x14ac:dyDescent="0.25">
      <c r="A170" t="s">
        <v>2409</v>
      </c>
      <c r="F170" t="s">
        <v>2572</v>
      </c>
    </row>
    <row r="171" spans="1:6" x14ac:dyDescent="0.25">
      <c r="A171" t="s">
        <v>2416</v>
      </c>
      <c r="F171" t="s">
        <v>2572</v>
      </c>
    </row>
    <row r="172" spans="1:6" x14ac:dyDescent="0.25">
      <c r="A172" t="s">
        <v>2415</v>
      </c>
      <c r="F172" t="s">
        <v>2572</v>
      </c>
    </row>
    <row r="173" spans="1:6" x14ac:dyDescent="0.25">
      <c r="A173" t="s">
        <v>2417</v>
      </c>
      <c r="F173" t="s">
        <v>2573</v>
      </c>
    </row>
    <row r="174" spans="1:6" x14ac:dyDescent="0.25">
      <c r="A174" t="s">
        <v>2410</v>
      </c>
      <c r="F174" t="s">
        <v>2573</v>
      </c>
    </row>
    <row r="175" spans="1:6" x14ac:dyDescent="0.25">
      <c r="A175" t="s">
        <v>2414</v>
      </c>
      <c r="F175" t="s">
        <v>2573</v>
      </c>
    </row>
    <row r="176" spans="1:6" x14ac:dyDescent="0.25">
      <c r="A176" t="s">
        <v>2412</v>
      </c>
      <c r="F176" t="s">
        <v>2560</v>
      </c>
    </row>
    <row r="177" spans="1:6" x14ac:dyDescent="0.25">
      <c r="A177" t="s">
        <v>2413</v>
      </c>
      <c r="F177" t="s">
        <v>2560</v>
      </c>
    </row>
    <row r="178" spans="1:6" x14ac:dyDescent="0.25">
      <c r="A178" t="s">
        <v>2419</v>
      </c>
      <c r="F178" t="s">
        <v>2560</v>
      </c>
    </row>
    <row r="179" spans="1:6" x14ac:dyDescent="0.25">
      <c r="A179" t="s">
        <v>2418</v>
      </c>
      <c r="F179" t="s">
        <v>2560</v>
      </c>
    </row>
    <row r="180" spans="1:6" x14ac:dyDescent="0.25">
      <c r="A180" t="s">
        <v>2411</v>
      </c>
      <c r="F180" t="s">
        <v>2560</v>
      </c>
    </row>
    <row r="181" spans="1:6" x14ac:dyDescent="0.25">
      <c r="A181" t="s">
        <v>2440</v>
      </c>
      <c r="F181" t="s">
        <v>2574</v>
      </c>
    </row>
    <row r="182" spans="1:6" x14ac:dyDescent="0.25">
      <c r="A182" t="s">
        <v>891</v>
      </c>
      <c r="F182" t="s">
        <v>2575</v>
      </c>
    </row>
    <row r="183" spans="1:6" x14ac:dyDescent="0.25">
      <c r="A183" t="s">
        <v>819</v>
      </c>
    </row>
    <row r="184" spans="1:6" x14ac:dyDescent="0.25">
      <c r="A184" s="26" t="s">
        <v>2576</v>
      </c>
    </row>
    <row r="185" spans="1:6" x14ac:dyDescent="0.25">
      <c r="A185" t="s">
        <v>877</v>
      </c>
    </row>
    <row r="186" spans="1:6" x14ac:dyDescent="0.25">
      <c r="A186" t="s">
        <v>880</v>
      </c>
    </row>
    <row r="187" spans="1:6" x14ac:dyDescent="0.25">
      <c r="A187" t="s">
        <v>885</v>
      </c>
    </row>
    <row r="188" spans="1:6" x14ac:dyDescent="0.25">
      <c r="A188" t="s">
        <v>854</v>
      </c>
      <c r="F188" t="s">
        <v>2577</v>
      </c>
    </row>
    <row r="189" spans="1:6" x14ac:dyDescent="0.25">
      <c r="A189" t="s">
        <v>888</v>
      </c>
    </row>
    <row r="190" spans="1:6" x14ac:dyDescent="0.25">
      <c r="A190" t="s">
        <v>2485</v>
      </c>
    </row>
    <row r="191" spans="1:6" x14ac:dyDescent="0.25">
      <c r="A191" t="s">
        <v>2578</v>
      </c>
    </row>
    <row r="192" spans="1:6" x14ac:dyDescent="0.25">
      <c r="A192" t="s">
        <v>785</v>
      </c>
    </row>
    <row r="193" spans="1:6" x14ac:dyDescent="0.25">
      <c r="A193" t="s">
        <v>2422</v>
      </c>
    </row>
    <row r="194" spans="1:6" x14ac:dyDescent="0.25">
      <c r="A194" t="s">
        <v>2421</v>
      </c>
    </row>
    <row r="195" spans="1:6" x14ac:dyDescent="0.25">
      <c r="A195" t="s">
        <v>2579</v>
      </c>
      <c r="F195" t="s">
        <v>2580</v>
      </c>
    </row>
    <row r="196" spans="1:6" x14ac:dyDescent="0.25">
      <c r="A196" t="s">
        <v>2581</v>
      </c>
      <c r="F196" t="s">
        <v>2580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B8B0-2DA5-452B-B75B-57B2E27A72EE}">
  <dimension ref="A1:D48"/>
  <sheetViews>
    <sheetView workbookViewId="0">
      <selection activeCell="B4" sqref="B4"/>
    </sheetView>
  </sheetViews>
  <sheetFormatPr defaultRowHeight="15" x14ac:dyDescent="0.25"/>
  <cols>
    <col min="1" max="1" width="31.140625" customWidth="1"/>
    <col min="2" max="2" width="47" customWidth="1"/>
    <col min="3" max="3" width="58.28515625" customWidth="1"/>
    <col min="4" max="4" width="87" customWidth="1"/>
  </cols>
  <sheetData>
    <row r="1" spans="1:4" x14ac:dyDescent="0.25">
      <c r="A1" s="12" t="s">
        <v>740</v>
      </c>
      <c r="B1" s="12" t="s">
        <v>753</v>
      </c>
      <c r="C1" s="14" t="s">
        <v>754</v>
      </c>
      <c r="D1" s="12" t="s">
        <v>755</v>
      </c>
    </row>
    <row r="2" spans="1:4" x14ac:dyDescent="0.25">
      <c r="A2" s="15" t="s">
        <v>756</v>
      </c>
      <c r="B2" s="15" t="s">
        <v>757</v>
      </c>
      <c r="C2" s="13" t="s">
        <v>758</v>
      </c>
      <c r="D2" s="15" t="s">
        <v>750</v>
      </c>
    </row>
    <row r="3" spans="1:4" x14ac:dyDescent="0.25">
      <c r="A3" s="15" t="s">
        <v>794</v>
      </c>
      <c r="B3" s="15" t="s">
        <v>795</v>
      </c>
      <c r="C3" s="13" t="s">
        <v>758</v>
      </c>
      <c r="D3" s="15" t="s">
        <v>796</v>
      </c>
    </row>
    <row r="4" spans="1:4" ht="30" x14ac:dyDescent="0.25">
      <c r="A4" s="15" t="s">
        <v>767</v>
      </c>
      <c r="B4" s="15" t="s">
        <v>768</v>
      </c>
      <c r="C4" s="13" t="s">
        <v>758</v>
      </c>
      <c r="D4" s="15" t="s">
        <v>769</v>
      </c>
    </row>
    <row r="5" spans="1:4" x14ac:dyDescent="0.25">
      <c r="A5" s="15" t="s">
        <v>800</v>
      </c>
      <c r="B5" s="15" t="s">
        <v>801</v>
      </c>
      <c r="C5" s="13" t="s">
        <v>802</v>
      </c>
      <c r="D5" s="15" t="s">
        <v>803</v>
      </c>
    </row>
    <row r="6" spans="1:4" x14ac:dyDescent="0.25">
      <c r="A6" s="15" t="s">
        <v>853</v>
      </c>
      <c r="B6" s="15" t="s">
        <v>854</v>
      </c>
      <c r="C6" s="13" t="s">
        <v>758</v>
      </c>
      <c r="D6" s="15" t="s">
        <v>855</v>
      </c>
    </row>
    <row r="7" spans="1:4" x14ac:dyDescent="0.25">
      <c r="A7" s="15" t="s">
        <v>859</v>
      </c>
      <c r="B7" s="15" t="s">
        <v>860</v>
      </c>
      <c r="C7" s="13" t="s">
        <v>758</v>
      </c>
      <c r="D7" s="15" t="s">
        <v>861</v>
      </c>
    </row>
    <row r="8" spans="1:4" x14ac:dyDescent="0.25">
      <c r="A8" s="15" t="s">
        <v>819</v>
      </c>
      <c r="B8" s="15" t="s">
        <v>820</v>
      </c>
      <c r="C8" s="13" t="s">
        <v>772</v>
      </c>
      <c r="D8" s="15" t="s">
        <v>821</v>
      </c>
    </row>
    <row r="9" spans="1:4" x14ac:dyDescent="0.25">
      <c r="A9" s="15" t="s">
        <v>838</v>
      </c>
      <c r="B9" s="15" t="s">
        <v>839</v>
      </c>
      <c r="C9" s="13" t="s">
        <v>772</v>
      </c>
      <c r="D9" s="15" t="s">
        <v>840</v>
      </c>
    </row>
    <row r="10" spans="1:4" x14ac:dyDescent="0.25">
      <c r="A10" s="15" t="s">
        <v>874</v>
      </c>
      <c r="B10" s="15" t="s">
        <v>875</v>
      </c>
      <c r="C10" s="13" t="s">
        <v>772</v>
      </c>
      <c r="D10" s="15" t="s">
        <v>876</v>
      </c>
    </row>
    <row r="11" spans="1:4" x14ac:dyDescent="0.25">
      <c r="A11" s="15" t="s">
        <v>791</v>
      </c>
      <c r="B11" s="15" t="s">
        <v>792</v>
      </c>
      <c r="C11" s="13" t="s">
        <v>758</v>
      </c>
      <c r="D11" s="15" t="s">
        <v>793</v>
      </c>
    </row>
    <row r="12" spans="1:4" x14ac:dyDescent="0.25">
      <c r="A12" s="15" t="s">
        <v>865</v>
      </c>
      <c r="B12" s="15" t="s">
        <v>866</v>
      </c>
      <c r="C12" s="13" t="s">
        <v>772</v>
      </c>
      <c r="D12" s="15" t="s">
        <v>867</v>
      </c>
    </row>
    <row r="13" spans="1:4" x14ac:dyDescent="0.25">
      <c r="A13" s="15" t="s">
        <v>844</v>
      </c>
      <c r="B13" s="15" t="s">
        <v>845</v>
      </c>
      <c r="C13" s="13" t="s">
        <v>758</v>
      </c>
      <c r="D13" s="15" t="s">
        <v>846</v>
      </c>
    </row>
    <row r="14" spans="1:4" x14ac:dyDescent="0.25">
      <c r="A14" s="15" t="s">
        <v>862</v>
      </c>
      <c r="B14" s="15" t="s">
        <v>863</v>
      </c>
      <c r="C14" s="13" t="s">
        <v>772</v>
      </c>
      <c r="D14" s="15" t="s">
        <v>864</v>
      </c>
    </row>
    <row r="15" spans="1:4" ht="30" x14ac:dyDescent="0.25">
      <c r="A15" s="15" t="s">
        <v>882</v>
      </c>
      <c r="B15" s="15" t="s">
        <v>883</v>
      </c>
      <c r="C15" s="13" t="s">
        <v>802</v>
      </c>
      <c r="D15" s="15" t="s">
        <v>884</v>
      </c>
    </row>
    <row r="16" spans="1:4" x14ac:dyDescent="0.25">
      <c r="A16" s="15" t="s">
        <v>782</v>
      </c>
      <c r="B16" s="15" t="s">
        <v>783</v>
      </c>
      <c r="C16" s="13" t="s">
        <v>772</v>
      </c>
      <c r="D16" s="15" t="s">
        <v>784</v>
      </c>
    </row>
    <row r="17" spans="1:4" x14ac:dyDescent="0.25">
      <c r="A17" s="15" t="s">
        <v>841</v>
      </c>
      <c r="B17" s="15" t="s">
        <v>842</v>
      </c>
      <c r="C17" s="13" t="s">
        <v>758</v>
      </c>
      <c r="D17" s="15" t="s">
        <v>843</v>
      </c>
    </row>
    <row r="18" spans="1:4" x14ac:dyDescent="0.25">
      <c r="A18" s="15" t="s">
        <v>830</v>
      </c>
      <c r="B18" s="15" t="s">
        <v>724</v>
      </c>
      <c r="C18" s="13" t="s">
        <v>760</v>
      </c>
      <c r="D18" s="15" t="s">
        <v>831</v>
      </c>
    </row>
    <row r="19" spans="1:4" x14ac:dyDescent="0.25">
      <c r="A19" s="15" t="s">
        <v>774</v>
      </c>
      <c r="B19" s="15" t="s">
        <v>775</v>
      </c>
      <c r="C19" s="13" t="s">
        <v>758</v>
      </c>
      <c r="D19" s="15" t="s">
        <v>776</v>
      </c>
    </row>
    <row r="20" spans="1:4" x14ac:dyDescent="0.25">
      <c r="A20" s="15" t="s">
        <v>777</v>
      </c>
      <c r="B20" s="15" t="s">
        <v>778</v>
      </c>
      <c r="C20" s="13" t="s">
        <v>758</v>
      </c>
      <c r="D20" s="15" t="s">
        <v>779</v>
      </c>
    </row>
    <row r="21" spans="1:4" x14ac:dyDescent="0.25">
      <c r="A21" s="15" t="s">
        <v>824</v>
      </c>
      <c r="B21" s="15" t="s">
        <v>825</v>
      </c>
      <c r="C21" s="13" t="s">
        <v>772</v>
      </c>
      <c r="D21" s="15" t="s">
        <v>826</v>
      </c>
    </row>
    <row r="22" spans="1:4" ht="30" x14ac:dyDescent="0.25">
      <c r="A22" s="15" t="s">
        <v>788</v>
      </c>
      <c r="B22" s="15" t="s">
        <v>789</v>
      </c>
      <c r="C22" s="13" t="s">
        <v>772</v>
      </c>
      <c r="D22" s="15" t="s">
        <v>790</v>
      </c>
    </row>
    <row r="23" spans="1:4" x14ac:dyDescent="0.25">
      <c r="A23" s="15" t="s">
        <v>813</v>
      </c>
      <c r="B23" s="15" t="s">
        <v>814</v>
      </c>
      <c r="C23" s="13" t="s">
        <v>758</v>
      </c>
      <c r="D23" s="15" t="s">
        <v>815</v>
      </c>
    </row>
    <row r="24" spans="1:4" x14ac:dyDescent="0.25">
      <c r="A24" s="15" t="s">
        <v>822</v>
      </c>
      <c r="B24" s="15" t="s">
        <v>669</v>
      </c>
      <c r="C24" s="13" t="s">
        <v>758</v>
      </c>
      <c r="D24" s="15" t="s">
        <v>823</v>
      </c>
    </row>
    <row r="25" spans="1:4" x14ac:dyDescent="0.25">
      <c r="A25" s="15" t="s">
        <v>856</v>
      </c>
      <c r="B25" s="15" t="s">
        <v>857</v>
      </c>
      <c r="C25" s="13" t="s">
        <v>758</v>
      </c>
      <c r="D25" s="15" t="s">
        <v>858</v>
      </c>
    </row>
    <row r="26" spans="1:4" x14ac:dyDescent="0.25">
      <c r="A26" s="15" t="s">
        <v>804</v>
      </c>
      <c r="B26" s="15" t="s">
        <v>805</v>
      </c>
      <c r="C26" s="13" t="s">
        <v>772</v>
      </c>
      <c r="D26" s="15" t="s">
        <v>806</v>
      </c>
    </row>
    <row r="27" spans="1:4" x14ac:dyDescent="0.25">
      <c r="A27" s="15" t="s">
        <v>780</v>
      </c>
      <c r="B27" s="15" t="s">
        <v>778</v>
      </c>
      <c r="C27" s="13" t="s">
        <v>758</v>
      </c>
      <c r="D27" s="15" t="s">
        <v>781</v>
      </c>
    </row>
    <row r="28" spans="1:4" x14ac:dyDescent="0.25">
      <c r="A28" s="15" t="s">
        <v>827</v>
      </c>
      <c r="B28" s="15" t="s">
        <v>828</v>
      </c>
      <c r="C28" s="13" t="s">
        <v>772</v>
      </c>
      <c r="D28" s="15" t="s">
        <v>829</v>
      </c>
    </row>
    <row r="29" spans="1:4" ht="30" x14ac:dyDescent="0.25">
      <c r="A29" s="15" t="s">
        <v>807</v>
      </c>
      <c r="B29" s="15" t="s">
        <v>808</v>
      </c>
      <c r="C29" s="13" t="s">
        <v>802</v>
      </c>
      <c r="D29" s="15" t="s">
        <v>809</v>
      </c>
    </row>
    <row r="30" spans="1:4" x14ac:dyDescent="0.25">
      <c r="A30" s="15" t="s">
        <v>762</v>
      </c>
      <c r="B30" s="15" t="s">
        <v>763</v>
      </c>
      <c r="C30" s="13" t="s">
        <v>758</v>
      </c>
      <c r="D30" s="15" t="s">
        <v>752</v>
      </c>
    </row>
    <row r="31" spans="1:4" ht="30" x14ac:dyDescent="0.25">
      <c r="A31" s="15" t="s">
        <v>850</v>
      </c>
      <c r="B31" s="15" t="s">
        <v>851</v>
      </c>
      <c r="C31" s="13" t="s">
        <v>758</v>
      </c>
      <c r="D31" s="15" t="s">
        <v>852</v>
      </c>
    </row>
    <row r="32" spans="1:4" x14ac:dyDescent="0.25">
      <c r="A32" s="15" t="s">
        <v>891</v>
      </c>
      <c r="B32" s="15" t="s">
        <v>892</v>
      </c>
      <c r="C32" s="13" t="s">
        <v>772</v>
      </c>
      <c r="D32" s="15" t="s">
        <v>893</v>
      </c>
    </row>
    <row r="33" spans="1:4" x14ac:dyDescent="0.25">
      <c r="A33" s="15" t="s">
        <v>871</v>
      </c>
      <c r="B33" s="15" t="s">
        <v>872</v>
      </c>
      <c r="C33" s="13" t="s">
        <v>772</v>
      </c>
      <c r="D33" s="15" t="s">
        <v>873</v>
      </c>
    </row>
    <row r="34" spans="1:4" x14ac:dyDescent="0.25">
      <c r="A34" s="15" t="s">
        <v>764</v>
      </c>
      <c r="B34" s="15" t="s">
        <v>765</v>
      </c>
      <c r="C34" s="13" t="s">
        <v>758</v>
      </c>
      <c r="D34" s="15" t="s">
        <v>766</v>
      </c>
    </row>
    <row r="35" spans="1:4" x14ac:dyDescent="0.25">
      <c r="A35" s="15" t="s">
        <v>770</v>
      </c>
      <c r="B35" s="15" t="s">
        <v>771</v>
      </c>
      <c r="C35" s="13" t="s">
        <v>772</v>
      </c>
      <c r="D35" s="15" t="s">
        <v>773</v>
      </c>
    </row>
    <row r="36" spans="1:4" ht="30" x14ac:dyDescent="0.25">
      <c r="A36" s="15" t="s">
        <v>877</v>
      </c>
      <c r="B36" s="15" t="s">
        <v>878</v>
      </c>
      <c r="C36" s="13" t="s">
        <v>802</v>
      </c>
      <c r="D36" s="15" t="s">
        <v>879</v>
      </c>
    </row>
    <row r="37" spans="1:4" x14ac:dyDescent="0.25">
      <c r="A37" s="15" t="s">
        <v>759</v>
      </c>
      <c r="B37" s="15" t="s">
        <v>506</v>
      </c>
      <c r="C37" s="13" t="s">
        <v>760</v>
      </c>
      <c r="D37" s="15" t="s">
        <v>761</v>
      </c>
    </row>
    <row r="38" spans="1:4" x14ac:dyDescent="0.25">
      <c r="A38" s="15" t="s">
        <v>847</v>
      </c>
      <c r="B38" s="15" t="s">
        <v>848</v>
      </c>
      <c r="C38" s="13" t="s">
        <v>758</v>
      </c>
      <c r="D38" s="15" t="s">
        <v>849</v>
      </c>
    </row>
    <row r="39" spans="1:4" x14ac:dyDescent="0.25">
      <c r="A39" s="15" t="s">
        <v>832</v>
      </c>
      <c r="B39" s="15" t="s">
        <v>833</v>
      </c>
      <c r="C39" s="13" t="s">
        <v>772</v>
      </c>
      <c r="D39" s="15" t="s">
        <v>834</v>
      </c>
    </row>
    <row r="40" spans="1:4" x14ac:dyDescent="0.25">
      <c r="A40" s="15" t="s">
        <v>885</v>
      </c>
      <c r="B40" s="15" t="s">
        <v>886</v>
      </c>
      <c r="C40" s="13" t="s">
        <v>772</v>
      </c>
      <c r="D40" s="15" t="s">
        <v>887</v>
      </c>
    </row>
    <row r="41" spans="1:4" x14ac:dyDescent="0.25">
      <c r="A41" s="15" t="s">
        <v>868</v>
      </c>
      <c r="B41" s="15" t="s">
        <v>869</v>
      </c>
      <c r="C41" s="13" t="s">
        <v>772</v>
      </c>
      <c r="D41" s="15" t="s">
        <v>870</v>
      </c>
    </row>
    <row r="42" spans="1:4" ht="30" x14ac:dyDescent="0.25">
      <c r="A42" s="15" t="s">
        <v>785</v>
      </c>
      <c r="B42" s="15" t="s">
        <v>786</v>
      </c>
      <c r="C42" s="13" t="s">
        <v>772</v>
      </c>
      <c r="D42" s="15" t="s">
        <v>787</v>
      </c>
    </row>
    <row r="43" spans="1:4" x14ac:dyDescent="0.25">
      <c r="A43" s="15" t="s">
        <v>810</v>
      </c>
      <c r="B43" s="15" t="s">
        <v>811</v>
      </c>
      <c r="C43" s="13" t="s">
        <v>758</v>
      </c>
      <c r="D43" s="15" t="s">
        <v>812</v>
      </c>
    </row>
    <row r="44" spans="1:4" x14ac:dyDescent="0.25">
      <c r="A44" s="15" t="s">
        <v>835</v>
      </c>
      <c r="B44" s="15" t="s">
        <v>836</v>
      </c>
      <c r="C44" s="13" t="s">
        <v>758</v>
      </c>
      <c r="D44" s="15" t="s">
        <v>837</v>
      </c>
    </row>
    <row r="45" spans="1:4" x14ac:dyDescent="0.25">
      <c r="A45" s="15" t="s">
        <v>880</v>
      </c>
      <c r="B45" s="15" t="s">
        <v>877</v>
      </c>
      <c r="C45" s="13" t="s">
        <v>758</v>
      </c>
      <c r="D45" s="15" t="s">
        <v>881</v>
      </c>
    </row>
    <row r="46" spans="1:4" x14ac:dyDescent="0.25">
      <c r="A46" s="15" t="s">
        <v>816</v>
      </c>
      <c r="B46" s="15" t="s">
        <v>817</v>
      </c>
      <c r="C46" s="13" t="s">
        <v>772</v>
      </c>
      <c r="D46" s="15" t="s">
        <v>818</v>
      </c>
    </row>
    <row r="47" spans="1:4" x14ac:dyDescent="0.25">
      <c r="A47" s="15" t="s">
        <v>888</v>
      </c>
      <c r="B47" s="15" t="s">
        <v>889</v>
      </c>
      <c r="C47" s="13" t="s">
        <v>772</v>
      </c>
      <c r="D47" s="15" t="s">
        <v>890</v>
      </c>
    </row>
    <row r="48" spans="1:4" x14ac:dyDescent="0.25">
      <c r="A48" s="15" t="s">
        <v>797</v>
      </c>
      <c r="B48" s="15" t="s">
        <v>798</v>
      </c>
      <c r="C48" s="13" t="s">
        <v>758</v>
      </c>
      <c r="D48" s="15" t="s">
        <v>799</v>
      </c>
    </row>
  </sheetData>
  <autoFilter ref="A1:D1" xr:uid="{CA15B8B0-2DA5-452B-B75B-57B2E27A72EE}">
    <sortState xmlns:xlrd2="http://schemas.microsoft.com/office/spreadsheetml/2017/richdata2" ref="A2:D48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A404-33E6-41C6-9905-706A11AA800D}">
  <dimension ref="A1:E140"/>
  <sheetViews>
    <sheetView topLeftCell="A93" workbookViewId="0">
      <selection sqref="A1:E140"/>
    </sheetView>
  </sheetViews>
  <sheetFormatPr defaultRowHeight="15" x14ac:dyDescent="0.25"/>
  <cols>
    <col min="1" max="1" width="59.42578125" bestFit="1" customWidth="1"/>
    <col min="2" max="2" width="13" customWidth="1"/>
    <col min="3" max="3" width="31.42578125" customWidth="1"/>
  </cols>
  <sheetData>
    <row r="1" spans="1:5" x14ac:dyDescent="0.25">
      <c r="A1" t="s">
        <v>740</v>
      </c>
      <c r="B1" t="s">
        <v>741</v>
      </c>
      <c r="C1" t="s">
        <v>740</v>
      </c>
      <c r="D1" t="s">
        <v>742</v>
      </c>
      <c r="E1" t="s">
        <v>743</v>
      </c>
    </row>
    <row r="2" spans="1:5" x14ac:dyDescent="0.25">
      <c r="A2" t="s">
        <v>607</v>
      </c>
      <c r="B2" t="s">
        <v>608</v>
      </c>
      <c r="C2" t="s">
        <v>607</v>
      </c>
      <c r="D2">
        <v>2.1070000000000002</v>
      </c>
      <c r="E2">
        <v>8.4139999999999997</v>
      </c>
    </row>
    <row r="3" spans="1:5" x14ac:dyDescent="0.25">
      <c r="A3" t="s">
        <v>464</v>
      </c>
      <c r="B3" t="s">
        <v>463</v>
      </c>
      <c r="C3" t="s">
        <v>464</v>
      </c>
      <c r="D3">
        <v>1.202</v>
      </c>
      <c r="E3">
        <v>4.0579999999999998</v>
      </c>
    </row>
    <row r="4" spans="1:5" x14ac:dyDescent="0.25">
      <c r="A4" t="s">
        <v>696</v>
      </c>
      <c r="B4" t="s">
        <v>697</v>
      </c>
      <c r="C4" t="s">
        <v>696</v>
      </c>
      <c r="D4">
        <v>3.4260000000000002</v>
      </c>
      <c r="E4">
        <v>7.1849999999999996</v>
      </c>
    </row>
    <row r="5" spans="1:5" x14ac:dyDescent="0.25">
      <c r="A5" t="s">
        <v>680</v>
      </c>
      <c r="B5" t="s">
        <v>681</v>
      </c>
      <c r="C5" t="s">
        <v>680</v>
      </c>
      <c r="D5">
        <v>793</v>
      </c>
      <c r="E5">
        <v>4.9960000000000004</v>
      </c>
    </row>
    <row r="6" spans="1:5" x14ac:dyDescent="0.25">
      <c r="A6" t="s">
        <v>585</v>
      </c>
      <c r="B6" t="s">
        <v>586</v>
      </c>
      <c r="C6" t="s">
        <v>585</v>
      </c>
      <c r="D6">
        <v>16.343</v>
      </c>
      <c r="E6">
        <v>18.962</v>
      </c>
    </row>
    <row r="7" spans="1:5" x14ac:dyDescent="0.25">
      <c r="A7" t="s">
        <v>609</v>
      </c>
      <c r="B7" t="s">
        <v>610</v>
      </c>
      <c r="C7" t="s">
        <v>609</v>
      </c>
      <c r="D7">
        <v>352</v>
      </c>
      <c r="E7">
        <v>1.901</v>
      </c>
    </row>
    <row r="8" spans="1:5" x14ac:dyDescent="0.25">
      <c r="A8" t="s">
        <v>544</v>
      </c>
      <c r="B8" t="s">
        <v>543</v>
      </c>
      <c r="C8" t="s">
        <v>544</v>
      </c>
      <c r="D8">
        <v>16.841000000000001</v>
      </c>
      <c r="E8">
        <v>25.908999999999999</v>
      </c>
    </row>
    <row r="9" spans="1:5" x14ac:dyDescent="0.25">
      <c r="A9" t="s">
        <v>466</v>
      </c>
      <c r="B9" t="s">
        <v>465</v>
      </c>
      <c r="C9" t="s">
        <v>466</v>
      </c>
      <c r="D9">
        <v>5.242</v>
      </c>
      <c r="E9">
        <v>10.238</v>
      </c>
    </row>
    <row r="10" spans="1:5" x14ac:dyDescent="0.25">
      <c r="A10" t="s">
        <v>611</v>
      </c>
      <c r="B10" t="s">
        <v>612</v>
      </c>
      <c r="C10" t="s">
        <v>611</v>
      </c>
      <c r="D10">
        <v>608</v>
      </c>
      <c r="E10">
        <v>3.0030000000000001</v>
      </c>
    </row>
    <row r="11" spans="1:5" x14ac:dyDescent="0.25">
      <c r="A11" t="s">
        <v>551</v>
      </c>
      <c r="B11" t="s">
        <v>552</v>
      </c>
      <c r="C11" t="s">
        <v>551</v>
      </c>
      <c r="D11">
        <v>498</v>
      </c>
      <c r="E11">
        <v>2.9780000000000002</v>
      </c>
    </row>
    <row r="12" spans="1:5" x14ac:dyDescent="0.25">
      <c r="A12" t="s">
        <v>615</v>
      </c>
      <c r="B12" t="s">
        <v>616</v>
      </c>
      <c r="C12" t="s">
        <v>615</v>
      </c>
      <c r="D12">
        <v>394</v>
      </c>
      <c r="E12">
        <v>2.0659999999999998</v>
      </c>
    </row>
    <row r="13" spans="1:5" x14ac:dyDescent="0.25">
      <c r="A13" t="s">
        <v>613</v>
      </c>
      <c r="B13" t="s">
        <v>614</v>
      </c>
      <c r="C13" t="s">
        <v>613</v>
      </c>
      <c r="D13">
        <v>2.4319999999999999</v>
      </c>
      <c r="E13">
        <v>11.282999999999999</v>
      </c>
    </row>
    <row r="14" spans="1:5" x14ac:dyDescent="0.25">
      <c r="A14" t="s">
        <v>474</v>
      </c>
      <c r="B14" t="s">
        <v>473</v>
      </c>
      <c r="C14" t="s">
        <v>474</v>
      </c>
      <c r="D14">
        <v>1.9239999999999999</v>
      </c>
      <c r="E14">
        <v>3.3519999999999999</v>
      </c>
    </row>
    <row r="15" spans="1:5" x14ac:dyDescent="0.25">
      <c r="A15" t="s">
        <v>470</v>
      </c>
      <c r="B15" t="s">
        <v>469</v>
      </c>
      <c r="C15" t="s">
        <v>470</v>
      </c>
      <c r="D15">
        <v>14.538</v>
      </c>
      <c r="E15">
        <v>22.416</v>
      </c>
    </row>
    <row r="16" spans="1:5" x14ac:dyDescent="0.25">
      <c r="A16" t="s">
        <v>553</v>
      </c>
      <c r="B16" t="s">
        <v>554</v>
      </c>
      <c r="C16" t="s">
        <v>553</v>
      </c>
      <c r="D16">
        <v>526</v>
      </c>
      <c r="E16">
        <v>2.8029999999999999</v>
      </c>
    </row>
    <row r="17" spans="1:5" x14ac:dyDescent="0.25">
      <c r="A17" t="s">
        <v>684</v>
      </c>
      <c r="B17" t="s">
        <v>685</v>
      </c>
      <c r="C17" t="s">
        <v>684</v>
      </c>
      <c r="D17">
        <v>372</v>
      </c>
      <c r="E17">
        <v>3.3839999999999999</v>
      </c>
    </row>
    <row r="18" spans="1:5" x14ac:dyDescent="0.25">
      <c r="A18" t="s">
        <v>549</v>
      </c>
      <c r="B18" t="s">
        <v>550</v>
      </c>
      <c r="C18" t="s">
        <v>549</v>
      </c>
      <c r="D18">
        <v>1.8540000000000001</v>
      </c>
      <c r="E18">
        <v>4.6340000000000003</v>
      </c>
    </row>
    <row r="19" spans="1:5" x14ac:dyDescent="0.25">
      <c r="A19" t="s">
        <v>587</v>
      </c>
      <c r="B19" t="s">
        <v>588</v>
      </c>
      <c r="C19" t="s">
        <v>587</v>
      </c>
      <c r="D19">
        <v>1.238</v>
      </c>
      <c r="E19">
        <v>5.452</v>
      </c>
    </row>
    <row r="20" spans="1:5" x14ac:dyDescent="0.25">
      <c r="A20" t="s">
        <v>468</v>
      </c>
      <c r="B20" t="s">
        <v>467</v>
      </c>
      <c r="C20" t="s">
        <v>468</v>
      </c>
      <c r="D20">
        <v>1.417</v>
      </c>
      <c r="E20">
        <v>5.0209999999999999</v>
      </c>
    </row>
    <row r="21" spans="1:5" x14ac:dyDescent="0.25">
      <c r="A21" t="s">
        <v>589</v>
      </c>
      <c r="B21" t="s">
        <v>590</v>
      </c>
      <c r="C21" t="s">
        <v>589</v>
      </c>
      <c r="D21">
        <v>23.007000000000001</v>
      </c>
      <c r="E21">
        <v>44.957000000000001</v>
      </c>
    </row>
    <row r="22" spans="1:5" x14ac:dyDescent="0.25">
      <c r="A22" t="s">
        <v>472</v>
      </c>
      <c r="B22" t="s">
        <v>471</v>
      </c>
      <c r="C22" t="s">
        <v>472</v>
      </c>
      <c r="D22">
        <v>2.746</v>
      </c>
      <c r="E22">
        <v>7.6280000000000001</v>
      </c>
    </row>
    <row r="23" spans="1:5" x14ac:dyDescent="0.25">
      <c r="A23" t="s">
        <v>682</v>
      </c>
      <c r="B23" t="s">
        <v>683</v>
      </c>
      <c r="C23" t="s">
        <v>682</v>
      </c>
      <c r="D23">
        <v>703</v>
      </c>
      <c r="E23">
        <v>5.3</v>
      </c>
    </row>
    <row r="24" spans="1:5" x14ac:dyDescent="0.25">
      <c r="A24" t="s">
        <v>692</v>
      </c>
      <c r="B24" t="s">
        <v>693</v>
      </c>
      <c r="C24" t="s">
        <v>692</v>
      </c>
      <c r="D24">
        <v>2.4780000000000002</v>
      </c>
      <c r="E24">
        <v>8.6080000000000005</v>
      </c>
    </row>
    <row r="25" spans="1:5" x14ac:dyDescent="0.25">
      <c r="A25" t="s">
        <v>555</v>
      </c>
      <c r="B25" t="s">
        <v>556</v>
      </c>
      <c r="C25" t="s">
        <v>555</v>
      </c>
      <c r="D25">
        <v>28.007000000000001</v>
      </c>
      <c r="E25">
        <v>36.463000000000001</v>
      </c>
    </row>
    <row r="26" spans="1:5" x14ac:dyDescent="0.25">
      <c r="A26" t="s">
        <v>694</v>
      </c>
      <c r="B26" t="s">
        <v>695</v>
      </c>
      <c r="C26" t="s">
        <v>694</v>
      </c>
      <c r="D26">
        <v>458</v>
      </c>
      <c r="E26">
        <v>3.2829999999999999</v>
      </c>
    </row>
    <row r="27" spans="1:5" x14ac:dyDescent="0.25">
      <c r="A27" t="s">
        <v>591</v>
      </c>
      <c r="B27" t="s">
        <v>592</v>
      </c>
      <c r="C27" t="s">
        <v>591</v>
      </c>
      <c r="D27">
        <v>4.2750000000000004</v>
      </c>
      <c r="E27">
        <v>11.292999999999999</v>
      </c>
    </row>
    <row r="28" spans="1:5" x14ac:dyDescent="0.25">
      <c r="A28" t="s">
        <v>617</v>
      </c>
      <c r="B28" t="s">
        <v>618</v>
      </c>
      <c r="C28" t="s">
        <v>617</v>
      </c>
      <c r="D28">
        <v>1.89</v>
      </c>
      <c r="E28">
        <v>13.108000000000001</v>
      </c>
    </row>
    <row r="29" spans="1:5" x14ac:dyDescent="0.25">
      <c r="A29" t="s">
        <v>593</v>
      </c>
      <c r="B29" t="s">
        <v>594</v>
      </c>
      <c r="C29" t="s">
        <v>593</v>
      </c>
      <c r="D29">
        <v>7.7569999999999997</v>
      </c>
      <c r="E29">
        <v>21.113</v>
      </c>
    </row>
    <row r="30" spans="1:5" x14ac:dyDescent="0.25">
      <c r="A30" t="s">
        <v>686</v>
      </c>
      <c r="B30" t="s">
        <v>687</v>
      </c>
      <c r="C30" t="s">
        <v>686</v>
      </c>
      <c r="D30">
        <v>746</v>
      </c>
      <c r="E30">
        <v>4.9619999999999997</v>
      </c>
    </row>
    <row r="31" spans="1:5" x14ac:dyDescent="0.25">
      <c r="A31" t="s">
        <v>557</v>
      </c>
      <c r="B31" t="s">
        <v>558</v>
      </c>
      <c r="C31" t="s">
        <v>557</v>
      </c>
      <c r="D31">
        <v>1.673</v>
      </c>
      <c r="E31">
        <v>7.8860000000000001</v>
      </c>
    </row>
    <row r="32" spans="1:5" x14ac:dyDescent="0.25">
      <c r="A32" t="s">
        <v>498</v>
      </c>
      <c r="B32" t="s">
        <v>497</v>
      </c>
      <c r="C32" t="s">
        <v>498</v>
      </c>
      <c r="D32">
        <v>1.9510000000000001</v>
      </c>
      <c r="E32">
        <v>3.9289999999999998</v>
      </c>
    </row>
    <row r="33" spans="1:5" x14ac:dyDescent="0.25">
      <c r="A33" t="s">
        <v>559</v>
      </c>
      <c r="B33" t="s">
        <v>560</v>
      </c>
      <c r="C33" t="s">
        <v>559</v>
      </c>
      <c r="D33">
        <v>611</v>
      </c>
      <c r="E33">
        <v>3.8730000000000002</v>
      </c>
    </row>
    <row r="34" spans="1:5" x14ac:dyDescent="0.25">
      <c r="A34" t="s">
        <v>478</v>
      </c>
      <c r="B34" t="s">
        <v>477</v>
      </c>
      <c r="C34" t="s">
        <v>478</v>
      </c>
      <c r="D34">
        <v>622</v>
      </c>
      <c r="E34">
        <v>3.641</v>
      </c>
    </row>
    <row r="35" spans="1:5" x14ac:dyDescent="0.25">
      <c r="A35" t="s">
        <v>480</v>
      </c>
      <c r="B35" t="s">
        <v>479</v>
      </c>
      <c r="C35" t="s">
        <v>480</v>
      </c>
      <c r="D35">
        <v>6.3310000000000004</v>
      </c>
      <c r="E35">
        <v>8.1530000000000005</v>
      </c>
    </row>
    <row r="36" spans="1:5" x14ac:dyDescent="0.25">
      <c r="A36" t="s">
        <v>484</v>
      </c>
      <c r="B36" t="s">
        <v>483</v>
      </c>
      <c r="C36" t="s">
        <v>484</v>
      </c>
      <c r="D36">
        <v>3.7450000000000001</v>
      </c>
      <c r="E36">
        <v>8.827</v>
      </c>
    </row>
    <row r="37" spans="1:5" x14ac:dyDescent="0.25">
      <c r="A37" t="s">
        <v>561</v>
      </c>
      <c r="B37" t="s">
        <v>562</v>
      </c>
      <c r="C37" t="s">
        <v>561</v>
      </c>
      <c r="D37">
        <v>2.2589999999999999</v>
      </c>
      <c r="E37">
        <v>10.003</v>
      </c>
    </row>
    <row r="38" spans="1:5" x14ac:dyDescent="0.25">
      <c r="A38" t="s">
        <v>595</v>
      </c>
      <c r="B38" t="s">
        <v>596</v>
      </c>
      <c r="C38" t="s">
        <v>595</v>
      </c>
      <c r="D38">
        <v>3.4580000000000002</v>
      </c>
      <c r="E38">
        <v>10.414</v>
      </c>
    </row>
    <row r="39" spans="1:5" x14ac:dyDescent="0.25">
      <c r="A39" t="s">
        <v>698</v>
      </c>
      <c r="B39" t="s">
        <v>699</v>
      </c>
      <c r="C39" t="s">
        <v>698</v>
      </c>
      <c r="D39">
        <v>6.13</v>
      </c>
      <c r="E39">
        <v>10.119999999999999</v>
      </c>
    </row>
    <row r="40" spans="1:5" x14ac:dyDescent="0.25">
      <c r="A40" t="s">
        <v>577</v>
      </c>
      <c r="B40" t="s">
        <v>578</v>
      </c>
      <c r="C40" t="s">
        <v>577</v>
      </c>
      <c r="D40">
        <v>1.2030000000000001</v>
      </c>
      <c r="E40">
        <v>5.44</v>
      </c>
    </row>
    <row r="41" spans="1:5" x14ac:dyDescent="0.25">
      <c r="A41" t="s">
        <v>486</v>
      </c>
      <c r="B41" t="s">
        <v>485</v>
      </c>
      <c r="C41" t="s">
        <v>486</v>
      </c>
      <c r="D41">
        <v>298</v>
      </c>
      <c r="E41">
        <v>2.6480000000000001</v>
      </c>
    </row>
    <row r="42" spans="1:5" x14ac:dyDescent="0.25">
      <c r="A42" t="s">
        <v>700</v>
      </c>
      <c r="B42" t="s">
        <v>701</v>
      </c>
      <c r="C42" t="s">
        <v>700</v>
      </c>
      <c r="D42">
        <v>749</v>
      </c>
      <c r="E42">
        <v>3.9169999999999998</v>
      </c>
    </row>
    <row r="43" spans="1:5" x14ac:dyDescent="0.25">
      <c r="A43" t="s">
        <v>490</v>
      </c>
      <c r="B43" t="s">
        <v>489</v>
      </c>
      <c r="C43" t="s">
        <v>490</v>
      </c>
      <c r="D43">
        <v>4.4260000000000002</v>
      </c>
      <c r="E43">
        <v>8.3710000000000004</v>
      </c>
    </row>
    <row r="44" spans="1:5" x14ac:dyDescent="0.25">
      <c r="A44" t="s">
        <v>492</v>
      </c>
      <c r="B44" t="s">
        <v>491</v>
      </c>
      <c r="C44" t="s">
        <v>492</v>
      </c>
      <c r="D44">
        <v>41.459000000000003</v>
      </c>
      <c r="E44">
        <v>38.787999999999997</v>
      </c>
    </row>
    <row r="45" spans="1:5" x14ac:dyDescent="0.25">
      <c r="A45" t="s">
        <v>619</v>
      </c>
      <c r="B45" t="s">
        <v>620</v>
      </c>
      <c r="C45" t="s">
        <v>619</v>
      </c>
      <c r="D45">
        <v>1.8149999999999999</v>
      </c>
      <c r="E45">
        <v>6.4039999999999999</v>
      </c>
    </row>
    <row r="46" spans="1:5" x14ac:dyDescent="0.25">
      <c r="A46" t="s">
        <v>482</v>
      </c>
      <c r="B46" t="s">
        <v>481</v>
      </c>
      <c r="C46" t="s">
        <v>482</v>
      </c>
      <c r="D46">
        <v>37.01</v>
      </c>
      <c r="E46">
        <v>35.015999999999998</v>
      </c>
    </row>
    <row r="47" spans="1:5" x14ac:dyDescent="0.25">
      <c r="A47" t="s">
        <v>702</v>
      </c>
      <c r="B47" t="s">
        <v>703</v>
      </c>
      <c r="C47" t="s">
        <v>702</v>
      </c>
      <c r="D47">
        <v>3.052</v>
      </c>
      <c r="E47">
        <v>8.3740000000000006</v>
      </c>
    </row>
    <row r="48" spans="1:5" x14ac:dyDescent="0.25">
      <c r="A48" t="s">
        <v>496</v>
      </c>
      <c r="B48" t="s">
        <v>495</v>
      </c>
      <c r="C48" t="s">
        <v>496</v>
      </c>
      <c r="D48">
        <v>3.0409999999999999</v>
      </c>
      <c r="E48">
        <v>6.8179999999999996</v>
      </c>
    </row>
    <row r="49" spans="1:5" x14ac:dyDescent="0.25">
      <c r="A49" t="s">
        <v>563</v>
      </c>
      <c r="B49" t="s">
        <v>564</v>
      </c>
      <c r="C49" t="s">
        <v>563</v>
      </c>
      <c r="D49">
        <v>1.9359999999999999</v>
      </c>
      <c r="E49">
        <v>8.6709999999999994</v>
      </c>
    </row>
    <row r="50" spans="1:5" x14ac:dyDescent="0.25">
      <c r="A50" t="s">
        <v>704</v>
      </c>
      <c r="B50" t="s">
        <v>705</v>
      </c>
      <c r="C50" t="s">
        <v>704</v>
      </c>
      <c r="D50">
        <v>348</v>
      </c>
      <c r="E50">
        <v>2.5619999999999998</v>
      </c>
    </row>
    <row r="51" spans="1:5" x14ac:dyDescent="0.25">
      <c r="A51" t="s">
        <v>567</v>
      </c>
      <c r="B51" t="s">
        <v>568</v>
      </c>
      <c r="C51" t="s">
        <v>567</v>
      </c>
      <c r="D51">
        <v>583</v>
      </c>
      <c r="E51">
        <v>3.4169999999999998</v>
      </c>
    </row>
    <row r="52" spans="1:5" x14ac:dyDescent="0.25">
      <c r="A52" t="s">
        <v>565</v>
      </c>
      <c r="B52" t="s">
        <v>566</v>
      </c>
      <c r="C52" t="s">
        <v>565</v>
      </c>
      <c r="D52">
        <v>1.2989999999999999</v>
      </c>
      <c r="E52">
        <v>6.86</v>
      </c>
    </row>
    <row r="53" spans="1:5" x14ac:dyDescent="0.25">
      <c r="A53" t="s">
        <v>621</v>
      </c>
      <c r="B53" t="s">
        <v>622</v>
      </c>
      <c r="C53" t="s">
        <v>621</v>
      </c>
      <c r="D53">
        <v>1.1080000000000001</v>
      </c>
      <c r="E53">
        <v>6.5549999999999997</v>
      </c>
    </row>
    <row r="54" spans="1:5" x14ac:dyDescent="0.25">
      <c r="A54" t="s">
        <v>500</v>
      </c>
      <c r="B54" t="s">
        <v>499</v>
      </c>
      <c r="C54" t="s">
        <v>500</v>
      </c>
      <c r="D54">
        <v>2.5449999999999999</v>
      </c>
      <c r="E54">
        <v>7.6189999999999998</v>
      </c>
    </row>
    <row r="55" spans="1:5" x14ac:dyDescent="0.25">
      <c r="A55" t="s">
        <v>504</v>
      </c>
      <c r="B55" t="s">
        <v>503</v>
      </c>
      <c r="C55" t="s">
        <v>504</v>
      </c>
      <c r="D55">
        <v>498</v>
      </c>
      <c r="E55">
        <v>2.3370000000000002</v>
      </c>
    </row>
    <row r="56" spans="1:5" x14ac:dyDescent="0.25">
      <c r="A56" t="s">
        <v>627</v>
      </c>
      <c r="B56" t="s">
        <v>628</v>
      </c>
      <c r="C56" t="s">
        <v>627</v>
      </c>
      <c r="D56">
        <v>12.859</v>
      </c>
      <c r="E56">
        <v>32.442999999999998</v>
      </c>
    </row>
    <row r="57" spans="1:5" x14ac:dyDescent="0.25">
      <c r="A57" t="s">
        <v>623</v>
      </c>
      <c r="B57" t="s">
        <v>624</v>
      </c>
      <c r="C57" t="s">
        <v>623</v>
      </c>
      <c r="D57">
        <v>11.978999999999999</v>
      </c>
      <c r="E57">
        <v>29.015000000000001</v>
      </c>
    </row>
    <row r="58" spans="1:5" x14ac:dyDescent="0.25">
      <c r="A58" t="s">
        <v>631</v>
      </c>
      <c r="B58" t="s">
        <v>632</v>
      </c>
      <c r="C58" t="s">
        <v>631</v>
      </c>
      <c r="D58">
        <v>2.5099999999999998</v>
      </c>
      <c r="E58">
        <v>6.548</v>
      </c>
    </row>
    <row r="59" spans="1:5" x14ac:dyDescent="0.25">
      <c r="A59" t="s">
        <v>629</v>
      </c>
      <c r="B59" t="s">
        <v>630</v>
      </c>
      <c r="C59" t="s">
        <v>629</v>
      </c>
      <c r="D59">
        <v>2.274</v>
      </c>
      <c r="E59">
        <v>7.0179999999999998</v>
      </c>
    </row>
    <row r="60" spans="1:5" x14ac:dyDescent="0.25">
      <c r="A60" t="s">
        <v>502</v>
      </c>
      <c r="B60" t="s">
        <v>501</v>
      </c>
      <c r="C60" t="s">
        <v>502</v>
      </c>
      <c r="D60">
        <v>6.7439999999999998</v>
      </c>
      <c r="E60">
        <v>13.044</v>
      </c>
    </row>
    <row r="61" spans="1:5" x14ac:dyDescent="0.25">
      <c r="A61" t="s">
        <v>625</v>
      </c>
      <c r="B61" t="s">
        <v>626</v>
      </c>
      <c r="C61" t="s">
        <v>625</v>
      </c>
      <c r="D61">
        <v>1.6859999999999999</v>
      </c>
      <c r="E61">
        <v>5.2080000000000002</v>
      </c>
    </row>
    <row r="62" spans="1:5" x14ac:dyDescent="0.25">
      <c r="A62" t="s">
        <v>506</v>
      </c>
      <c r="B62" t="s">
        <v>505</v>
      </c>
      <c r="C62" t="s">
        <v>506</v>
      </c>
      <c r="D62">
        <v>32.816000000000003</v>
      </c>
      <c r="E62">
        <v>23.773</v>
      </c>
    </row>
    <row r="63" spans="1:5" x14ac:dyDescent="0.25">
      <c r="A63" t="s">
        <v>690</v>
      </c>
      <c r="B63" t="s">
        <v>691</v>
      </c>
      <c r="C63" t="s">
        <v>690</v>
      </c>
      <c r="D63">
        <v>1.1970000000000001</v>
      </c>
      <c r="E63">
        <v>4.883</v>
      </c>
    </row>
    <row r="64" spans="1:5" x14ac:dyDescent="0.25">
      <c r="A64" t="s">
        <v>569</v>
      </c>
      <c r="B64" t="s">
        <v>570</v>
      </c>
      <c r="C64" t="s">
        <v>569</v>
      </c>
      <c r="D64">
        <v>8.0289999999999999</v>
      </c>
      <c r="E64">
        <v>16.065999999999999</v>
      </c>
    </row>
    <row r="65" spans="1:5" x14ac:dyDescent="0.25">
      <c r="A65" t="s">
        <v>635</v>
      </c>
      <c r="B65" t="s">
        <v>636</v>
      </c>
      <c r="C65" t="s">
        <v>635</v>
      </c>
      <c r="D65">
        <v>3.4449999999999998</v>
      </c>
      <c r="E65">
        <v>11.49</v>
      </c>
    </row>
    <row r="66" spans="1:5" x14ac:dyDescent="0.25">
      <c r="A66" t="s">
        <v>508</v>
      </c>
      <c r="B66" t="s">
        <v>507</v>
      </c>
      <c r="C66" t="s">
        <v>508</v>
      </c>
      <c r="D66">
        <v>1.8009999999999999</v>
      </c>
      <c r="E66">
        <v>6.0869999999999997</v>
      </c>
    </row>
    <row r="67" spans="1:5" x14ac:dyDescent="0.25">
      <c r="A67" t="s">
        <v>633</v>
      </c>
      <c r="B67" t="s">
        <v>634</v>
      </c>
      <c r="C67" t="s">
        <v>633</v>
      </c>
      <c r="D67">
        <v>1.319</v>
      </c>
      <c r="E67">
        <v>3.5680000000000001</v>
      </c>
    </row>
    <row r="68" spans="1:5" x14ac:dyDescent="0.25">
      <c r="A68" t="s">
        <v>641</v>
      </c>
      <c r="B68" t="s">
        <v>642</v>
      </c>
      <c r="C68" t="s">
        <v>641</v>
      </c>
      <c r="D68">
        <v>1.073</v>
      </c>
      <c r="E68">
        <v>3.89</v>
      </c>
    </row>
    <row r="69" spans="1:5" x14ac:dyDescent="0.25">
      <c r="A69" t="s">
        <v>706</v>
      </c>
      <c r="B69" t="s">
        <v>707</v>
      </c>
      <c r="C69" t="s">
        <v>706</v>
      </c>
      <c r="D69">
        <v>3.2309999999999999</v>
      </c>
      <c r="E69">
        <v>9.9550000000000001</v>
      </c>
    </row>
    <row r="70" spans="1:5" x14ac:dyDescent="0.25">
      <c r="A70" t="s">
        <v>678</v>
      </c>
      <c r="B70" t="s">
        <v>679</v>
      </c>
      <c r="C70" t="s">
        <v>678</v>
      </c>
      <c r="D70">
        <v>1.0469999999999999</v>
      </c>
      <c r="E70">
        <v>4.9180000000000001</v>
      </c>
    </row>
    <row r="71" spans="1:5" x14ac:dyDescent="0.25">
      <c r="A71" t="s">
        <v>639</v>
      </c>
      <c r="B71" t="s">
        <v>640</v>
      </c>
      <c r="C71" t="s">
        <v>639</v>
      </c>
      <c r="D71">
        <v>1.2370000000000001</v>
      </c>
      <c r="E71">
        <v>4.4560000000000004</v>
      </c>
    </row>
    <row r="72" spans="1:5" x14ac:dyDescent="0.25">
      <c r="A72" t="s">
        <v>514</v>
      </c>
      <c r="B72" t="s">
        <v>513</v>
      </c>
      <c r="C72" t="s">
        <v>514</v>
      </c>
      <c r="D72">
        <v>1.0329999999999999</v>
      </c>
      <c r="E72">
        <v>2.5630000000000002</v>
      </c>
    </row>
    <row r="73" spans="1:5" x14ac:dyDescent="0.25">
      <c r="A73" t="s">
        <v>643</v>
      </c>
      <c r="B73" t="s">
        <v>644</v>
      </c>
      <c r="C73" t="s">
        <v>643</v>
      </c>
      <c r="D73">
        <v>1.9670000000000001</v>
      </c>
      <c r="E73">
        <v>4.883</v>
      </c>
    </row>
    <row r="74" spans="1:5" x14ac:dyDescent="0.25">
      <c r="A74" t="s">
        <v>708</v>
      </c>
      <c r="B74" t="s">
        <v>709</v>
      </c>
      <c r="C74" t="s">
        <v>708</v>
      </c>
      <c r="D74">
        <v>3.198</v>
      </c>
      <c r="E74">
        <v>9.1859999999999999</v>
      </c>
    </row>
    <row r="75" spans="1:5" x14ac:dyDescent="0.25">
      <c r="A75" t="s">
        <v>710</v>
      </c>
      <c r="B75" t="s">
        <v>711</v>
      </c>
      <c r="C75" t="s">
        <v>710</v>
      </c>
      <c r="D75">
        <v>499</v>
      </c>
      <c r="E75">
        <v>2.3860000000000001</v>
      </c>
    </row>
    <row r="76" spans="1:5" x14ac:dyDescent="0.25">
      <c r="A76" t="s">
        <v>510</v>
      </c>
      <c r="B76" t="s">
        <v>509</v>
      </c>
      <c r="C76" t="s">
        <v>510</v>
      </c>
      <c r="D76">
        <v>789</v>
      </c>
      <c r="E76">
        <v>2.0939999999999999</v>
      </c>
    </row>
    <row r="77" spans="1:5" x14ac:dyDescent="0.25">
      <c r="A77" t="s">
        <v>512</v>
      </c>
      <c r="B77" t="s">
        <v>511</v>
      </c>
      <c r="C77" t="s">
        <v>512</v>
      </c>
      <c r="D77">
        <v>1.889</v>
      </c>
      <c r="E77">
        <v>6.1740000000000004</v>
      </c>
    </row>
    <row r="78" spans="1:5" x14ac:dyDescent="0.25">
      <c r="A78" t="s">
        <v>518</v>
      </c>
      <c r="B78" t="s">
        <v>517</v>
      </c>
      <c r="C78" t="s">
        <v>518</v>
      </c>
      <c r="D78">
        <v>830</v>
      </c>
      <c r="E78">
        <v>2.9710000000000001</v>
      </c>
    </row>
    <row r="79" spans="1:5" x14ac:dyDescent="0.25">
      <c r="A79" t="s">
        <v>649</v>
      </c>
      <c r="B79" t="s">
        <v>650</v>
      </c>
      <c r="C79" t="s">
        <v>649</v>
      </c>
      <c r="D79">
        <v>3.1869999999999998</v>
      </c>
      <c r="E79">
        <v>13.135999999999999</v>
      </c>
    </row>
    <row r="80" spans="1:5" x14ac:dyDescent="0.25">
      <c r="A80" t="s">
        <v>714</v>
      </c>
      <c r="B80" t="s">
        <v>715</v>
      </c>
      <c r="C80" t="s">
        <v>714</v>
      </c>
      <c r="D80">
        <v>357</v>
      </c>
      <c r="E80">
        <v>2.3029999999999999</v>
      </c>
    </row>
    <row r="81" spans="1:5" x14ac:dyDescent="0.25">
      <c r="A81" t="s">
        <v>520</v>
      </c>
      <c r="B81" t="s">
        <v>519</v>
      </c>
      <c r="C81" t="s">
        <v>520</v>
      </c>
      <c r="D81">
        <v>256</v>
      </c>
      <c r="E81">
        <v>2.2629999999999999</v>
      </c>
    </row>
    <row r="82" spans="1:5" x14ac:dyDescent="0.25">
      <c r="A82" t="s">
        <v>734</v>
      </c>
      <c r="B82" t="s">
        <v>735</v>
      </c>
      <c r="C82" t="s">
        <v>734</v>
      </c>
      <c r="D82">
        <v>9.8309999999999995</v>
      </c>
      <c r="E82">
        <v>22.158000000000001</v>
      </c>
    </row>
    <row r="83" spans="1:5" x14ac:dyDescent="0.25">
      <c r="A83" t="s">
        <v>571</v>
      </c>
      <c r="B83" t="s">
        <v>572</v>
      </c>
      <c r="C83" t="s">
        <v>571</v>
      </c>
      <c r="D83">
        <v>14.497999999999999</v>
      </c>
      <c r="E83">
        <v>30.257999999999999</v>
      </c>
    </row>
    <row r="84" spans="1:5" x14ac:dyDescent="0.25">
      <c r="A84" t="s">
        <v>516</v>
      </c>
      <c r="B84" t="s">
        <v>515</v>
      </c>
      <c r="C84" t="s">
        <v>516</v>
      </c>
      <c r="D84">
        <v>286</v>
      </c>
      <c r="E84">
        <v>1.722</v>
      </c>
    </row>
    <row r="85" spans="1:5" x14ac:dyDescent="0.25">
      <c r="A85" t="s">
        <v>712</v>
      </c>
      <c r="B85" t="s">
        <v>713</v>
      </c>
      <c r="C85" t="s">
        <v>712</v>
      </c>
      <c r="D85">
        <v>2.516</v>
      </c>
      <c r="E85">
        <v>5.9240000000000004</v>
      </c>
    </row>
    <row r="86" spans="1:5" x14ac:dyDescent="0.25">
      <c r="A86" t="s">
        <v>716</v>
      </c>
      <c r="B86" t="s">
        <v>717</v>
      </c>
      <c r="C86" t="s">
        <v>716</v>
      </c>
      <c r="D86">
        <v>504</v>
      </c>
      <c r="E86">
        <v>3.1579999999999999</v>
      </c>
    </row>
    <row r="87" spans="1:5" x14ac:dyDescent="0.25">
      <c r="A87" t="s">
        <v>647</v>
      </c>
      <c r="B87" t="s">
        <v>648</v>
      </c>
      <c r="C87" t="s">
        <v>647</v>
      </c>
      <c r="D87">
        <v>416</v>
      </c>
      <c r="E87">
        <v>2.2999999999999998</v>
      </c>
    </row>
    <row r="88" spans="1:5" x14ac:dyDescent="0.25">
      <c r="A88" t="s">
        <v>651</v>
      </c>
      <c r="B88" t="s">
        <v>652</v>
      </c>
      <c r="C88" t="s">
        <v>651</v>
      </c>
      <c r="D88">
        <v>913</v>
      </c>
      <c r="E88">
        <v>6.5339999999999998</v>
      </c>
    </row>
    <row r="89" spans="1:5" x14ac:dyDescent="0.25">
      <c r="A89" t="s">
        <v>522</v>
      </c>
      <c r="B89" t="s">
        <v>521</v>
      </c>
      <c r="C89" t="s">
        <v>522</v>
      </c>
      <c r="D89">
        <v>34.213000000000001</v>
      </c>
      <c r="E89">
        <v>31.073</v>
      </c>
    </row>
    <row r="90" spans="1:5" x14ac:dyDescent="0.25">
      <c r="A90" t="s">
        <v>546</v>
      </c>
      <c r="B90" t="s">
        <v>545</v>
      </c>
      <c r="C90" t="s">
        <v>546</v>
      </c>
      <c r="D90">
        <v>3.4950000000000001</v>
      </c>
      <c r="E90">
        <v>9.0779999999999994</v>
      </c>
    </row>
    <row r="91" spans="1:5" x14ac:dyDescent="0.25">
      <c r="A91" t="s">
        <v>573</v>
      </c>
      <c r="B91" t="s">
        <v>574</v>
      </c>
      <c r="C91" t="s">
        <v>573</v>
      </c>
      <c r="D91">
        <v>1.673</v>
      </c>
      <c r="E91">
        <v>5.9809999999999999</v>
      </c>
    </row>
    <row r="92" spans="1:5" x14ac:dyDescent="0.25">
      <c r="A92" t="s">
        <v>718</v>
      </c>
      <c r="B92" t="s">
        <v>719</v>
      </c>
      <c r="C92" t="s">
        <v>718</v>
      </c>
      <c r="D92">
        <v>6.8319999999999999</v>
      </c>
      <c r="E92">
        <v>16.309999999999999</v>
      </c>
    </row>
    <row r="93" spans="1:5" x14ac:dyDescent="0.25">
      <c r="A93" t="s">
        <v>524</v>
      </c>
      <c r="B93" t="s">
        <v>523</v>
      </c>
      <c r="C93" t="s">
        <v>524</v>
      </c>
      <c r="D93">
        <v>4.8099999999999996</v>
      </c>
      <c r="E93">
        <v>11.420999999999999</v>
      </c>
    </row>
    <row r="94" spans="1:5" x14ac:dyDescent="0.25">
      <c r="A94" t="s">
        <v>653</v>
      </c>
      <c r="B94" t="s">
        <v>654</v>
      </c>
      <c r="C94" t="s">
        <v>653</v>
      </c>
      <c r="D94">
        <v>639</v>
      </c>
      <c r="E94">
        <v>3.827</v>
      </c>
    </row>
    <row r="95" spans="1:5" x14ac:dyDescent="0.25">
      <c r="A95" t="s">
        <v>657</v>
      </c>
      <c r="B95" t="s">
        <v>658</v>
      </c>
      <c r="C95" t="s">
        <v>657</v>
      </c>
      <c r="D95">
        <v>3.5529999999999999</v>
      </c>
      <c r="E95">
        <v>12.909000000000001</v>
      </c>
    </row>
    <row r="96" spans="1:5" x14ac:dyDescent="0.25">
      <c r="A96" t="s">
        <v>659</v>
      </c>
      <c r="B96" t="s">
        <v>660</v>
      </c>
      <c r="C96" t="s">
        <v>659</v>
      </c>
      <c r="D96">
        <v>845</v>
      </c>
      <c r="E96">
        <v>2.609</v>
      </c>
    </row>
    <row r="97" spans="1:5" x14ac:dyDescent="0.25">
      <c r="A97" t="s">
        <v>575</v>
      </c>
      <c r="B97" t="s">
        <v>576</v>
      </c>
      <c r="C97" t="s">
        <v>575</v>
      </c>
      <c r="D97">
        <v>1.4750000000000001</v>
      </c>
      <c r="E97">
        <v>6.8419999999999996</v>
      </c>
    </row>
    <row r="98" spans="1:5" x14ac:dyDescent="0.25">
      <c r="A98" t="s">
        <v>548</v>
      </c>
      <c r="B98" t="s">
        <v>547</v>
      </c>
      <c r="C98" t="s">
        <v>548</v>
      </c>
      <c r="D98">
        <v>305</v>
      </c>
      <c r="E98">
        <v>2.887</v>
      </c>
    </row>
    <row r="99" spans="1:5" x14ac:dyDescent="0.25">
      <c r="A99" t="s">
        <v>599</v>
      </c>
      <c r="B99" t="s">
        <v>600</v>
      </c>
      <c r="C99" t="s">
        <v>599</v>
      </c>
      <c r="D99">
        <v>1.8080000000000001</v>
      </c>
      <c r="E99">
        <v>6.7380000000000004</v>
      </c>
    </row>
    <row r="100" spans="1:5" x14ac:dyDescent="0.25">
      <c r="A100" t="s">
        <v>597</v>
      </c>
      <c r="B100" t="s">
        <v>598</v>
      </c>
      <c r="C100" t="s">
        <v>597</v>
      </c>
      <c r="D100">
        <v>5.0289999999999999</v>
      </c>
      <c r="E100">
        <v>12.281000000000001</v>
      </c>
    </row>
    <row r="101" spans="1:5" x14ac:dyDescent="0.25">
      <c r="A101" t="s">
        <v>655</v>
      </c>
      <c r="B101" t="s">
        <v>656</v>
      </c>
      <c r="C101" t="s">
        <v>655</v>
      </c>
      <c r="D101">
        <v>9.4209999999999994</v>
      </c>
      <c r="E101">
        <v>21.399000000000001</v>
      </c>
    </row>
    <row r="102" spans="1:5" x14ac:dyDescent="0.25">
      <c r="A102" t="s">
        <v>526</v>
      </c>
      <c r="B102" t="s">
        <v>525</v>
      </c>
      <c r="C102" t="s">
        <v>526</v>
      </c>
      <c r="D102">
        <v>11.135999999999999</v>
      </c>
      <c r="E102">
        <v>7.0209999999999999</v>
      </c>
    </row>
    <row r="103" spans="1:5" x14ac:dyDescent="0.25">
      <c r="A103" t="s">
        <v>528</v>
      </c>
      <c r="B103" t="s">
        <v>527</v>
      </c>
      <c r="C103" t="s">
        <v>528</v>
      </c>
      <c r="D103">
        <v>2.7519999999999998</v>
      </c>
      <c r="E103">
        <v>9.18</v>
      </c>
    </row>
    <row r="104" spans="1:5" x14ac:dyDescent="0.25">
      <c r="A104" t="s">
        <v>661</v>
      </c>
      <c r="B104" t="s">
        <v>662</v>
      </c>
      <c r="C104" t="s">
        <v>661</v>
      </c>
      <c r="D104">
        <v>894</v>
      </c>
      <c r="E104">
        <v>5.2450000000000001</v>
      </c>
    </row>
    <row r="105" spans="1:5" x14ac:dyDescent="0.25">
      <c r="A105" t="s">
        <v>688</v>
      </c>
      <c r="B105" t="s">
        <v>689</v>
      </c>
      <c r="C105" t="s">
        <v>688</v>
      </c>
      <c r="D105">
        <v>355</v>
      </c>
      <c r="E105">
        <v>2.9609999999999999</v>
      </c>
    </row>
    <row r="106" spans="1:5" x14ac:dyDescent="0.25">
      <c r="A106" t="s">
        <v>530</v>
      </c>
      <c r="B106" t="s">
        <v>529</v>
      </c>
      <c r="C106" t="s">
        <v>530</v>
      </c>
      <c r="D106">
        <v>4.13</v>
      </c>
      <c r="E106">
        <v>9.4190000000000005</v>
      </c>
    </row>
    <row r="107" spans="1:5" x14ac:dyDescent="0.25">
      <c r="A107" t="s">
        <v>534</v>
      </c>
      <c r="B107" t="s">
        <v>533</v>
      </c>
      <c r="C107" t="s">
        <v>534</v>
      </c>
      <c r="D107">
        <v>26.965</v>
      </c>
      <c r="E107">
        <v>17.411999999999999</v>
      </c>
    </row>
    <row r="108" spans="1:5" x14ac:dyDescent="0.25">
      <c r="A108" t="s">
        <v>720</v>
      </c>
      <c r="B108" t="s">
        <v>721</v>
      </c>
      <c r="C108" t="s">
        <v>720</v>
      </c>
      <c r="D108">
        <v>410</v>
      </c>
      <c r="E108">
        <v>1.972</v>
      </c>
    </row>
    <row r="109" spans="1:5" x14ac:dyDescent="0.25">
      <c r="A109" t="s">
        <v>583</v>
      </c>
      <c r="B109" t="s">
        <v>584</v>
      </c>
      <c r="C109" t="s">
        <v>583</v>
      </c>
      <c r="D109">
        <v>1.4159999999999999</v>
      </c>
      <c r="E109">
        <v>4.7270000000000003</v>
      </c>
    </row>
    <row r="110" spans="1:5" x14ac:dyDescent="0.25">
      <c r="A110" t="s">
        <v>663</v>
      </c>
      <c r="B110" t="s">
        <v>664</v>
      </c>
      <c r="C110" t="s">
        <v>663</v>
      </c>
      <c r="D110">
        <v>3.1230000000000002</v>
      </c>
      <c r="E110">
        <v>8.6150000000000002</v>
      </c>
    </row>
    <row r="111" spans="1:5" x14ac:dyDescent="0.25">
      <c r="A111" t="s">
        <v>724</v>
      </c>
      <c r="B111" t="s">
        <v>725</v>
      </c>
      <c r="C111" t="s">
        <v>724</v>
      </c>
      <c r="D111">
        <v>690</v>
      </c>
      <c r="E111">
        <v>3.8980000000000001</v>
      </c>
    </row>
    <row r="112" spans="1:5" x14ac:dyDescent="0.25">
      <c r="A112" t="s">
        <v>532</v>
      </c>
      <c r="B112" t="s">
        <v>531</v>
      </c>
      <c r="C112" t="s">
        <v>532</v>
      </c>
      <c r="D112">
        <v>2.3220000000000001</v>
      </c>
      <c r="E112">
        <v>4.2610000000000001</v>
      </c>
    </row>
    <row r="113" spans="1:5" x14ac:dyDescent="0.25">
      <c r="A113" t="s">
        <v>665</v>
      </c>
      <c r="B113" t="s">
        <v>666</v>
      </c>
      <c r="C113" t="s">
        <v>665</v>
      </c>
      <c r="D113">
        <v>6.15</v>
      </c>
      <c r="E113">
        <v>13.263999999999999</v>
      </c>
    </row>
    <row r="114" spans="1:5" x14ac:dyDescent="0.25">
      <c r="A114" t="s">
        <v>540</v>
      </c>
      <c r="B114" t="s">
        <v>539</v>
      </c>
      <c r="C114" t="s">
        <v>540</v>
      </c>
      <c r="D114">
        <v>2.782</v>
      </c>
      <c r="E114">
        <v>3.51</v>
      </c>
    </row>
    <row r="115" spans="1:5" x14ac:dyDescent="0.25">
      <c r="A115" t="s">
        <v>538</v>
      </c>
      <c r="B115" t="s">
        <v>537</v>
      </c>
      <c r="C115" t="s">
        <v>538</v>
      </c>
      <c r="D115">
        <v>1.4870000000000001</v>
      </c>
      <c r="E115">
        <v>3.754</v>
      </c>
    </row>
    <row r="116" spans="1:5" x14ac:dyDescent="0.25">
      <c r="A116" t="s">
        <v>726</v>
      </c>
      <c r="B116" t="s">
        <v>727</v>
      </c>
      <c r="C116" t="s">
        <v>726</v>
      </c>
      <c r="D116">
        <v>947</v>
      </c>
      <c r="E116">
        <v>3.16</v>
      </c>
    </row>
    <row r="117" spans="1:5" x14ac:dyDescent="0.25">
      <c r="A117" t="s">
        <v>637</v>
      </c>
      <c r="B117" t="s">
        <v>638</v>
      </c>
      <c r="C117" t="s">
        <v>637</v>
      </c>
      <c r="D117">
        <v>1.095</v>
      </c>
      <c r="E117">
        <v>7.9109999999999996</v>
      </c>
    </row>
    <row r="118" spans="1:5" x14ac:dyDescent="0.25">
      <c r="A118" t="s">
        <v>488</v>
      </c>
      <c r="B118" t="s">
        <v>487</v>
      </c>
      <c r="C118" t="s">
        <v>488</v>
      </c>
      <c r="D118">
        <v>32.21</v>
      </c>
      <c r="E118">
        <v>36.695999999999998</v>
      </c>
    </row>
    <row r="119" spans="1:5" x14ac:dyDescent="0.25">
      <c r="A119" t="s">
        <v>645</v>
      </c>
      <c r="B119" t="s">
        <v>646</v>
      </c>
      <c r="C119" t="s">
        <v>645</v>
      </c>
      <c r="D119">
        <v>698</v>
      </c>
      <c r="E119">
        <v>4.0129999999999999</v>
      </c>
    </row>
    <row r="120" spans="1:5" x14ac:dyDescent="0.25">
      <c r="A120" t="s">
        <v>722</v>
      </c>
      <c r="B120" t="s">
        <v>723</v>
      </c>
      <c r="C120" t="s">
        <v>722</v>
      </c>
      <c r="D120">
        <v>720</v>
      </c>
      <c r="E120">
        <v>3.4420000000000002</v>
      </c>
    </row>
    <row r="121" spans="1:5" x14ac:dyDescent="0.25">
      <c r="A121" t="s">
        <v>536</v>
      </c>
      <c r="B121" t="s">
        <v>535</v>
      </c>
      <c r="C121" t="s">
        <v>536</v>
      </c>
      <c r="D121">
        <v>6.234</v>
      </c>
      <c r="E121">
        <v>12.705</v>
      </c>
    </row>
    <row r="122" spans="1:5" x14ac:dyDescent="0.25">
      <c r="A122" t="s">
        <v>476</v>
      </c>
      <c r="B122" t="s">
        <v>475</v>
      </c>
      <c r="C122" t="s">
        <v>476</v>
      </c>
      <c r="D122">
        <v>6.085</v>
      </c>
      <c r="E122">
        <v>13.547000000000001</v>
      </c>
    </row>
    <row r="123" spans="1:5" x14ac:dyDescent="0.25">
      <c r="A123" t="s">
        <v>667</v>
      </c>
      <c r="B123" t="s">
        <v>668</v>
      </c>
      <c r="C123" t="s">
        <v>667</v>
      </c>
      <c r="D123">
        <v>1.2330000000000001</v>
      </c>
      <c r="E123">
        <v>4.0209999999999999</v>
      </c>
    </row>
    <row r="124" spans="1:5" x14ac:dyDescent="0.25">
      <c r="A124" t="s">
        <v>672</v>
      </c>
      <c r="B124" t="s">
        <v>673</v>
      </c>
      <c r="C124" t="s">
        <v>672</v>
      </c>
      <c r="D124">
        <v>544</v>
      </c>
      <c r="E124">
        <v>5.2089999999999996</v>
      </c>
    </row>
    <row r="125" spans="1:5" x14ac:dyDescent="0.25">
      <c r="A125" t="s">
        <v>730</v>
      </c>
      <c r="B125" t="s">
        <v>731</v>
      </c>
      <c r="C125" t="s">
        <v>730</v>
      </c>
      <c r="D125">
        <v>1.1870000000000001</v>
      </c>
      <c r="E125">
        <v>4.8719999999999999</v>
      </c>
    </row>
    <row r="126" spans="1:5" x14ac:dyDescent="0.25">
      <c r="A126" t="s">
        <v>669</v>
      </c>
      <c r="B126" t="s">
        <v>670</v>
      </c>
      <c r="C126" t="s">
        <v>669</v>
      </c>
      <c r="D126">
        <v>1.823</v>
      </c>
      <c r="E126">
        <v>8.6259999999999994</v>
      </c>
    </row>
    <row r="127" spans="1:5" x14ac:dyDescent="0.25">
      <c r="A127" t="s">
        <v>579</v>
      </c>
      <c r="B127" t="s">
        <v>580</v>
      </c>
      <c r="C127" t="s">
        <v>579</v>
      </c>
      <c r="D127">
        <v>527</v>
      </c>
      <c r="E127">
        <v>3.0859999999999999</v>
      </c>
    </row>
    <row r="128" spans="1:5" x14ac:dyDescent="0.25">
      <c r="A128" t="s">
        <v>728</v>
      </c>
      <c r="B128" t="s">
        <v>729</v>
      </c>
      <c r="C128" t="s">
        <v>728</v>
      </c>
      <c r="D128">
        <v>1.534</v>
      </c>
      <c r="E128">
        <v>3.2549999999999999</v>
      </c>
    </row>
    <row r="129" spans="1:5" x14ac:dyDescent="0.25">
      <c r="A129" t="s">
        <v>19</v>
      </c>
      <c r="B129" t="s">
        <v>671</v>
      </c>
      <c r="C129" t="s">
        <v>19</v>
      </c>
      <c r="D129">
        <v>18.411000000000001</v>
      </c>
      <c r="E129">
        <v>24.408999999999999</v>
      </c>
    </row>
    <row r="130" spans="1:5" x14ac:dyDescent="0.25">
      <c r="A130" t="s">
        <v>732</v>
      </c>
      <c r="B130" t="s">
        <v>733</v>
      </c>
      <c r="C130" t="s">
        <v>732</v>
      </c>
      <c r="D130">
        <v>1.476</v>
      </c>
      <c r="E130">
        <v>5.85</v>
      </c>
    </row>
    <row r="131" spans="1:5" x14ac:dyDescent="0.25">
      <c r="A131" t="s">
        <v>542</v>
      </c>
      <c r="B131" t="s">
        <v>541</v>
      </c>
      <c r="C131" t="s">
        <v>542</v>
      </c>
      <c r="D131">
        <v>7.843</v>
      </c>
      <c r="E131">
        <v>7.7939999999999996</v>
      </c>
    </row>
    <row r="132" spans="1:5" x14ac:dyDescent="0.25">
      <c r="A132" t="s">
        <v>605</v>
      </c>
      <c r="B132" t="s">
        <v>606</v>
      </c>
      <c r="C132" t="s">
        <v>605</v>
      </c>
      <c r="D132">
        <v>4.3040000000000003</v>
      </c>
      <c r="E132">
        <v>14.007</v>
      </c>
    </row>
    <row r="133" spans="1:5" x14ac:dyDescent="0.25">
      <c r="A133" t="s">
        <v>494</v>
      </c>
      <c r="B133" t="s">
        <v>493</v>
      </c>
      <c r="C133" t="s">
        <v>494</v>
      </c>
      <c r="D133">
        <v>53.140999999999998</v>
      </c>
      <c r="E133">
        <v>59.674999999999997</v>
      </c>
    </row>
    <row r="134" spans="1:5" x14ac:dyDescent="0.25">
      <c r="A134" t="s">
        <v>581</v>
      </c>
      <c r="B134" t="s">
        <v>582</v>
      </c>
      <c r="C134" t="s">
        <v>581</v>
      </c>
      <c r="D134">
        <v>138.98400000000001</v>
      </c>
      <c r="E134">
        <v>101.26600000000001</v>
      </c>
    </row>
    <row r="135" spans="1:5" x14ac:dyDescent="0.25">
      <c r="A135" t="s">
        <v>601</v>
      </c>
      <c r="B135" t="s">
        <v>602</v>
      </c>
      <c r="C135" t="s">
        <v>601</v>
      </c>
      <c r="D135">
        <v>2.5760000000000001</v>
      </c>
      <c r="E135">
        <v>4.9459999999999997</v>
      </c>
    </row>
    <row r="136" spans="1:5" x14ac:dyDescent="0.25">
      <c r="A136" t="s">
        <v>674</v>
      </c>
      <c r="B136" t="s">
        <v>675</v>
      </c>
      <c r="C136" t="s">
        <v>674</v>
      </c>
      <c r="D136">
        <v>488</v>
      </c>
      <c r="E136">
        <v>2.0880000000000001</v>
      </c>
    </row>
    <row r="137" spans="1:5" x14ac:dyDescent="0.25">
      <c r="A137" t="s">
        <v>603</v>
      </c>
      <c r="B137" t="s">
        <v>604</v>
      </c>
      <c r="C137" t="s">
        <v>603</v>
      </c>
      <c r="D137">
        <v>7.24</v>
      </c>
      <c r="E137">
        <v>23.681999999999999</v>
      </c>
    </row>
    <row r="138" spans="1:5" x14ac:dyDescent="0.25">
      <c r="A138" t="s">
        <v>676</v>
      </c>
      <c r="B138" t="s">
        <v>677</v>
      </c>
      <c r="C138" t="s">
        <v>676</v>
      </c>
      <c r="D138">
        <v>1.1930000000000001</v>
      </c>
      <c r="E138">
        <v>5.101</v>
      </c>
    </row>
    <row r="139" spans="1:5" x14ac:dyDescent="0.25">
      <c r="A139" t="s">
        <v>736</v>
      </c>
      <c r="B139" t="s">
        <v>737</v>
      </c>
      <c r="C139" t="s">
        <v>736</v>
      </c>
      <c r="D139">
        <v>765</v>
      </c>
      <c r="E139">
        <v>4.1230000000000002</v>
      </c>
    </row>
    <row r="140" spans="1:5" x14ac:dyDescent="0.25">
      <c r="A140" t="s">
        <v>738</v>
      </c>
      <c r="B140" t="s">
        <v>739</v>
      </c>
      <c r="C140" t="s">
        <v>738</v>
      </c>
      <c r="D140">
        <v>914</v>
      </c>
      <c r="E140">
        <v>3.8279999999999998</v>
      </c>
    </row>
  </sheetData>
  <autoFilter ref="A1:E1" xr:uid="{C276A404-33E6-41C6-9905-706A11AA800D}">
    <sortState xmlns:xlrd2="http://schemas.microsoft.com/office/spreadsheetml/2017/richdata2" ref="A2:E140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9D93-93F5-4423-AAA2-A56F26B833E8}">
  <sheetPr>
    <tabColor rgb="FFC00000"/>
  </sheetPr>
  <dimension ref="A1:L360"/>
  <sheetViews>
    <sheetView topLeftCell="A349" workbookViewId="0">
      <selection activeCell="D393" sqref="D393"/>
    </sheetView>
  </sheetViews>
  <sheetFormatPr defaultRowHeight="15" x14ac:dyDescent="0.25"/>
  <cols>
    <col min="2" max="2" width="24.42578125" customWidth="1"/>
    <col min="4" max="4" width="93" customWidth="1"/>
    <col min="5" max="5" width="9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18" customFormat="1" x14ac:dyDescent="0.25">
      <c r="A2" s="17" t="s">
        <v>740</v>
      </c>
      <c r="B2" s="17" t="s">
        <v>894</v>
      </c>
      <c r="C2" s="17" t="s">
        <v>895</v>
      </c>
      <c r="D2" s="17" t="s">
        <v>896</v>
      </c>
      <c r="E2" s="17" t="s">
        <v>897</v>
      </c>
      <c r="F2" s="17" t="s">
        <v>898</v>
      </c>
      <c r="G2" s="17"/>
      <c r="H2" s="17"/>
      <c r="I2" s="17"/>
      <c r="J2" s="17"/>
      <c r="K2" s="17"/>
      <c r="L2" s="17"/>
    </row>
    <row r="3" spans="1:12" x14ac:dyDescent="0.25">
      <c r="A3" s="19" t="s">
        <v>504</v>
      </c>
      <c r="B3" t="s">
        <v>899</v>
      </c>
      <c r="C3">
        <v>58</v>
      </c>
      <c r="D3" t="s">
        <v>900</v>
      </c>
      <c r="E3" t="s">
        <v>901</v>
      </c>
      <c r="F3" t="s">
        <v>902</v>
      </c>
    </row>
    <row r="4" spans="1:12" x14ac:dyDescent="0.25">
      <c r="A4" s="19" t="s">
        <v>504</v>
      </c>
      <c r="B4" t="s">
        <v>903</v>
      </c>
      <c r="C4">
        <v>38</v>
      </c>
      <c r="D4" t="s">
        <v>900</v>
      </c>
      <c r="E4" t="s">
        <v>901</v>
      </c>
      <c r="F4" t="s">
        <v>904</v>
      </c>
    </row>
    <row r="5" spans="1:12" x14ac:dyDescent="0.25">
      <c r="A5" s="19" t="s">
        <v>504</v>
      </c>
      <c r="B5" t="s">
        <v>905</v>
      </c>
      <c r="C5">
        <v>4</v>
      </c>
      <c r="D5" t="s">
        <v>900</v>
      </c>
      <c r="E5" t="s">
        <v>901</v>
      </c>
      <c r="F5" t="s">
        <v>906</v>
      </c>
    </row>
    <row r="6" spans="1:12" x14ac:dyDescent="0.25">
      <c r="A6" s="19" t="s">
        <v>524</v>
      </c>
      <c r="B6" t="s">
        <v>899</v>
      </c>
      <c r="C6">
        <v>56</v>
      </c>
      <c r="D6" t="s">
        <v>907</v>
      </c>
      <c r="E6" t="s">
        <v>901</v>
      </c>
      <c r="F6" t="s">
        <v>902</v>
      </c>
    </row>
    <row r="7" spans="1:12" x14ac:dyDescent="0.25">
      <c r="A7" s="19" t="s">
        <v>524</v>
      </c>
      <c r="B7" t="s">
        <v>903</v>
      </c>
      <c r="C7">
        <v>29</v>
      </c>
      <c r="D7" t="s">
        <v>907</v>
      </c>
      <c r="E7" t="s">
        <v>901</v>
      </c>
      <c r="F7" t="s">
        <v>904</v>
      </c>
    </row>
    <row r="8" spans="1:12" x14ac:dyDescent="0.25">
      <c r="A8" s="19" t="s">
        <v>524</v>
      </c>
      <c r="B8" t="s">
        <v>23</v>
      </c>
      <c r="C8">
        <v>3</v>
      </c>
      <c r="D8" t="s">
        <v>910</v>
      </c>
      <c r="E8" t="s">
        <v>911</v>
      </c>
      <c r="F8" t="s">
        <v>912</v>
      </c>
    </row>
    <row r="9" spans="1:12" x14ac:dyDescent="0.25">
      <c r="A9" s="19" t="s">
        <v>524</v>
      </c>
      <c r="B9" t="s">
        <v>18</v>
      </c>
      <c r="C9">
        <v>5</v>
      </c>
      <c r="D9" t="s">
        <v>1016</v>
      </c>
      <c r="E9" t="s">
        <v>911</v>
      </c>
      <c r="F9" t="s">
        <v>913</v>
      </c>
    </row>
    <row r="10" spans="1:12" x14ac:dyDescent="0.25">
      <c r="A10" s="19" t="s">
        <v>524</v>
      </c>
      <c r="B10" t="s">
        <v>21</v>
      </c>
      <c r="C10">
        <v>2</v>
      </c>
      <c r="D10" t="s">
        <v>914</v>
      </c>
      <c r="E10" t="s">
        <v>911</v>
      </c>
      <c r="F10" t="s">
        <v>915</v>
      </c>
    </row>
    <row r="11" spans="1:12" x14ac:dyDescent="0.25">
      <c r="A11" s="19" t="s">
        <v>524</v>
      </c>
      <c r="B11" t="s">
        <v>916</v>
      </c>
      <c r="C11">
        <v>2</v>
      </c>
      <c r="D11" t="s">
        <v>1017</v>
      </c>
      <c r="E11" t="s">
        <v>917</v>
      </c>
      <c r="F11" t="s">
        <v>918</v>
      </c>
    </row>
    <row r="12" spans="1:12" x14ac:dyDescent="0.25">
      <c r="A12" s="19" t="s">
        <v>524</v>
      </c>
      <c r="B12" t="s">
        <v>905</v>
      </c>
      <c r="C12">
        <v>3</v>
      </c>
      <c r="D12" t="s">
        <v>1083</v>
      </c>
      <c r="E12" t="s">
        <v>901</v>
      </c>
      <c r="F12" t="s">
        <v>933</v>
      </c>
    </row>
    <row r="13" spans="1:12" x14ac:dyDescent="0.25">
      <c r="A13" s="19" t="s">
        <v>536</v>
      </c>
      <c r="B13" t="s">
        <v>899</v>
      </c>
      <c r="C13">
        <v>48</v>
      </c>
      <c r="D13" t="s">
        <v>1020</v>
      </c>
      <c r="E13" t="s">
        <v>901</v>
      </c>
      <c r="F13" t="s">
        <v>902</v>
      </c>
    </row>
    <row r="14" spans="1:12" x14ac:dyDescent="0.25">
      <c r="A14" s="19" t="s">
        <v>536</v>
      </c>
      <c r="B14" t="s">
        <v>903</v>
      </c>
      <c r="C14">
        <v>24</v>
      </c>
      <c r="D14" t="s">
        <v>1020</v>
      </c>
      <c r="E14" t="s">
        <v>901</v>
      </c>
      <c r="F14" t="s">
        <v>919</v>
      </c>
    </row>
    <row r="15" spans="1:12" x14ac:dyDescent="0.25">
      <c r="A15" s="19" t="s">
        <v>536</v>
      </c>
      <c r="B15" t="s">
        <v>908</v>
      </c>
      <c r="C15">
        <v>8</v>
      </c>
      <c r="D15" t="s">
        <v>920</v>
      </c>
      <c r="E15" t="s">
        <v>921</v>
      </c>
      <c r="F15" t="s">
        <v>922</v>
      </c>
    </row>
    <row r="16" spans="1:12" x14ac:dyDescent="0.25">
      <c r="A16" s="19" t="s">
        <v>536</v>
      </c>
      <c r="B16" t="s">
        <v>923</v>
      </c>
      <c r="C16">
        <v>7</v>
      </c>
      <c r="D16" t="s">
        <v>924</v>
      </c>
      <c r="E16" t="s">
        <v>925</v>
      </c>
      <c r="F16" t="s">
        <v>926</v>
      </c>
    </row>
    <row r="17" spans="1:6" x14ac:dyDescent="0.25">
      <c r="A17" s="19" t="s">
        <v>536</v>
      </c>
      <c r="B17" t="s">
        <v>18</v>
      </c>
      <c r="C17">
        <v>5</v>
      </c>
      <c r="D17" t="s">
        <v>927</v>
      </c>
      <c r="E17" t="s">
        <v>917</v>
      </c>
      <c r="F17" t="s">
        <v>928</v>
      </c>
    </row>
    <row r="18" spans="1:6" x14ac:dyDescent="0.25">
      <c r="A18" s="19" t="s">
        <v>536</v>
      </c>
      <c r="B18" t="s">
        <v>23</v>
      </c>
      <c r="C18">
        <v>3</v>
      </c>
      <c r="D18" t="s">
        <v>929</v>
      </c>
      <c r="E18" t="s">
        <v>930</v>
      </c>
      <c r="F18" t="s">
        <v>912</v>
      </c>
    </row>
    <row r="19" spans="1:6" x14ac:dyDescent="0.25">
      <c r="A19" s="19" t="s">
        <v>536</v>
      </c>
      <c r="B19" t="s">
        <v>916</v>
      </c>
      <c r="C19">
        <v>3</v>
      </c>
      <c r="D19" t="s">
        <v>1017</v>
      </c>
      <c r="E19" t="s">
        <v>917</v>
      </c>
      <c r="F19" t="s">
        <v>931</v>
      </c>
    </row>
    <row r="20" spans="1:6" x14ac:dyDescent="0.25">
      <c r="A20" s="19" t="s">
        <v>536</v>
      </c>
      <c r="B20" t="s">
        <v>905</v>
      </c>
      <c r="C20">
        <v>2</v>
      </c>
      <c r="D20" t="s">
        <v>932</v>
      </c>
      <c r="E20" t="s">
        <v>901</v>
      </c>
      <c r="F20" t="s">
        <v>933</v>
      </c>
    </row>
    <row r="21" spans="1:6" x14ac:dyDescent="0.25">
      <c r="A21" s="19" t="s">
        <v>484</v>
      </c>
      <c r="B21" t="s">
        <v>899</v>
      </c>
      <c r="C21">
        <v>46</v>
      </c>
      <c r="D21" t="s">
        <v>934</v>
      </c>
      <c r="E21" t="s">
        <v>901</v>
      </c>
      <c r="F21" t="s">
        <v>902</v>
      </c>
    </row>
    <row r="22" spans="1:6" x14ac:dyDescent="0.25">
      <c r="A22" s="19" t="s">
        <v>484</v>
      </c>
      <c r="B22" t="s">
        <v>903</v>
      </c>
      <c r="C22">
        <v>36</v>
      </c>
      <c r="D22" t="s">
        <v>934</v>
      </c>
      <c r="E22" t="s">
        <v>901</v>
      </c>
      <c r="F22" t="s">
        <v>935</v>
      </c>
    </row>
    <row r="23" spans="1:6" x14ac:dyDescent="0.25">
      <c r="A23" s="19" t="s">
        <v>484</v>
      </c>
      <c r="B23" t="s">
        <v>23</v>
      </c>
      <c r="C23">
        <v>5</v>
      </c>
      <c r="D23" t="s">
        <v>936</v>
      </c>
      <c r="E23" t="s">
        <v>917</v>
      </c>
      <c r="F23" t="s">
        <v>937</v>
      </c>
    </row>
    <row r="24" spans="1:6" x14ac:dyDescent="0.25">
      <c r="A24" s="19" t="s">
        <v>484</v>
      </c>
      <c r="B24" t="s">
        <v>18</v>
      </c>
      <c r="C24">
        <v>3</v>
      </c>
      <c r="D24" t="s">
        <v>938</v>
      </c>
      <c r="E24" t="s">
        <v>911</v>
      </c>
      <c r="F24" t="s">
        <v>939</v>
      </c>
    </row>
    <row r="25" spans="1:6" x14ac:dyDescent="0.25">
      <c r="A25" s="19" t="s">
        <v>484</v>
      </c>
      <c r="B25" t="s">
        <v>916</v>
      </c>
      <c r="C25">
        <v>1</v>
      </c>
      <c r="D25" t="s">
        <v>1018</v>
      </c>
      <c r="E25" t="s">
        <v>917</v>
      </c>
      <c r="F25" t="s">
        <v>940</v>
      </c>
    </row>
    <row r="26" spans="1:6" x14ac:dyDescent="0.25">
      <c r="A26" s="19" t="s">
        <v>484</v>
      </c>
      <c r="B26" t="s">
        <v>941</v>
      </c>
      <c r="C26">
        <v>3</v>
      </c>
      <c r="D26" t="s">
        <v>1019</v>
      </c>
      <c r="E26" t="s">
        <v>917</v>
      </c>
      <c r="F26" t="s">
        <v>942</v>
      </c>
    </row>
    <row r="27" spans="1:6" x14ac:dyDescent="0.25">
      <c r="A27" s="19" t="s">
        <v>484</v>
      </c>
      <c r="B27" t="s">
        <v>923</v>
      </c>
      <c r="C27">
        <v>4</v>
      </c>
      <c r="D27" t="s">
        <v>943</v>
      </c>
      <c r="E27" t="s">
        <v>925</v>
      </c>
      <c r="F27" t="s">
        <v>944</v>
      </c>
    </row>
    <row r="28" spans="1:6" x14ac:dyDescent="0.25">
      <c r="A28" s="19" t="s">
        <v>484</v>
      </c>
      <c r="B28" t="s">
        <v>905</v>
      </c>
      <c r="C28">
        <v>2</v>
      </c>
      <c r="D28" t="s">
        <v>945</v>
      </c>
      <c r="E28" t="s">
        <v>901</v>
      </c>
      <c r="F28" t="s">
        <v>933</v>
      </c>
    </row>
    <row r="29" spans="1:6" x14ac:dyDescent="0.25">
      <c r="A29" s="19" t="s">
        <v>490</v>
      </c>
      <c r="B29" t="s">
        <v>908</v>
      </c>
      <c r="C29">
        <v>60</v>
      </c>
      <c r="D29" t="s">
        <v>1021</v>
      </c>
      <c r="E29" t="s">
        <v>901</v>
      </c>
      <c r="F29" t="s">
        <v>946</v>
      </c>
    </row>
    <row r="30" spans="1:6" x14ac:dyDescent="0.25">
      <c r="A30" s="19" t="s">
        <v>490</v>
      </c>
      <c r="B30" t="s">
        <v>903</v>
      </c>
      <c r="C30">
        <v>22</v>
      </c>
      <c r="D30" t="s">
        <v>1021</v>
      </c>
      <c r="E30" t="s">
        <v>901</v>
      </c>
      <c r="F30" t="s">
        <v>947</v>
      </c>
    </row>
    <row r="31" spans="1:6" x14ac:dyDescent="0.25">
      <c r="A31" s="19" t="s">
        <v>490</v>
      </c>
      <c r="B31" t="s">
        <v>899</v>
      </c>
      <c r="C31">
        <v>12</v>
      </c>
      <c r="D31" t="s">
        <v>1022</v>
      </c>
      <c r="E31" t="s">
        <v>948</v>
      </c>
      <c r="F31" t="s">
        <v>949</v>
      </c>
    </row>
    <row r="32" spans="1:6" x14ac:dyDescent="0.25">
      <c r="A32" s="19" t="s">
        <v>490</v>
      </c>
      <c r="B32" t="s">
        <v>950</v>
      </c>
      <c r="C32">
        <v>4</v>
      </c>
      <c r="D32" t="s">
        <v>951</v>
      </c>
      <c r="E32" t="s">
        <v>921</v>
      </c>
      <c r="F32" t="s">
        <v>952</v>
      </c>
    </row>
    <row r="33" spans="1:6" x14ac:dyDescent="0.25">
      <c r="A33" s="19" t="s">
        <v>490</v>
      </c>
      <c r="B33" t="s">
        <v>916</v>
      </c>
      <c r="C33">
        <v>2</v>
      </c>
      <c r="D33" t="s">
        <v>1018</v>
      </c>
      <c r="E33" t="s">
        <v>911</v>
      </c>
      <c r="F33" t="s">
        <v>940</v>
      </c>
    </row>
    <row r="34" spans="1:6" x14ac:dyDescent="0.25">
      <c r="A34" s="19" t="s">
        <v>953</v>
      </c>
      <c r="B34" t="s">
        <v>954</v>
      </c>
      <c r="C34">
        <v>62</v>
      </c>
      <c r="D34" t="s">
        <v>955</v>
      </c>
      <c r="E34" t="s">
        <v>901</v>
      </c>
      <c r="F34" t="s">
        <v>956</v>
      </c>
    </row>
    <row r="35" spans="1:6" x14ac:dyDescent="0.25">
      <c r="A35" s="19" t="s">
        <v>953</v>
      </c>
      <c r="B35" t="s">
        <v>903</v>
      </c>
      <c r="C35">
        <v>7</v>
      </c>
      <c r="D35" t="s">
        <v>957</v>
      </c>
      <c r="E35" t="s">
        <v>901</v>
      </c>
      <c r="F35" t="s">
        <v>958</v>
      </c>
    </row>
    <row r="36" spans="1:6" x14ac:dyDescent="0.25">
      <c r="A36" s="19" t="s">
        <v>953</v>
      </c>
      <c r="B36" t="s">
        <v>941</v>
      </c>
      <c r="C36">
        <v>10</v>
      </c>
      <c r="D36" t="s">
        <v>1023</v>
      </c>
      <c r="E36" t="s">
        <v>925</v>
      </c>
      <c r="F36" t="s">
        <v>959</v>
      </c>
    </row>
    <row r="37" spans="1:6" x14ac:dyDescent="0.25">
      <c r="A37" s="19" t="s">
        <v>953</v>
      </c>
      <c r="B37" t="s">
        <v>960</v>
      </c>
      <c r="C37">
        <v>8</v>
      </c>
      <c r="D37" t="s">
        <v>1024</v>
      </c>
      <c r="E37" t="s">
        <v>917</v>
      </c>
      <c r="F37" t="s">
        <v>959</v>
      </c>
    </row>
    <row r="38" spans="1:6" x14ac:dyDescent="0.25">
      <c r="A38" s="19" t="s">
        <v>953</v>
      </c>
      <c r="B38" t="s">
        <v>961</v>
      </c>
      <c r="C38">
        <v>3</v>
      </c>
      <c r="D38" t="s">
        <v>962</v>
      </c>
      <c r="E38" t="s">
        <v>911</v>
      </c>
      <c r="F38" t="s">
        <v>963</v>
      </c>
    </row>
    <row r="39" spans="1:6" x14ac:dyDescent="0.25">
      <c r="A39" s="19" t="s">
        <v>953</v>
      </c>
      <c r="B39" t="s">
        <v>23</v>
      </c>
      <c r="C39">
        <v>2</v>
      </c>
      <c r="D39" t="s">
        <v>964</v>
      </c>
      <c r="E39" t="s">
        <v>911</v>
      </c>
      <c r="F39" t="s">
        <v>965</v>
      </c>
    </row>
    <row r="40" spans="1:6" x14ac:dyDescent="0.25">
      <c r="A40" s="19" t="s">
        <v>953</v>
      </c>
      <c r="B40" t="s">
        <v>966</v>
      </c>
      <c r="C40">
        <v>2</v>
      </c>
      <c r="D40" t="s">
        <v>967</v>
      </c>
      <c r="E40" t="s">
        <v>968</v>
      </c>
      <c r="F40" t="s">
        <v>969</v>
      </c>
    </row>
    <row r="41" spans="1:6" x14ac:dyDescent="0.25">
      <c r="A41" s="19" t="s">
        <v>953</v>
      </c>
      <c r="B41" t="s">
        <v>950</v>
      </c>
      <c r="C41">
        <v>2</v>
      </c>
      <c r="D41" t="s">
        <v>971</v>
      </c>
      <c r="E41" t="s">
        <v>911</v>
      </c>
      <c r="F41" t="s">
        <v>972</v>
      </c>
    </row>
    <row r="42" spans="1:6" x14ac:dyDescent="0.25">
      <c r="A42" s="19" t="s">
        <v>953</v>
      </c>
      <c r="B42" t="s">
        <v>905</v>
      </c>
      <c r="C42">
        <v>4</v>
      </c>
      <c r="D42" t="s">
        <v>973</v>
      </c>
      <c r="E42" t="s">
        <v>901</v>
      </c>
      <c r="F42" t="s">
        <v>974</v>
      </c>
    </row>
    <row r="43" spans="1:6" x14ac:dyDescent="0.25">
      <c r="A43" s="19" t="s">
        <v>975</v>
      </c>
      <c r="B43" t="s">
        <v>954</v>
      </c>
      <c r="C43">
        <v>67</v>
      </c>
      <c r="D43" t="s">
        <v>976</v>
      </c>
      <c r="E43" t="s">
        <v>901</v>
      </c>
      <c r="F43" t="s">
        <v>956</v>
      </c>
    </row>
    <row r="44" spans="1:6" x14ac:dyDescent="0.25">
      <c r="A44" s="19" t="s">
        <v>975</v>
      </c>
      <c r="B44" t="s">
        <v>903</v>
      </c>
      <c r="C44">
        <v>6</v>
      </c>
      <c r="D44" t="s">
        <v>977</v>
      </c>
      <c r="E44" t="s">
        <v>901</v>
      </c>
      <c r="F44" t="s">
        <v>978</v>
      </c>
    </row>
    <row r="45" spans="1:6" x14ac:dyDescent="0.25">
      <c r="A45" s="19" t="s">
        <v>975</v>
      </c>
      <c r="B45" t="s">
        <v>941</v>
      </c>
      <c r="C45">
        <v>5</v>
      </c>
      <c r="D45" t="s">
        <v>979</v>
      </c>
      <c r="E45" t="s">
        <v>917</v>
      </c>
      <c r="F45" t="s">
        <v>942</v>
      </c>
    </row>
    <row r="46" spans="1:6" x14ac:dyDescent="0.25">
      <c r="A46" s="19" t="s">
        <v>975</v>
      </c>
      <c r="B46" t="s">
        <v>960</v>
      </c>
      <c r="C46">
        <v>3</v>
      </c>
      <c r="D46" t="s">
        <v>980</v>
      </c>
      <c r="E46" t="s">
        <v>917</v>
      </c>
      <c r="F46" t="s">
        <v>981</v>
      </c>
    </row>
    <row r="47" spans="1:6" x14ac:dyDescent="0.25">
      <c r="A47" s="19" t="s">
        <v>975</v>
      </c>
      <c r="B47" t="s">
        <v>966</v>
      </c>
      <c r="C47">
        <v>2</v>
      </c>
      <c r="D47" t="s">
        <v>967</v>
      </c>
      <c r="E47" t="s">
        <v>968</v>
      </c>
      <c r="F47" t="s">
        <v>982</v>
      </c>
    </row>
    <row r="48" spans="1:6" x14ac:dyDescent="0.25">
      <c r="A48" s="19" t="s">
        <v>975</v>
      </c>
      <c r="B48" t="s">
        <v>18</v>
      </c>
      <c r="C48">
        <v>2</v>
      </c>
      <c r="D48" t="s">
        <v>983</v>
      </c>
      <c r="E48" t="s">
        <v>911</v>
      </c>
      <c r="F48" t="s">
        <v>972</v>
      </c>
    </row>
    <row r="49" spans="1:6" x14ac:dyDescent="0.25">
      <c r="A49" s="19" t="s">
        <v>975</v>
      </c>
      <c r="B49" t="s">
        <v>950</v>
      </c>
      <c r="C49">
        <v>2</v>
      </c>
      <c r="D49" t="s">
        <v>984</v>
      </c>
      <c r="E49" t="s">
        <v>911</v>
      </c>
      <c r="F49" t="s">
        <v>940</v>
      </c>
    </row>
    <row r="50" spans="1:6" x14ac:dyDescent="0.25">
      <c r="A50" s="19" t="s">
        <v>975</v>
      </c>
      <c r="B50" t="s">
        <v>905</v>
      </c>
      <c r="C50">
        <v>13</v>
      </c>
      <c r="D50" t="s">
        <v>985</v>
      </c>
      <c r="E50" t="s">
        <v>901</v>
      </c>
      <c r="F50" t="s">
        <v>986</v>
      </c>
    </row>
    <row r="51" spans="1:6" x14ac:dyDescent="0.25">
      <c r="A51" s="19" t="s">
        <v>987</v>
      </c>
      <c r="B51" t="s">
        <v>954</v>
      </c>
      <c r="C51">
        <v>76</v>
      </c>
      <c r="D51" t="s">
        <v>988</v>
      </c>
      <c r="E51" t="s">
        <v>901</v>
      </c>
      <c r="F51" t="s">
        <v>956</v>
      </c>
    </row>
    <row r="52" spans="1:6" x14ac:dyDescent="0.25">
      <c r="A52" s="19" t="s">
        <v>987</v>
      </c>
      <c r="B52" t="s">
        <v>903</v>
      </c>
      <c r="C52">
        <v>6</v>
      </c>
      <c r="D52" t="s">
        <v>989</v>
      </c>
      <c r="E52" t="s">
        <v>901</v>
      </c>
      <c r="F52" t="s">
        <v>990</v>
      </c>
    </row>
    <row r="53" spans="1:6" x14ac:dyDescent="0.25">
      <c r="A53" s="19" t="s">
        <v>987</v>
      </c>
      <c r="B53" t="s">
        <v>941</v>
      </c>
      <c r="C53">
        <v>6</v>
      </c>
      <c r="D53" t="s">
        <v>991</v>
      </c>
      <c r="E53" t="s">
        <v>917</v>
      </c>
      <c r="F53" t="s">
        <v>942</v>
      </c>
    </row>
    <row r="54" spans="1:6" x14ac:dyDescent="0.25">
      <c r="A54" s="19" t="s">
        <v>987</v>
      </c>
      <c r="B54" t="s">
        <v>960</v>
      </c>
      <c r="C54">
        <v>3</v>
      </c>
      <c r="D54" t="s">
        <v>980</v>
      </c>
      <c r="E54" t="s">
        <v>917</v>
      </c>
      <c r="F54" t="s">
        <v>981</v>
      </c>
    </row>
    <row r="55" spans="1:6" x14ac:dyDescent="0.25">
      <c r="A55" s="19" t="s">
        <v>987</v>
      </c>
      <c r="B55" t="s">
        <v>966</v>
      </c>
      <c r="C55">
        <v>2</v>
      </c>
      <c r="D55" t="s">
        <v>992</v>
      </c>
      <c r="E55" t="s">
        <v>968</v>
      </c>
      <c r="F55" t="s">
        <v>993</v>
      </c>
    </row>
    <row r="56" spans="1:6" x14ac:dyDescent="0.25">
      <c r="A56" s="19" t="s">
        <v>987</v>
      </c>
      <c r="B56" t="s">
        <v>18</v>
      </c>
      <c r="C56">
        <v>2</v>
      </c>
      <c r="D56" t="s">
        <v>994</v>
      </c>
      <c r="E56" t="s">
        <v>911</v>
      </c>
      <c r="F56" t="s">
        <v>972</v>
      </c>
    </row>
    <row r="57" spans="1:6" x14ac:dyDescent="0.25">
      <c r="A57" s="19" t="s">
        <v>987</v>
      </c>
      <c r="B57" t="s">
        <v>905</v>
      </c>
      <c r="C57">
        <v>5</v>
      </c>
      <c r="D57" t="s">
        <v>995</v>
      </c>
      <c r="E57" t="s">
        <v>901</v>
      </c>
      <c r="F57" t="s">
        <v>996</v>
      </c>
    </row>
    <row r="58" spans="1:6" x14ac:dyDescent="0.25">
      <c r="A58" s="19" t="s">
        <v>997</v>
      </c>
      <c r="B58" t="s">
        <v>954</v>
      </c>
      <c r="C58">
        <v>75</v>
      </c>
      <c r="D58" t="s">
        <v>998</v>
      </c>
      <c r="E58" t="s">
        <v>901</v>
      </c>
      <c r="F58" t="s">
        <v>956</v>
      </c>
    </row>
    <row r="59" spans="1:6" x14ac:dyDescent="0.25">
      <c r="A59" s="19" t="s">
        <v>997</v>
      </c>
      <c r="B59" t="s">
        <v>903</v>
      </c>
      <c r="C59">
        <v>8</v>
      </c>
      <c r="D59" t="s">
        <v>999</v>
      </c>
      <c r="E59" t="s">
        <v>901</v>
      </c>
      <c r="F59" t="s">
        <v>1000</v>
      </c>
    </row>
    <row r="60" spans="1:6" x14ac:dyDescent="0.25">
      <c r="A60" s="19" t="s">
        <v>997</v>
      </c>
      <c r="B60" t="s">
        <v>941</v>
      </c>
      <c r="C60">
        <v>4</v>
      </c>
      <c r="D60" t="s">
        <v>979</v>
      </c>
      <c r="E60" t="s">
        <v>917</v>
      </c>
      <c r="F60" t="s">
        <v>942</v>
      </c>
    </row>
    <row r="61" spans="1:6" x14ac:dyDescent="0.25">
      <c r="A61" s="19" t="s">
        <v>997</v>
      </c>
      <c r="B61" t="s">
        <v>966</v>
      </c>
      <c r="C61">
        <v>2</v>
      </c>
      <c r="D61" t="s">
        <v>1001</v>
      </c>
      <c r="E61" t="s">
        <v>968</v>
      </c>
      <c r="F61" t="s">
        <v>1002</v>
      </c>
    </row>
    <row r="62" spans="1:6" x14ac:dyDescent="0.25">
      <c r="A62" s="19" t="s">
        <v>997</v>
      </c>
      <c r="B62" t="s">
        <v>905</v>
      </c>
      <c r="C62">
        <v>11</v>
      </c>
      <c r="D62" t="s">
        <v>1003</v>
      </c>
      <c r="E62" t="s">
        <v>901</v>
      </c>
      <c r="F62" t="s">
        <v>1004</v>
      </c>
    </row>
    <row r="63" spans="1:6" x14ac:dyDescent="0.25">
      <c r="A63" s="19" t="s">
        <v>502</v>
      </c>
      <c r="B63" t="s">
        <v>954</v>
      </c>
      <c r="C63">
        <v>71</v>
      </c>
      <c r="D63" t="s">
        <v>1005</v>
      </c>
      <c r="E63" t="s">
        <v>901</v>
      </c>
      <c r="F63" t="s">
        <v>956</v>
      </c>
    </row>
    <row r="64" spans="1:6" x14ac:dyDescent="0.25">
      <c r="A64" s="19" t="s">
        <v>502</v>
      </c>
      <c r="B64" t="s">
        <v>903</v>
      </c>
      <c r="C64">
        <v>7</v>
      </c>
      <c r="D64" t="s">
        <v>1006</v>
      </c>
      <c r="E64" t="s">
        <v>901</v>
      </c>
      <c r="F64" t="s">
        <v>1007</v>
      </c>
    </row>
    <row r="65" spans="1:6" x14ac:dyDescent="0.25">
      <c r="A65" s="19" t="s">
        <v>502</v>
      </c>
      <c r="B65" t="s">
        <v>941</v>
      </c>
      <c r="C65">
        <v>5</v>
      </c>
      <c r="D65" t="s">
        <v>1008</v>
      </c>
      <c r="E65" t="s">
        <v>917</v>
      </c>
      <c r="F65" t="s">
        <v>942</v>
      </c>
    </row>
    <row r="66" spans="1:6" x14ac:dyDescent="0.25">
      <c r="A66" s="19" t="s">
        <v>502</v>
      </c>
      <c r="B66" t="s">
        <v>960</v>
      </c>
      <c r="C66">
        <v>2</v>
      </c>
      <c r="D66" t="s">
        <v>1009</v>
      </c>
      <c r="E66" t="s">
        <v>917</v>
      </c>
      <c r="F66" t="s">
        <v>972</v>
      </c>
    </row>
    <row r="67" spans="1:6" x14ac:dyDescent="0.25">
      <c r="A67" s="19" t="s">
        <v>502</v>
      </c>
      <c r="B67" t="s">
        <v>950</v>
      </c>
      <c r="C67">
        <v>2</v>
      </c>
      <c r="D67" t="s">
        <v>1010</v>
      </c>
      <c r="E67" t="s">
        <v>911</v>
      </c>
      <c r="F67" t="s">
        <v>1011</v>
      </c>
    </row>
    <row r="68" spans="1:6" x14ac:dyDescent="0.25">
      <c r="A68" s="19" t="s">
        <v>502</v>
      </c>
      <c r="B68" t="s">
        <v>970</v>
      </c>
      <c r="C68">
        <v>2</v>
      </c>
      <c r="D68" t="s">
        <v>1012</v>
      </c>
      <c r="E68" t="s">
        <v>968</v>
      </c>
      <c r="F68" t="s">
        <v>1013</v>
      </c>
    </row>
    <row r="69" spans="1:6" x14ac:dyDescent="0.25">
      <c r="A69" s="19" t="s">
        <v>502</v>
      </c>
      <c r="B69" t="s">
        <v>905</v>
      </c>
      <c r="C69">
        <v>11</v>
      </c>
      <c r="D69" t="s">
        <v>1014</v>
      </c>
      <c r="E69" t="s">
        <v>901</v>
      </c>
      <c r="F69" t="s">
        <v>1015</v>
      </c>
    </row>
    <row r="70" spans="1:6" x14ac:dyDescent="0.25">
      <c r="A70" s="19" t="s">
        <v>492</v>
      </c>
      <c r="B70" t="s">
        <v>1025</v>
      </c>
      <c r="C70">
        <v>44</v>
      </c>
      <c r="D70" t="s">
        <v>1026</v>
      </c>
      <c r="E70" t="s">
        <v>901</v>
      </c>
      <c r="F70" t="s">
        <v>1027</v>
      </c>
    </row>
    <row r="71" spans="1:6" x14ac:dyDescent="0.25">
      <c r="A71" s="19" t="s">
        <v>492</v>
      </c>
      <c r="B71" t="s">
        <v>1028</v>
      </c>
      <c r="C71">
        <v>8</v>
      </c>
      <c r="D71" t="s">
        <v>1029</v>
      </c>
      <c r="E71" t="s">
        <v>901</v>
      </c>
      <c r="F71" t="s">
        <v>1030</v>
      </c>
    </row>
    <row r="72" spans="1:6" x14ac:dyDescent="0.25">
      <c r="A72" s="19" t="s">
        <v>492</v>
      </c>
      <c r="B72" t="s">
        <v>941</v>
      </c>
      <c r="C72">
        <v>18</v>
      </c>
      <c r="D72" t="s">
        <v>1031</v>
      </c>
      <c r="E72" t="s">
        <v>1032</v>
      </c>
      <c r="F72" t="s">
        <v>959</v>
      </c>
    </row>
    <row r="73" spans="1:6" x14ac:dyDescent="0.25">
      <c r="A73" s="19" t="s">
        <v>492</v>
      </c>
      <c r="B73" t="s">
        <v>1033</v>
      </c>
      <c r="C73">
        <v>8</v>
      </c>
      <c r="D73" t="s">
        <v>1034</v>
      </c>
      <c r="E73" t="s">
        <v>1032</v>
      </c>
      <c r="F73" t="s">
        <v>1035</v>
      </c>
    </row>
    <row r="74" spans="1:6" x14ac:dyDescent="0.25">
      <c r="A74" s="19" t="s">
        <v>492</v>
      </c>
      <c r="B74" t="s">
        <v>960</v>
      </c>
      <c r="C74">
        <v>4</v>
      </c>
      <c r="D74" t="s">
        <v>1036</v>
      </c>
      <c r="E74" t="s">
        <v>925</v>
      </c>
      <c r="F74" t="s">
        <v>1037</v>
      </c>
    </row>
    <row r="75" spans="1:6" x14ac:dyDescent="0.25">
      <c r="A75" s="19" t="s">
        <v>492</v>
      </c>
      <c r="B75" t="s">
        <v>961</v>
      </c>
      <c r="C75">
        <v>12</v>
      </c>
      <c r="D75" t="s">
        <v>1038</v>
      </c>
      <c r="E75" t="s">
        <v>911</v>
      </c>
      <c r="F75" t="s">
        <v>1039</v>
      </c>
    </row>
    <row r="76" spans="1:6" x14ac:dyDescent="0.25">
      <c r="A76" s="19" t="s">
        <v>492</v>
      </c>
      <c r="B76" t="s">
        <v>23</v>
      </c>
      <c r="C76">
        <v>3</v>
      </c>
      <c r="D76" t="s">
        <v>1040</v>
      </c>
      <c r="E76" t="s">
        <v>925</v>
      </c>
      <c r="F76" t="s">
        <v>1041</v>
      </c>
    </row>
    <row r="77" spans="1:6" x14ac:dyDescent="0.25">
      <c r="A77" s="19" t="s">
        <v>492</v>
      </c>
      <c r="B77" t="s">
        <v>1042</v>
      </c>
      <c r="C77">
        <v>3</v>
      </c>
      <c r="D77" t="s">
        <v>1043</v>
      </c>
      <c r="E77" t="s">
        <v>1044</v>
      </c>
      <c r="F77" t="s">
        <v>1045</v>
      </c>
    </row>
    <row r="78" spans="1:6" x14ac:dyDescent="0.25">
      <c r="A78" s="19" t="s">
        <v>470</v>
      </c>
      <c r="B78" t="s">
        <v>1025</v>
      </c>
      <c r="C78">
        <v>61</v>
      </c>
      <c r="D78" t="s">
        <v>1046</v>
      </c>
      <c r="E78" t="s">
        <v>901</v>
      </c>
      <c r="F78" t="s">
        <v>1047</v>
      </c>
    </row>
    <row r="79" spans="1:6" x14ac:dyDescent="0.25">
      <c r="A79" s="19" t="s">
        <v>470</v>
      </c>
      <c r="B79" t="s">
        <v>961</v>
      </c>
      <c r="C79">
        <v>12</v>
      </c>
      <c r="D79" t="s">
        <v>1048</v>
      </c>
      <c r="E79" t="s">
        <v>1049</v>
      </c>
      <c r="F79" t="s">
        <v>1050</v>
      </c>
    </row>
    <row r="80" spans="1:6" x14ac:dyDescent="0.25">
      <c r="A80" s="19" t="s">
        <v>470</v>
      </c>
      <c r="B80" t="s">
        <v>1033</v>
      </c>
      <c r="C80">
        <v>9</v>
      </c>
      <c r="D80" t="s">
        <v>1051</v>
      </c>
      <c r="E80" t="s">
        <v>925</v>
      </c>
      <c r="F80" t="s">
        <v>1052</v>
      </c>
    </row>
    <row r="81" spans="1:6" x14ac:dyDescent="0.25">
      <c r="A81" s="19" t="s">
        <v>470</v>
      </c>
      <c r="B81" t="s">
        <v>941</v>
      </c>
      <c r="C81">
        <v>4</v>
      </c>
      <c r="D81" t="s">
        <v>1053</v>
      </c>
      <c r="E81" t="s">
        <v>925</v>
      </c>
      <c r="F81" t="s">
        <v>1054</v>
      </c>
    </row>
    <row r="82" spans="1:6" x14ac:dyDescent="0.25">
      <c r="A82" s="19" t="s">
        <v>470</v>
      </c>
      <c r="B82" t="s">
        <v>23</v>
      </c>
      <c r="C82">
        <v>4</v>
      </c>
      <c r="D82" t="s">
        <v>1055</v>
      </c>
      <c r="E82" t="s">
        <v>917</v>
      </c>
      <c r="F82" t="s">
        <v>1056</v>
      </c>
    </row>
    <row r="83" spans="1:6" x14ac:dyDescent="0.25">
      <c r="A83" s="19" t="s">
        <v>470</v>
      </c>
      <c r="B83" t="s">
        <v>950</v>
      </c>
      <c r="C83">
        <v>3</v>
      </c>
      <c r="D83" t="s">
        <v>1057</v>
      </c>
      <c r="E83" t="s">
        <v>917</v>
      </c>
      <c r="F83" t="s">
        <v>972</v>
      </c>
    </row>
    <row r="84" spans="1:6" x14ac:dyDescent="0.25">
      <c r="A84" s="19" t="s">
        <v>470</v>
      </c>
      <c r="B84" t="s">
        <v>923</v>
      </c>
      <c r="C84">
        <v>3</v>
      </c>
      <c r="D84" t="s">
        <v>1058</v>
      </c>
      <c r="E84" t="s">
        <v>925</v>
      </c>
      <c r="F84" t="s">
        <v>942</v>
      </c>
    </row>
    <row r="85" spans="1:6" x14ac:dyDescent="0.25">
      <c r="A85" s="19" t="s">
        <v>470</v>
      </c>
      <c r="B85" t="s">
        <v>18</v>
      </c>
      <c r="C85">
        <v>2</v>
      </c>
      <c r="D85" t="s">
        <v>1059</v>
      </c>
      <c r="E85" t="s">
        <v>911</v>
      </c>
      <c r="F85" t="s">
        <v>1060</v>
      </c>
    </row>
    <row r="86" spans="1:6" x14ac:dyDescent="0.25">
      <c r="A86" s="19" t="s">
        <v>522</v>
      </c>
      <c r="B86" t="s">
        <v>1025</v>
      </c>
      <c r="C86">
        <v>49</v>
      </c>
      <c r="D86" t="s">
        <v>1061</v>
      </c>
      <c r="E86" t="s">
        <v>901</v>
      </c>
      <c r="F86" t="s">
        <v>1047</v>
      </c>
    </row>
    <row r="87" spans="1:6" x14ac:dyDescent="0.25">
      <c r="A87" s="19" t="s">
        <v>522</v>
      </c>
      <c r="B87" t="s">
        <v>903</v>
      </c>
      <c r="C87">
        <v>12</v>
      </c>
      <c r="D87" t="s">
        <v>1062</v>
      </c>
      <c r="E87" t="s">
        <v>901</v>
      </c>
      <c r="F87" t="s">
        <v>1063</v>
      </c>
    </row>
    <row r="88" spans="1:6" x14ac:dyDescent="0.25">
      <c r="A88" s="19" t="s">
        <v>522</v>
      </c>
      <c r="B88" t="s">
        <v>961</v>
      </c>
      <c r="C88">
        <v>10</v>
      </c>
      <c r="D88" t="s">
        <v>1064</v>
      </c>
      <c r="E88" t="s">
        <v>1049</v>
      </c>
      <c r="F88" t="s">
        <v>1065</v>
      </c>
    </row>
    <row r="89" spans="1:6" x14ac:dyDescent="0.25">
      <c r="A89" s="19" t="s">
        <v>522</v>
      </c>
      <c r="B89" t="s">
        <v>960</v>
      </c>
      <c r="C89">
        <v>14</v>
      </c>
      <c r="D89" t="s">
        <v>1066</v>
      </c>
      <c r="E89" t="s">
        <v>1067</v>
      </c>
      <c r="F89" t="s">
        <v>1052</v>
      </c>
    </row>
    <row r="90" spans="1:6" x14ac:dyDescent="0.25">
      <c r="A90" s="19" t="s">
        <v>522</v>
      </c>
      <c r="B90" t="s">
        <v>23</v>
      </c>
      <c r="C90">
        <v>5</v>
      </c>
      <c r="D90" t="s">
        <v>1068</v>
      </c>
      <c r="E90" t="s">
        <v>917</v>
      </c>
      <c r="F90" t="s">
        <v>1069</v>
      </c>
    </row>
    <row r="91" spans="1:6" x14ac:dyDescent="0.25">
      <c r="A91" s="19" t="s">
        <v>522</v>
      </c>
      <c r="B91" t="s">
        <v>923</v>
      </c>
      <c r="C91">
        <v>3</v>
      </c>
      <c r="D91" t="s">
        <v>1070</v>
      </c>
      <c r="E91" t="s">
        <v>925</v>
      </c>
      <c r="F91" t="s">
        <v>940</v>
      </c>
    </row>
    <row r="92" spans="1:6" x14ac:dyDescent="0.25">
      <c r="A92" s="19" t="s">
        <v>522</v>
      </c>
      <c r="B92" t="s">
        <v>950</v>
      </c>
      <c r="C92">
        <v>3</v>
      </c>
      <c r="D92" t="s">
        <v>1071</v>
      </c>
      <c r="E92" t="s">
        <v>917</v>
      </c>
      <c r="F92" t="s">
        <v>1072</v>
      </c>
    </row>
    <row r="93" spans="1:6" x14ac:dyDescent="0.25">
      <c r="A93" s="19" t="s">
        <v>522</v>
      </c>
      <c r="B93" t="s">
        <v>970</v>
      </c>
      <c r="C93">
        <v>2</v>
      </c>
      <c r="D93" t="s">
        <v>1073</v>
      </c>
      <c r="E93" t="s">
        <v>925</v>
      </c>
      <c r="F93" t="s">
        <v>1074</v>
      </c>
    </row>
    <row r="94" spans="1:6" x14ac:dyDescent="0.25">
      <c r="A94" s="19" t="s">
        <v>522</v>
      </c>
      <c r="B94" t="s">
        <v>905</v>
      </c>
      <c r="C94">
        <v>2</v>
      </c>
      <c r="D94" t="s">
        <v>1084</v>
      </c>
      <c r="E94" t="s">
        <v>901</v>
      </c>
      <c r="F94" t="s">
        <v>933</v>
      </c>
    </row>
    <row r="95" spans="1:6" x14ac:dyDescent="0.25">
      <c r="A95" s="19" t="s">
        <v>512</v>
      </c>
      <c r="B95" t="s">
        <v>1025</v>
      </c>
      <c r="C95">
        <v>65</v>
      </c>
      <c r="D95" t="s">
        <v>1075</v>
      </c>
      <c r="E95" t="s">
        <v>901</v>
      </c>
      <c r="F95" t="s">
        <v>1047</v>
      </c>
    </row>
    <row r="96" spans="1:6" x14ac:dyDescent="0.25">
      <c r="A96" s="19" t="s">
        <v>512</v>
      </c>
      <c r="B96" t="s">
        <v>1042</v>
      </c>
      <c r="C96">
        <v>19</v>
      </c>
      <c r="D96" t="s">
        <v>1076</v>
      </c>
      <c r="E96" t="s">
        <v>911</v>
      </c>
      <c r="F96" t="s">
        <v>1077</v>
      </c>
    </row>
    <row r="97" spans="1:6" x14ac:dyDescent="0.25">
      <c r="A97" s="19" t="s">
        <v>512</v>
      </c>
      <c r="B97" t="s">
        <v>961</v>
      </c>
      <c r="C97">
        <v>5</v>
      </c>
      <c r="D97" t="s">
        <v>1078</v>
      </c>
      <c r="E97" t="s">
        <v>1049</v>
      </c>
      <c r="F97" t="s">
        <v>972</v>
      </c>
    </row>
    <row r="98" spans="1:6" x14ac:dyDescent="0.25">
      <c r="A98" s="19" t="s">
        <v>512</v>
      </c>
      <c r="B98" t="s">
        <v>941</v>
      </c>
      <c r="C98">
        <v>4</v>
      </c>
      <c r="D98" t="s">
        <v>1079</v>
      </c>
      <c r="E98" t="s">
        <v>925</v>
      </c>
      <c r="F98" t="s">
        <v>940</v>
      </c>
    </row>
    <row r="99" spans="1:6" x14ac:dyDescent="0.25">
      <c r="A99" s="19" t="s">
        <v>512</v>
      </c>
      <c r="B99" t="s">
        <v>923</v>
      </c>
      <c r="C99">
        <v>4</v>
      </c>
      <c r="D99" t="s">
        <v>1080</v>
      </c>
      <c r="E99" t="s">
        <v>925</v>
      </c>
      <c r="F99" t="s">
        <v>942</v>
      </c>
    </row>
    <row r="100" spans="1:6" x14ac:dyDescent="0.25">
      <c r="A100" s="19" t="s">
        <v>512</v>
      </c>
      <c r="B100" t="s">
        <v>23</v>
      </c>
      <c r="C100">
        <v>3</v>
      </c>
      <c r="D100" t="s">
        <v>1081</v>
      </c>
      <c r="E100" t="s">
        <v>917</v>
      </c>
      <c r="F100" t="s">
        <v>1082</v>
      </c>
    </row>
    <row r="101" spans="1:6" x14ac:dyDescent="0.25">
      <c r="A101" s="19" t="s">
        <v>482</v>
      </c>
      <c r="B101" t="s">
        <v>1025</v>
      </c>
      <c r="C101">
        <v>57</v>
      </c>
      <c r="D101" t="s">
        <v>1085</v>
      </c>
      <c r="E101" t="s">
        <v>901</v>
      </c>
      <c r="F101" t="s">
        <v>1047</v>
      </c>
    </row>
    <row r="102" spans="1:6" x14ac:dyDescent="0.25">
      <c r="A102" s="19" t="s">
        <v>482</v>
      </c>
      <c r="B102" t="s">
        <v>903</v>
      </c>
      <c r="C102">
        <v>8</v>
      </c>
      <c r="D102" t="s">
        <v>1086</v>
      </c>
      <c r="E102" t="s">
        <v>901</v>
      </c>
      <c r="F102" t="s">
        <v>1087</v>
      </c>
    </row>
    <row r="103" spans="1:6" x14ac:dyDescent="0.25">
      <c r="A103" s="19" t="s">
        <v>482</v>
      </c>
      <c r="B103" t="s">
        <v>950</v>
      </c>
      <c r="C103">
        <v>7</v>
      </c>
      <c r="D103" t="s">
        <v>1088</v>
      </c>
      <c r="E103" t="s">
        <v>911</v>
      </c>
      <c r="F103" t="s">
        <v>1089</v>
      </c>
    </row>
    <row r="104" spans="1:6" x14ac:dyDescent="0.25">
      <c r="A104" s="19" t="s">
        <v>482</v>
      </c>
      <c r="B104" t="s">
        <v>923</v>
      </c>
      <c r="C104">
        <v>6</v>
      </c>
      <c r="D104" t="s">
        <v>1090</v>
      </c>
      <c r="E104" t="s">
        <v>925</v>
      </c>
      <c r="F104" t="s">
        <v>1091</v>
      </c>
    </row>
    <row r="105" spans="1:6" x14ac:dyDescent="0.25">
      <c r="A105" s="19" t="s">
        <v>482</v>
      </c>
      <c r="B105" t="s">
        <v>23</v>
      </c>
      <c r="C105">
        <v>12</v>
      </c>
      <c r="D105" t="s">
        <v>1092</v>
      </c>
      <c r="E105" t="s">
        <v>917</v>
      </c>
      <c r="F105" t="s">
        <v>1093</v>
      </c>
    </row>
    <row r="106" spans="1:6" x14ac:dyDescent="0.25">
      <c r="A106" s="19" t="s">
        <v>482</v>
      </c>
      <c r="B106" t="s">
        <v>941</v>
      </c>
      <c r="C106">
        <v>4</v>
      </c>
      <c r="D106" t="s">
        <v>1094</v>
      </c>
      <c r="E106" t="s">
        <v>925</v>
      </c>
      <c r="F106" t="s">
        <v>942</v>
      </c>
    </row>
    <row r="107" spans="1:6" x14ac:dyDescent="0.25">
      <c r="A107" s="19" t="s">
        <v>482</v>
      </c>
      <c r="B107" t="s">
        <v>18</v>
      </c>
      <c r="C107">
        <v>3</v>
      </c>
      <c r="D107" t="s">
        <v>1095</v>
      </c>
      <c r="E107" t="s">
        <v>911</v>
      </c>
      <c r="F107" t="s">
        <v>1096</v>
      </c>
    </row>
    <row r="108" spans="1:6" x14ac:dyDescent="0.25">
      <c r="A108" s="19" t="s">
        <v>482</v>
      </c>
      <c r="B108" t="s">
        <v>961</v>
      </c>
      <c r="C108">
        <v>2</v>
      </c>
      <c r="D108" t="s">
        <v>1097</v>
      </c>
      <c r="E108" t="s">
        <v>911</v>
      </c>
      <c r="F108" t="s">
        <v>1098</v>
      </c>
    </row>
    <row r="109" spans="1:6" x14ac:dyDescent="0.25">
      <c r="A109" s="19" t="s">
        <v>482</v>
      </c>
      <c r="B109" t="s">
        <v>905</v>
      </c>
      <c r="C109">
        <v>1</v>
      </c>
      <c r="D109" t="s">
        <v>1117</v>
      </c>
      <c r="E109" t="s">
        <v>901</v>
      </c>
      <c r="F109" t="s">
        <v>933</v>
      </c>
    </row>
    <row r="110" spans="1:6" x14ac:dyDescent="0.25">
      <c r="A110" s="19" t="s">
        <v>466</v>
      </c>
      <c r="B110" t="s">
        <v>1025</v>
      </c>
      <c r="C110">
        <v>72</v>
      </c>
      <c r="D110" t="s">
        <v>1099</v>
      </c>
      <c r="E110" t="s">
        <v>901</v>
      </c>
      <c r="F110" t="s">
        <v>1047</v>
      </c>
    </row>
    <row r="111" spans="1:6" x14ac:dyDescent="0.25">
      <c r="A111" s="19" t="s">
        <v>466</v>
      </c>
      <c r="B111" t="s">
        <v>950</v>
      </c>
      <c r="C111">
        <v>10</v>
      </c>
      <c r="D111" t="s">
        <v>1100</v>
      </c>
      <c r="E111" t="s">
        <v>1049</v>
      </c>
      <c r="F111" t="s">
        <v>1101</v>
      </c>
    </row>
    <row r="112" spans="1:6" x14ac:dyDescent="0.25">
      <c r="A112" s="19" t="s">
        <v>466</v>
      </c>
      <c r="B112" t="s">
        <v>923</v>
      </c>
      <c r="C112">
        <v>8</v>
      </c>
      <c r="D112" t="s">
        <v>1102</v>
      </c>
      <c r="E112" t="s">
        <v>917</v>
      </c>
      <c r="F112" t="s">
        <v>1091</v>
      </c>
    </row>
    <row r="113" spans="1:6" x14ac:dyDescent="0.25">
      <c r="A113" s="19" t="s">
        <v>466</v>
      </c>
      <c r="B113" t="s">
        <v>23</v>
      </c>
      <c r="C113">
        <v>5</v>
      </c>
      <c r="D113" t="s">
        <v>1103</v>
      </c>
      <c r="E113" t="s">
        <v>917</v>
      </c>
      <c r="F113" t="s">
        <v>1104</v>
      </c>
    </row>
    <row r="114" spans="1:6" x14ac:dyDescent="0.25">
      <c r="A114" s="19" t="s">
        <v>466</v>
      </c>
      <c r="B114" t="s">
        <v>941</v>
      </c>
      <c r="C114">
        <v>2</v>
      </c>
      <c r="D114" t="s">
        <v>1105</v>
      </c>
      <c r="E114" t="s">
        <v>925</v>
      </c>
      <c r="F114" t="s">
        <v>940</v>
      </c>
    </row>
    <row r="115" spans="1:6" x14ac:dyDescent="0.25">
      <c r="A115" s="19" t="s">
        <v>466</v>
      </c>
      <c r="B115" t="s">
        <v>18</v>
      </c>
      <c r="C115">
        <v>3</v>
      </c>
      <c r="D115" t="s">
        <v>1095</v>
      </c>
      <c r="E115" t="s">
        <v>911</v>
      </c>
      <c r="F115" t="s">
        <v>1011</v>
      </c>
    </row>
    <row r="116" spans="1:6" x14ac:dyDescent="0.25">
      <c r="A116" s="19" t="s">
        <v>476</v>
      </c>
      <c r="B116" t="s">
        <v>1025</v>
      </c>
      <c r="C116">
        <v>53</v>
      </c>
      <c r="D116" t="s">
        <v>1106</v>
      </c>
      <c r="E116" t="s">
        <v>901</v>
      </c>
      <c r="F116" t="s">
        <v>1047</v>
      </c>
    </row>
    <row r="117" spans="1:6" x14ac:dyDescent="0.25">
      <c r="A117" s="19" t="s">
        <v>476</v>
      </c>
      <c r="B117" t="s">
        <v>1028</v>
      </c>
      <c r="C117">
        <v>10</v>
      </c>
      <c r="D117" t="s">
        <v>1107</v>
      </c>
      <c r="E117" t="s">
        <v>901</v>
      </c>
      <c r="F117" t="s">
        <v>1108</v>
      </c>
    </row>
    <row r="118" spans="1:6" x14ac:dyDescent="0.25">
      <c r="A118" s="19" t="s">
        <v>476</v>
      </c>
      <c r="B118" t="s">
        <v>923</v>
      </c>
      <c r="C118">
        <v>15</v>
      </c>
      <c r="D118" t="s">
        <v>1109</v>
      </c>
      <c r="E118" t="s">
        <v>925</v>
      </c>
      <c r="F118" t="s">
        <v>1110</v>
      </c>
    </row>
    <row r="119" spans="1:6" x14ac:dyDescent="0.25">
      <c r="A119" s="19" t="s">
        <v>476</v>
      </c>
      <c r="B119" t="s">
        <v>23</v>
      </c>
      <c r="C119">
        <v>7</v>
      </c>
      <c r="D119" t="s">
        <v>1111</v>
      </c>
      <c r="E119" t="s">
        <v>917</v>
      </c>
      <c r="F119" t="s">
        <v>1112</v>
      </c>
    </row>
    <row r="120" spans="1:6" x14ac:dyDescent="0.25">
      <c r="A120" s="19" t="s">
        <v>476</v>
      </c>
      <c r="B120" t="s">
        <v>941</v>
      </c>
      <c r="C120">
        <v>5</v>
      </c>
      <c r="D120" t="s">
        <v>1113</v>
      </c>
      <c r="E120" t="s">
        <v>925</v>
      </c>
      <c r="F120" t="s">
        <v>944</v>
      </c>
    </row>
    <row r="121" spans="1:6" x14ac:dyDescent="0.25">
      <c r="A121" s="19" t="s">
        <v>476</v>
      </c>
      <c r="B121" t="s">
        <v>961</v>
      </c>
      <c r="C121">
        <v>5</v>
      </c>
      <c r="D121" t="s">
        <v>1114</v>
      </c>
      <c r="E121" t="s">
        <v>911</v>
      </c>
      <c r="F121" t="s">
        <v>1115</v>
      </c>
    </row>
    <row r="122" spans="1:6" x14ac:dyDescent="0.25">
      <c r="A122" s="19" t="s">
        <v>476</v>
      </c>
      <c r="B122" t="s">
        <v>950</v>
      </c>
      <c r="C122">
        <v>5</v>
      </c>
      <c r="D122" t="s">
        <v>1116</v>
      </c>
      <c r="E122" t="s">
        <v>911</v>
      </c>
      <c r="F122" t="s">
        <v>940</v>
      </c>
    </row>
    <row r="123" spans="1:6" x14ac:dyDescent="0.25">
      <c r="A123" s="19" t="s">
        <v>488</v>
      </c>
      <c r="B123" t="s">
        <v>1042</v>
      </c>
      <c r="C123">
        <v>69</v>
      </c>
      <c r="D123" t="s">
        <v>1118</v>
      </c>
      <c r="E123" t="s">
        <v>901</v>
      </c>
      <c r="F123" t="s">
        <v>956</v>
      </c>
    </row>
    <row r="124" spans="1:6" x14ac:dyDescent="0.25">
      <c r="A124" s="19" t="s">
        <v>488</v>
      </c>
      <c r="B124" t="s">
        <v>1028</v>
      </c>
      <c r="C124">
        <v>5</v>
      </c>
      <c r="D124" t="s">
        <v>1119</v>
      </c>
      <c r="E124" t="s">
        <v>901</v>
      </c>
      <c r="F124" t="s">
        <v>1120</v>
      </c>
    </row>
    <row r="125" spans="1:6" x14ac:dyDescent="0.25">
      <c r="A125" s="19" t="s">
        <v>488</v>
      </c>
      <c r="B125" t="s">
        <v>961</v>
      </c>
      <c r="C125">
        <v>10</v>
      </c>
      <c r="D125" t="s">
        <v>1121</v>
      </c>
      <c r="E125" t="s">
        <v>911</v>
      </c>
      <c r="F125" t="s">
        <v>1122</v>
      </c>
    </row>
    <row r="126" spans="1:6" x14ac:dyDescent="0.25">
      <c r="A126" s="19" t="s">
        <v>488</v>
      </c>
      <c r="B126" t="s">
        <v>1123</v>
      </c>
      <c r="C126">
        <v>4</v>
      </c>
      <c r="D126" t="s">
        <v>1124</v>
      </c>
      <c r="E126" t="s">
        <v>911</v>
      </c>
      <c r="F126" t="s">
        <v>1125</v>
      </c>
    </row>
    <row r="127" spans="1:6" x14ac:dyDescent="0.25">
      <c r="A127" s="19" t="s">
        <v>488</v>
      </c>
      <c r="B127" t="s">
        <v>1126</v>
      </c>
      <c r="C127">
        <v>3</v>
      </c>
      <c r="D127" t="s">
        <v>1127</v>
      </c>
      <c r="E127" t="s">
        <v>911</v>
      </c>
      <c r="F127" t="s">
        <v>1128</v>
      </c>
    </row>
    <row r="128" spans="1:6" x14ac:dyDescent="0.25">
      <c r="A128" s="19" t="s">
        <v>488</v>
      </c>
      <c r="B128" t="s">
        <v>1129</v>
      </c>
      <c r="C128">
        <v>2</v>
      </c>
      <c r="D128" t="s">
        <v>1130</v>
      </c>
      <c r="E128" t="s">
        <v>911</v>
      </c>
      <c r="F128" t="s">
        <v>1131</v>
      </c>
    </row>
    <row r="129" spans="1:6" x14ac:dyDescent="0.25">
      <c r="A129" s="19" t="s">
        <v>488</v>
      </c>
      <c r="B129" t="s">
        <v>941</v>
      </c>
      <c r="C129">
        <v>4</v>
      </c>
      <c r="D129" t="s">
        <v>1132</v>
      </c>
      <c r="E129" t="s">
        <v>925</v>
      </c>
      <c r="F129" t="s">
        <v>1133</v>
      </c>
    </row>
    <row r="130" spans="1:6" x14ac:dyDescent="0.25">
      <c r="A130" s="19" t="s">
        <v>488</v>
      </c>
      <c r="B130" t="s">
        <v>960</v>
      </c>
      <c r="C130">
        <v>3</v>
      </c>
      <c r="D130" t="s">
        <v>1134</v>
      </c>
      <c r="E130" t="s">
        <v>917</v>
      </c>
      <c r="F130" t="s">
        <v>1135</v>
      </c>
    </row>
    <row r="131" spans="1:6" x14ac:dyDescent="0.25">
      <c r="A131" s="19" t="s">
        <v>528</v>
      </c>
      <c r="B131" t="s">
        <v>1042</v>
      </c>
      <c r="C131">
        <v>64</v>
      </c>
      <c r="D131" t="s">
        <v>1136</v>
      </c>
      <c r="E131" t="s">
        <v>901</v>
      </c>
      <c r="F131" t="s">
        <v>956</v>
      </c>
    </row>
    <row r="132" spans="1:6" x14ac:dyDescent="0.25">
      <c r="A132" s="19" t="s">
        <v>528</v>
      </c>
      <c r="B132" t="s">
        <v>941</v>
      </c>
      <c r="C132">
        <v>16</v>
      </c>
      <c r="D132" t="s">
        <v>1163</v>
      </c>
      <c r="E132" t="s">
        <v>1067</v>
      </c>
      <c r="F132" t="s">
        <v>1137</v>
      </c>
    </row>
    <row r="133" spans="1:6" x14ac:dyDescent="0.25">
      <c r="A133" s="19" t="s">
        <v>528</v>
      </c>
      <c r="B133" t="s">
        <v>1138</v>
      </c>
      <c r="C133">
        <v>4</v>
      </c>
      <c r="D133" t="s">
        <v>1162</v>
      </c>
      <c r="E133" t="s">
        <v>1067</v>
      </c>
      <c r="F133" t="s">
        <v>1139</v>
      </c>
    </row>
    <row r="134" spans="1:6" x14ac:dyDescent="0.25">
      <c r="A134" s="19" t="s">
        <v>528</v>
      </c>
      <c r="B134" t="s">
        <v>960</v>
      </c>
      <c r="C134">
        <v>4</v>
      </c>
      <c r="D134" t="s">
        <v>1140</v>
      </c>
      <c r="E134" t="s">
        <v>1067</v>
      </c>
      <c r="F134" t="s">
        <v>1141</v>
      </c>
    </row>
    <row r="135" spans="1:6" x14ac:dyDescent="0.25">
      <c r="A135" s="19" t="s">
        <v>528</v>
      </c>
      <c r="B135" t="s">
        <v>1142</v>
      </c>
      <c r="C135">
        <v>6</v>
      </c>
      <c r="D135" t="s">
        <v>1143</v>
      </c>
      <c r="E135" t="s">
        <v>917</v>
      </c>
      <c r="F135" t="s">
        <v>1144</v>
      </c>
    </row>
    <row r="136" spans="1:6" x14ac:dyDescent="0.25">
      <c r="A136" s="19" t="s">
        <v>528</v>
      </c>
      <c r="B136" t="s">
        <v>961</v>
      </c>
      <c r="C136">
        <v>3</v>
      </c>
      <c r="D136" t="s">
        <v>1145</v>
      </c>
      <c r="E136" t="s">
        <v>911</v>
      </c>
      <c r="F136" t="s">
        <v>1146</v>
      </c>
    </row>
    <row r="137" spans="1:6" x14ac:dyDescent="0.25">
      <c r="A137" s="19" t="s">
        <v>528</v>
      </c>
      <c r="B137" t="s">
        <v>1123</v>
      </c>
      <c r="C137">
        <v>3</v>
      </c>
      <c r="D137" t="s">
        <v>1147</v>
      </c>
      <c r="E137" t="s">
        <v>911</v>
      </c>
      <c r="F137" t="s">
        <v>1148</v>
      </c>
    </row>
    <row r="138" spans="1:6" x14ac:dyDescent="0.25">
      <c r="A138" s="19" t="s">
        <v>756</v>
      </c>
      <c r="B138" t="s">
        <v>1042</v>
      </c>
      <c r="C138">
        <v>81</v>
      </c>
      <c r="D138" t="s">
        <v>1149</v>
      </c>
      <c r="E138" t="s">
        <v>901</v>
      </c>
      <c r="F138" t="s">
        <v>1150</v>
      </c>
    </row>
    <row r="139" spans="1:6" x14ac:dyDescent="0.25">
      <c r="A139" s="19" t="s">
        <v>756</v>
      </c>
      <c r="B139" t="s">
        <v>1025</v>
      </c>
      <c r="C139">
        <v>10</v>
      </c>
      <c r="D139" t="s">
        <v>1151</v>
      </c>
      <c r="E139" t="s">
        <v>909</v>
      </c>
      <c r="F139" t="s">
        <v>1152</v>
      </c>
    </row>
    <row r="140" spans="1:6" x14ac:dyDescent="0.25">
      <c r="A140" s="19" t="s">
        <v>756</v>
      </c>
      <c r="B140" t="s">
        <v>961</v>
      </c>
      <c r="C140">
        <v>5</v>
      </c>
      <c r="D140" t="s">
        <v>1153</v>
      </c>
      <c r="E140" t="s">
        <v>911</v>
      </c>
      <c r="F140" t="s">
        <v>940</v>
      </c>
    </row>
    <row r="141" spans="1:6" x14ac:dyDescent="0.25">
      <c r="A141" s="19" t="s">
        <v>756</v>
      </c>
      <c r="B141" t="s">
        <v>1123</v>
      </c>
      <c r="C141">
        <v>4</v>
      </c>
      <c r="D141" t="s">
        <v>1154</v>
      </c>
      <c r="E141" t="s">
        <v>911</v>
      </c>
      <c r="F141" t="s">
        <v>972</v>
      </c>
    </row>
    <row r="142" spans="1:6" x14ac:dyDescent="0.25">
      <c r="A142" s="19" t="s">
        <v>759</v>
      </c>
      <c r="B142" t="s">
        <v>1028</v>
      </c>
      <c r="C142">
        <v>90</v>
      </c>
      <c r="D142" t="s">
        <v>1155</v>
      </c>
      <c r="E142" t="s">
        <v>901</v>
      </c>
      <c r="F142" t="s">
        <v>956</v>
      </c>
    </row>
    <row r="143" spans="1:6" x14ac:dyDescent="0.25">
      <c r="A143" s="19" t="s">
        <v>759</v>
      </c>
      <c r="B143" t="s">
        <v>1025</v>
      </c>
      <c r="C143">
        <v>6</v>
      </c>
      <c r="D143" t="s">
        <v>1156</v>
      </c>
      <c r="E143" t="s">
        <v>1157</v>
      </c>
      <c r="F143" t="s">
        <v>1158</v>
      </c>
    </row>
    <row r="144" spans="1:6" x14ac:dyDescent="0.25">
      <c r="A144" s="19" t="s">
        <v>759</v>
      </c>
      <c r="B144" t="s">
        <v>961</v>
      </c>
      <c r="C144">
        <v>2</v>
      </c>
      <c r="D144" t="s">
        <v>1159</v>
      </c>
      <c r="E144" t="s">
        <v>911</v>
      </c>
      <c r="F144" t="s">
        <v>1160</v>
      </c>
    </row>
    <row r="145" spans="1:6" x14ac:dyDescent="0.25">
      <c r="A145" s="19" t="s">
        <v>759</v>
      </c>
      <c r="B145" t="s">
        <v>923</v>
      </c>
      <c r="C145">
        <v>2</v>
      </c>
      <c r="D145" t="s">
        <v>1161</v>
      </c>
      <c r="E145" t="s">
        <v>917</v>
      </c>
      <c r="F145" t="s">
        <v>1160</v>
      </c>
    </row>
    <row r="146" spans="1:6" x14ac:dyDescent="0.25">
      <c r="A146" s="19" t="s">
        <v>506</v>
      </c>
      <c r="B146" t="s">
        <v>1028</v>
      </c>
      <c r="C146">
        <v>68</v>
      </c>
      <c r="D146" t="s">
        <v>1164</v>
      </c>
      <c r="E146" t="s">
        <v>901</v>
      </c>
      <c r="F146" t="s">
        <v>956</v>
      </c>
    </row>
    <row r="147" spans="1:6" x14ac:dyDescent="0.25">
      <c r="A147" s="19" t="s">
        <v>506</v>
      </c>
      <c r="B147" t="s">
        <v>1025</v>
      </c>
      <c r="C147">
        <v>7</v>
      </c>
      <c r="D147" t="s">
        <v>1165</v>
      </c>
      <c r="E147" t="s">
        <v>901</v>
      </c>
      <c r="F147" t="s">
        <v>1166</v>
      </c>
    </row>
    <row r="148" spans="1:6" x14ac:dyDescent="0.25">
      <c r="A148" s="19" t="s">
        <v>506</v>
      </c>
      <c r="B148" t="s">
        <v>961</v>
      </c>
      <c r="C148">
        <v>8</v>
      </c>
      <c r="D148" t="s">
        <v>1167</v>
      </c>
      <c r="E148" t="s">
        <v>911</v>
      </c>
      <c r="F148" t="s">
        <v>1168</v>
      </c>
    </row>
    <row r="149" spans="1:6" x14ac:dyDescent="0.25">
      <c r="A149" s="19" t="s">
        <v>506</v>
      </c>
      <c r="B149" t="s">
        <v>923</v>
      </c>
      <c r="C149">
        <v>6</v>
      </c>
      <c r="D149" t="s">
        <v>1169</v>
      </c>
      <c r="E149" t="s">
        <v>917</v>
      </c>
      <c r="F149" t="s">
        <v>1170</v>
      </c>
    </row>
    <row r="150" spans="1:6" x14ac:dyDescent="0.25">
      <c r="A150" s="19" t="s">
        <v>506</v>
      </c>
      <c r="B150" t="s">
        <v>941</v>
      </c>
      <c r="C150">
        <v>4</v>
      </c>
      <c r="D150" t="s">
        <v>1171</v>
      </c>
      <c r="E150" t="s">
        <v>925</v>
      </c>
      <c r="F150" t="s">
        <v>1172</v>
      </c>
    </row>
    <row r="151" spans="1:6" x14ac:dyDescent="0.25">
      <c r="A151" s="19" t="s">
        <v>506</v>
      </c>
      <c r="B151" t="s">
        <v>18</v>
      </c>
      <c r="C151">
        <v>2</v>
      </c>
      <c r="D151" t="s">
        <v>1173</v>
      </c>
      <c r="E151" t="s">
        <v>911</v>
      </c>
      <c r="F151" t="s">
        <v>972</v>
      </c>
    </row>
    <row r="152" spans="1:6" x14ac:dyDescent="0.25">
      <c r="A152" s="19" t="s">
        <v>506</v>
      </c>
      <c r="B152" t="s">
        <v>23</v>
      </c>
      <c r="C152">
        <v>2</v>
      </c>
      <c r="D152" t="s">
        <v>1174</v>
      </c>
      <c r="E152" t="s">
        <v>917</v>
      </c>
      <c r="F152" t="s">
        <v>1175</v>
      </c>
    </row>
    <row r="153" spans="1:6" x14ac:dyDescent="0.25">
      <c r="A153" s="19" t="s">
        <v>506</v>
      </c>
      <c r="B153" t="s">
        <v>1123</v>
      </c>
      <c r="C153">
        <v>3</v>
      </c>
      <c r="D153" t="s">
        <v>1176</v>
      </c>
      <c r="E153" t="s">
        <v>911</v>
      </c>
      <c r="F153" t="s">
        <v>1177</v>
      </c>
    </row>
    <row r="154" spans="1:6" x14ac:dyDescent="0.25">
      <c r="A154" s="19" t="s">
        <v>520</v>
      </c>
      <c r="B154" t="s">
        <v>1028</v>
      </c>
      <c r="C154">
        <v>74</v>
      </c>
      <c r="D154" t="s">
        <v>1179</v>
      </c>
      <c r="E154" t="s">
        <v>901</v>
      </c>
      <c r="F154" t="s">
        <v>956</v>
      </c>
    </row>
    <row r="155" spans="1:6" x14ac:dyDescent="0.25">
      <c r="A155" s="19" t="s">
        <v>520</v>
      </c>
      <c r="B155" t="s">
        <v>18</v>
      </c>
      <c r="C155">
        <v>10</v>
      </c>
      <c r="D155" t="s">
        <v>1180</v>
      </c>
      <c r="E155" t="s">
        <v>909</v>
      </c>
      <c r="F155" t="s">
        <v>1181</v>
      </c>
    </row>
    <row r="156" spans="1:6" x14ac:dyDescent="0.25">
      <c r="A156" s="19" t="s">
        <v>520</v>
      </c>
      <c r="B156" t="s">
        <v>961</v>
      </c>
      <c r="C156">
        <v>8</v>
      </c>
      <c r="D156" t="s">
        <v>1182</v>
      </c>
      <c r="E156" t="s">
        <v>911</v>
      </c>
      <c r="F156" t="s">
        <v>1183</v>
      </c>
    </row>
    <row r="157" spans="1:6" x14ac:dyDescent="0.25">
      <c r="A157" s="19" t="s">
        <v>520</v>
      </c>
      <c r="B157" t="s">
        <v>954</v>
      </c>
      <c r="C157">
        <v>4</v>
      </c>
      <c r="D157" t="s">
        <v>1184</v>
      </c>
      <c r="E157" t="s">
        <v>948</v>
      </c>
      <c r="F157" t="s">
        <v>1185</v>
      </c>
    </row>
    <row r="158" spans="1:6" x14ac:dyDescent="0.25">
      <c r="A158" s="19" t="s">
        <v>520</v>
      </c>
      <c r="B158" t="s">
        <v>941</v>
      </c>
      <c r="C158">
        <v>2</v>
      </c>
      <c r="D158" t="s">
        <v>1186</v>
      </c>
      <c r="E158" t="s">
        <v>925</v>
      </c>
      <c r="F158" t="s">
        <v>1160</v>
      </c>
    </row>
    <row r="159" spans="1:6" x14ac:dyDescent="0.25">
      <c r="A159" s="19" t="s">
        <v>520</v>
      </c>
      <c r="B159" t="s">
        <v>23</v>
      </c>
      <c r="C159">
        <v>2</v>
      </c>
      <c r="D159" t="s">
        <v>1187</v>
      </c>
      <c r="E159" t="s">
        <v>911</v>
      </c>
      <c r="F159" t="s">
        <v>1175</v>
      </c>
    </row>
    <row r="160" spans="1:6" x14ac:dyDescent="0.25">
      <c r="A160" s="19" t="s">
        <v>526</v>
      </c>
      <c r="B160" t="s">
        <v>950</v>
      </c>
      <c r="C160">
        <v>86</v>
      </c>
      <c r="D160" t="s">
        <v>1188</v>
      </c>
      <c r="E160" t="s">
        <v>901</v>
      </c>
      <c r="F160" t="s">
        <v>956</v>
      </c>
    </row>
    <row r="161" spans="1:6" x14ac:dyDescent="0.25">
      <c r="A161" s="19" t="s">
        <v>526</v>
      </c>
      <c r="B161" t="s">
        <v>1025</v>
      </c>
      <c r="C161">
        <v>5</v>
      </c>
      <c r="D161" t="s">
        <v>1189</v>
      </c>
      <c r="E161" t="s">
        <v>948</v>
      </c>
      <c r="F161" t="s">
        <v>1190</v>
      </c>
    </row>
    <row r="162" spans="1:6" x14ac:dyDescent="0.25">
      <c r="A162" s="19" t="s">
        <v>526</v>
      </c>
      <c r="B162" t="s">
        <v>903</v>
      </c>
      <c r="C162">
        <v>4</v>
      </c>
      <c r="D162" t="s">
        <v>1191</v>
      </c>
      <c r="E162" t="s">
        <v>901</v>
      </c>
      <c r="F162" t="s">
        <v>1192</v>
      </c>
    </row>
    <row r="163" spans="1:6" x14ac:dyDescent="0.25">
      <c r="A163" s="19" t="s">
        <v>526</v>
      </c>
      <c r="B163" t="s">
        <v>923</v>
      </c>
      <c r="C163">
        <v>2</v>
      </c>
      <c r="D163" t="s">
        <v>1193</v>
      </c>
      <c r="E163" t="s">
        <v>1049</v>
      </c>
      <c r="F163" t="s">
        <v>1194</v>
      </c>
    </row>
    <row r="164" spans="1:6" x14ac:dyDescent="0.25">
      <c r="A164" s="19" t="s">
        <v>526</v>
      </c>
      <c r="B164" t="s">
        <v>941</v>
      </c>
      <c r="C164">
        <v>3</v>
      </c>
      <c r="D164" t="s">
        <v>1195</v>
      </c>
      <c r="E164" t="s">
        <v>925</v>
      </c>
      <c r="F164" t="s">
        <v>972</v>
      </c>
    </row>
    <row r="165" spans="1:6" x14ac:dyDescent="0.25">
      <c r="A165" s="19" t="s">
        <v>480</v>
      </c>
      <c r="B165" t="s">
        <v>1025</v>
      </c>
      <c r="C165">
        <v>65</v>
      </c>
      <c r="D165" t="s">
        <v>1196</v>
      </c>
      <c r="E165" t="s">
        <v>901</v>
      </c>
      <c r="F165" t="s">
        <v>956</v>
      </c>
    </row>
    <row r="166" spans="1:6" x14ac:dyDescent="0.25">
      <c r="A166" s="19" t="s">
        <v>480</v>
      </c>
      <c r="B166" t="s">
        <v>950</v>
      </c>
      <c r="C166">
        <v>20</v>
      </c>
      <c r="D166" t="s">
        <v>1197</v>
      </c>
      <c r="E166" t="s">
        <v>1198</v>
      </c>
      <c r="F166" t="s">
        <v>1199</v>
      </c>
    </row>
    <row r="167" spans="1:6" x14ac:dyDescent="0.25">
      <c r="A167" s="19" t="s">
        <v>480</v>
      </c>
      <c r="B167" t="s">
        <v>903</v>
      </c>
      <c r="C167">
        <v>4</v>
      </c>
      <c r="D167" t="s">
        <v>1200</v>
      </c>
      <c r="E167" t="s">
        <v>901</v>
      </c>
      <c r="F167" t="s">
        <v>1192</v>
      </c>
    </row>
    <row r="168" spans="1:6" x14ac:dyDescent="0.25">
      <c r="A168" s="19" t="s">
        <v>480</v>
      </c>
      <c r="B168" t="s">
        <v>923</v>
      </c>
      <c r="C168">
        <v>4</v>
      </c>
      <c r="D168" t="s">
        <v>1201</v>
      </c>
      <c r="E168" t="s">
        <v>1049</v>
      </c>
      <c r="F168" t="s">
        <v>940</v>
      </c>
    </row>
    <row r="169" spans="1:6" x14ac:dyDescent="0.25">
      <c r="A169" s="19" t="s">
        <v>480</v>
      </c>
      <c r="B169" t="s">
        <v>1202</v>
      </c>
      <c r="C169">
        <v>3</v>
      </c>
      <c r="D169" t="s">
        <v>1203</v>
      </c>
      <c r="E169" t="s">
        <v>911</v>
      </c>
      <c r="F169" t="s">
        <v>1204</v>
      </c>
    </row>
    <row r="170" spans="1:6" x14ac:dyDescent="0.25">
      <c r="A170" s="19" t="s">
        <v>480</v>
      </c>
      <c r="B170" t="s">
        <v>1025</v>
      </c>
      <c r="C170">
        <v>4</v>
      </c>
      <c r="D170" t="s">
        <v>1205</v>
      </c>
      <c r="E170" t="s">
        <v>909</v>
      </c>
      <c r="F170" t="s">
        <v>1206</v>
      </c>
    </row>
    <row r="171" spans="1:6" x14ac:dyDescent="0.25">
      <c r="A171" s="19" t="s">
        <v>540</v>
      </c>
      <c r="B171" t="s">
        <v>950</v>
      </c>
      <c r="C171">
        <v>58</v>
      </c>
      <c r="D171" t="s">
        <v>1207</v>
      </c>
      <c r="E171" t="s">
        <v>901</v>
      </c>
      <c r="F171" t="s">
        <v>956</v>
      </c>
    </row>
    <row r="172" spans="1:6" x14ac:dyDescent="0.25">
      <c r="A172" s="19" t="s">
        <v>540</v>
      </c>
      <c r="B172" t="s">
        <v>1025</v>
      </c>
      <c r="C172">
        <v>23</v>
      </c>
      <c r="D172" t="s">
        <v>1208</v>
      </c>
      <c r="E172" t="s">
        <v>1198</v>
      </c>
      <c r="F172" t="s">
        <v>1209</v>
      </c>
    </row>
    <row r="173" spans="1:6" x14ac:dyDescent="0.25">
      <c r="A173" s="19" t="s">
        <v>540</v>
      </c>
      <c r="B173" t="s">
        <v>923</v>
      </c>
      <c r="C173">
        <v>8</v>
      </c>
      <c r="D173" t="s">
        <v>1210</v>
      </c>
      <c r="E173" t="s">
        <v>1049</v>
      </c>
      <c r="F173" t="s">
        <v>1211</v>
      </c>
    </row>
    <row r="174" spans="1:6" x14ac:dyDescent="0.25">
      <c r="A174" s="19" t="s">
        <v>540</v>
      </c>
      <c r="B174" t="s">
        <v>903</v>
      </c>
      <c r="C174">
        <v>5</v>
      </c>
      <c r="D174" t="s">
        <v>1212</v>
      </c>
      <c r="E174" t="s">
        <v>901</v>
      </c>
      <c r="F174" t="s">
        <v>1213</v>
      </c>
    </row>
    <row r="175" spans="1:6" x14ac:dyDescent="0.25">
      <c r="A175" s="19" t="s">
        <v>540</v>
      </c>
      <c r="B175" t="s">
        <v>941</v>
      </c>
      <c r="C175">
        <v>3</v>
      </c>
      <c r="D175" t="s">
        <v>1186</v>
      </c>
      <c r="E175" t="s">
        <v>925</v>
      </c>
      <c r="F175" t="s">
        <v>1214</v>
      </c>
    </row>
    <row r="176" spans="1:6" x14ac:dyDescent="0.25">
      <c r="A176" s="19" t="s">
        <v>540</v>
      </c>
      <c r="B176" t="s">
        <v>23</v>
      </c>
      <c r="C176">
        <v>3</v>
      </c>
      <c r="D176" t="s">
        <v>1215</v>
      </c>
      <c r="E176" t="s">
        <v>917</v>
      </c>
      <c r="F176" t="s">
        <v>1216</v>
      </c>
    </row>
    <row r="177" spans="1:6" x14ac:dyDescent="0.25">
      <c r="A177" s="19" t="s">
        <v>500</v>
      </c>
      <c r="B177" t="s">
        <v>950</v>
      </c>
      <c r="C177">
        <v>66</v>
      </c>
      <c r="D177" t="s">
        <v>1217</v>
      </c>
      <c r="E177" t="s">
        <v>901</v>
      </c>
      <c r="F177" t="s">
        <v>1218</v>
      </c>
    </row>
    <row r="178" spans="1:6" x14ac:dyDescent="0.25">
      <c r="A178" s="19" t="s">
        <v>500</v>
      </c>
      <c r="B178" t="s">
        <v>1025</v>
      </c>
      <c r="C178">
        <v>14</v>
      </c>
      <c r="D178" t="s">
        <v>1219</v>
      </c>
      <c r="E178" t="s">
        <v>1198</v>
      </c>
      <c r="F178" t="s">
        <v>1220</v>
      </c>
    </row>
    <row r="179" spans="1:6" x14ac:dyDescent="0.25">
      <c r="A179" s="19" t="s">
        <v>500</v>
      </c>
      <c r="B179" t="s">
        <v>923</v>
      </c>
      <c r="C179">
        <v>10</v>
      </c>
      <c r="D179" t="s">
        <v>1221</v>
      </c>
      <c r="E179" t="s">
        <v>1049</v>
      </c>
      <c r="F179" t="s">
        <v>1222</v>
      </c>
    </row>
    <row r="180" spans="1:6" x14ac:dyDescent="0.25">
      <c r="A180" s="19" t="s">
        <v>500</v>
      </c>
      <c r="B180" t="s">
        <v>23</v>
      </c>
      <c r="C180">
        <v>4</v>
      </c>
      <c r="D180" t="s">
        <v>1223</v>
      </c>
      <c r="E180" t="s">
        <v>917</v>
      </c>
      <c r="F180" t="s">
        <v>940</v>
      </c>
    </row>
    <row r="181" spans="1:6" x14ac:dyDescent="0.25">
      <c r="A181" s="19" t="s">
        <v>500</v>
      </c>
      <c r="B181" t="s">
        <v>18</v>
      </c>
      <c r="C181">
        <v>2</v>
      </c>
      <c r="D181" t="s">
        <v>1224</v>
      </c>
      <c r="E181" t="s">
        <v>911</v>
      </c>
      <c r="F181" t="s">
        <v>1060</v>
      </c>
    </row>
    <row r="182" spans="1:6" x14ac:dyDescent="0.25">
      <c r="A182" s="19" t="s">
        <v>500</v>
      </c>
      <c r="B182" t="s">
        <v>941</v>
      </c>
      <c r="C182">
        <v>2</v>
      </c>
      <c r="D182" t="s">
        <v>1195</v>
      </c>
      <c r="E182" t="s">
        <v>925</v>
      </c>
      <c r="F182" t="s">
        <v>1214</v>
      </c>
    </row>
    <row r="183" spans="1:6" x14ac:dyDescent="0.25">
      <c r="A183" s="19" t="s">
        <v>500</v>
      </c>
      <c r="B183" t="s">
        <v>1225</v>
      </c>
      <c r="C183">
        <v>2</v>
      </c>
      <c r="D183" t="s">
        <v>1226</v>
      </c>
      <c r="E183" t="s">
        <v>1049</v>
      </c>
      <c r="F183" t="s">
        <v>1227</v>
      </c>
    </row>
    <row r="184" spans="1:6" x14ac:dyDescent="0.25">
      <c r="A184" s="19" t="s">
        <v>530</v>
      </c>
      <c r="B184" t="s">
        <v>950</v>
      </c>
      <c r="C184">
        <v>70</v>
      </c>
      <c r="D184" t="s">
        <v>1228</v>
      </c>
      <c r="E184" t="s">
        <v>901</v>
      </c>
      <c r="F184" t="s">
        <v>956</v>
      </c>
    </row>
    <row r="185" spans="1:6" x14ac:dyDescent="0.25">
      <c r="A185" s="19" t="s">
        <v>530</v>
      </c>
      <c r="B185" t="s">
        <v>923</v>
      </c>
      <c r="C185">
        <v>10</v>
      </c>
      <c r="D185" t="s">
        <v>1229</v>
      </c>
      <c r="E185" t="s">
        <v>1049</v>
      </c>
      <c r="F185" t="s">
        <v>1230</v>
      </c>
    </row>
    <row r="186" spans="1:6" x14ac:dyDescent="0.25">
      <c r="A186" s="19" t="s">
        <v>530</v>
      </c>
      <c r="B186" t="s">
        <v>1025</v>
      </c>
      <c r="C186">
        <v>6</v>
      </c>
      <c r="D186" t="s">
        <v>1231</v>
      </c>
      <c r="E186" t="s">
        <v>909</v>
      </c>
      <c r="F186" t="s">
        <v>1232</v>
      </c>
    </row>
    <row r="187" spans="1:6" x14ac:dyDescent="0.25">
      <c r="A187" s="19" t="s">
        <v>530</v>
      </c>
      <c r="B187" t="s">
        <v>23</v>
      </c>
      <c r="C187">
        <v>3</v>
      </c>
      <c r="D187" t="s">
        <v>1233</v>
      </c>
      <c r="E187" t="s">
        <v>917</v>
      </c>
      <c r="F187" t="s">
        <v>1234</v>
      </c>
    </row>
    <row r="188" spans="1:6" x14ac:dyDescent="0.25">
      <c r="A188" s="19" t="s">
        <v>530</v>
      </c>
      <c r="B188" t="s">
        <v>18</v>
      </c>
      <c r="C188">
        <v>2</v>
      </c>
      <c r="D188" t="s">
        <v>1235</v>
      </c>
      <c r="E188" t="s">
        <v>911</v>
      </c>
      <c r="F188" t="s">
        <v>1236</v>
      </c>
    </row>
    <row r="189" spans="1:6" x14ac:dyDescent="0.25">
      <c r="A189" s="19" t="s">
        <v>530</v>
      </c>
      <c r="B189" t="s">
        <v>1225</v>
      </c>
      <c r="C189">
        <v>3</v>
      </c>
      <c r="D189" t="s">
        <v>1237</v>
      </c>
      <c r="E189" t="s">
        <v>1049</v>
      </c>
      <c r="F189" t="s">
        <v>1238</v>
      </c>
    </row>
    <row r="190" spans="1:6" x14ac:dyDescent="0.25">
      <c r="A190" s="19" t="s">
        <v>530</v>
      </c>
      <c r="B190" t="s">
        <v>941</v>
      </c>
      <c r="C190">
        <v>2</v>
      </c>
      <c r="D190" t="s">
        <v>1195</v>
      </c>
      <c r="E190" t="s">
        <v>925</v>
      </c>
      <c r="F190" t="s">
        <v>1214</v>
      </c>
    </row>
    <row r="191" spans="1:6" x14ac:dyDescent="0.25">
      <c r="A191" s="19" t="s">
        <v>530</v>
      </c>
      <c r="B191" t="s">
        <v>903</v>
      </c>
      <c r="C191">
        <v>4</v>
      </c>
      <c r="D191" t="s">
        <v>1239</v>
      </c>
      <c r="E191" t="s">
        <v>901</v>
      </c>
      <c r="F191" t="s">
        <v>1240</v>
      </c>
    </row>
    <row r="192" spans="1:6" x14ac:dyDescent="0.25">
      <c r="A192" s="19" t="s">
        <v>516</v>
      </c>
      <c r="B192" t="s">
        <v>950</v>
      </c>
      <c r="C192">
        <v>81</v>
      </c>
      <c r="D192" t="s">
        <v>1241</v>
      </c>
      <c r="E192" t="s">
        <v>901</v>
      </c>
      <c r="F192" t="s">
        <v>956</v>
      </c>
    </row>
    <row r="193" spans="1:6" x14ac:dyDescent="0.25">
      <c r="A193" s="19" t="s">
        <v>516</v>
      </c>
      <c r="B193" t="s">
        <v>923</v>
      </c>
      <c r="C193">
        <v>5</v>
      </c>
      <c r="D193" t="s">
        <v>1242</v>
      </c>
      <c r="E193" t="s">
        <v>1049</v>
      </c>
      <c r="F193" t="s">
        <v>1243</v>
      </c>
    </row>
    <row r="194" spans="1:6" x14ac:dyDescent="0.25">
      <c r="A194" s="19" t="s">
        <v>516</v>
      </c>
      <c r="B194" t="s">
        <v>1025</v>
      </c>
      <c r="C194">
        <v>4</v>
      </c>
      <c r="D194" t="s">
        <v>1244</v>
      </c>
      <c r="E194" t="s">
        <v>909</v>
      </c>
      <c r="F194" t="s">
        <v>940</v>
      </c>
    </row>
    <row r="195" spans="1:6" x14ac:dyDescent="0.25">
      <c r="A195" s="19" t="s">
        <v>516</v>
      </c>
      <c r="B195" t="s">
        <v>23</v>
      </c>
      <c r="C195">
        <v>3</v>
      </c>
      <c r="D195" t="s">
        <v>1245</v>
      </c>
      <c r="E195" t="s">
        <v>917</v>
      </c>
      <c r="F195" t="s">
        <v>1246</v>
      </c>
    </row>
    <row r="196" spans="1:6" x14ac:dyDescent="0.25">
      <c r="A196" s="19" t="s">
        <v>516</v>
      </c>
      <c r="B196" t="s">
        <v>1225</v>
      </c>
      <c r="C196">
        <v>3</v>
      </c>
      <c r="D196" t="s">
        <v>1247</v>
      </c>
      <c r="E196" t="s">
        <v>1049</v>
      </c>
      <c r="F196" t="s">
        <v>1248</v>
      </c>
    </row>
    <row r="197" spans="1:6" x14ac:dyDescent="0.25">
      <c r="A197" s="19" t="s">
        <v>516</v>
      </c>
      <c r="B197" t="s">
        <v>941</v>
      </c>
      <c r="C197">
        <v>2</v>
      </c>
      <c r="D197" t="s">
        <v>1195</v>
      </c>
      <c r="E197" t="s">
        <v>925</v>
      </c>
      <c r="F197" t="s">
        <v>1214</v>
      </c>
    </row>
    <row r="198" spans="1:6" x14ac:dyDescent="0.25">
      <c r="A198" s="19" t="s">
        <v>516</v>
      </c>
      <c r="B198" t="s">
        <v>903</v>
      </c>
      <c r="C198">
        <v>2</v>
      </c>
      <c r="D198" t="s">
        <v>1249</v>
      </c>
      <c r="E198" t="s">
        <v>901</v>
      </c>
      <c r="F198" t="s">
        <v>1250</v>
      </c>
    </row>
    <row r="199" spans="1:6" x14ac:dyDescent="0.25">
      <c r="A199" s="19" t="s">
        <v>486</v>
      </c>
      <c r="B199" t="s">
        <v>908</v>
      </c>
      <c r="C199">
        <v>53</v>
      </c>
      <c r="D199" t="s">
        <v>1251</v>
      </c>
      <c r="E199" t="s">
        <v>901</v>
      </c>
      <c r="F199" t="s">
        <v>956</v>
      </c>
    </row>
    <row r="200" spans="1:6" x14ac:dyDescent="0.25">
      <c r="A200" s="19" t="s">
        <v>486</v>
      </c>
      <c r="B200" t="s">
        <v>903</v>
      </c>
      <c r="C200">
        <v>18</v>
      </c>
      <c r="D200" t="s">
        <v>1252</v>
      </c>
      <c r="E200" t="s">
        <v>1198</v>
      </c>
      <c r="F200" t="s">
        <v>1209</v>
      </c>
    </row>
    <row r="201" spans="1:6" x14ac:dyDescent="0.25">
      <c r="A201" s="19" t="s">
        <v>486</v>
      </c>
      <c r="B201" t="s">
        <v>950</v>
      </c>
      <c r="C201">
        <v>14</v>
      </c>
      <c r="D201" t="s">
        <v>1253</v>
      </c>
      <c r="E201" t="s">
        <v>1254</v>
      </c>
      <c r="F201" t="s">
        <v>1255</v>
      </c>
    </row>
    <row r="202" spans="1:6" x14ac:dyDescent="0.25">
      <c r="A202" s="19" t="s">
        <v>486</v>
      </c>
      <c r="B202" t="s">
        <v>899</v>
      </c>
      <c r="C202">
        <v>8</v>
      </c>
      <c r="D202" t="s">
        <v>1256</v>
      </c>
      <c r="E202" t="s">
        <v>901</v>
      </c>
      <c r="F202" t="s">
        <v>1257</v>
      </c>
    </row>
    <row r="203" spans="1:6" x14ac:dyDescent="0.25">
      <c r="A203" s="19" t="s">
        <v>486</v>
      </c>
      <c r="B203" t="s">
        <v>1025</v>
      </c>
      <c r="C203">
        <v>3</v>
      </c>
      <c r="D203" t="s">
        <v>1258</v>
      </c>
      <c r="E203" t="s">
        <v>909</v>
      </c>
      <c r="F203" t="s">
        <v>1259</v>
      </c>
    </row>
    <row r="204" spans="1:6" x14ac:dyDescent="0.25">
      <c r="A204" s="19" t="s">
        <v>486</v>
      </c>
      <c r="B204" t="s">
        <v>941</v>
      </c>
      <c r="C204">
        <v>2</v>
      </c>
      <c r="D204" t="s">
        <v>1186</v>
      </c>
      <c r="E204" t="s">
        <v>925</v>
      </c>
      <c r="F204" t="s">
        <v>1214</v>
      </c>
    </row>
    <row r="205" spans="1:6" x14ac:dyDescent="0.25">
      <c r="A205" s="19" t="s">
        <v>486</v>
      </c>
      <c r="B205" t="s">
        <v>18</v>
      </c>
      <c r="C205">
        <v>2</v>
      </c>
      <c r="D205" t="s">
        <v>1224</v>
      </c>
      <c r="E205" t="s">
        <v>911</v>
      </c>
      <c r="F205" t="s">
        <v>1216</v>
      </c>
    </row>
    <row r="206" spans="1:6" x14ac:dyDescent="0.25">
      <c r="A206" s="19" t="s">
        <v>514</v>
      </c>
      <c r="B206" t="s">
        <v>950</v>
      </c>
      <c r="C206">
        <v>49</v>
      </c>
      <c r="D206" t="s">
        <v>1260</v>
      </c>
      <c r="E206" t="s">
        <v>901</v>
      </c>
      <c r="F206" t="s">
        <v>956</v>
      </c>
    </row>
    <row r="207" spans="1:6" x14ac:dyDescent="0.25">
      <c r="A207" s="19" t="s">
        <v>514</v>
      </c>
      <c r="B207" t="s">
        <v>903</v>
      </c>
      <c r="C207">
        <v>18</v>
      </c>
      <c r="D207" t="s">
        <v>1261</v>
      </c>
      <c r="E207" t="s">
        <v>1198</v>
      </c>
      <c r="F207" t="s">
        <v>1209</v>
      </c>
    </row>
    <row r="208" spans="1:6" x14ac:dyDescent="0.25">
      <c r="A208" s="19" t="s">
        <v>514</v>
      </c>
      <c r="B208" t="s">
        <v>908</v>
      </c>
      <c r="C208">
        <v>8</v>
      </c>
      <c r="D208" t="s">
        <v>1262</v>
      </c>
      <c r="E208" t="s">
        <v>1198</v>
      </c>
      <c r="F208" t="s">
        <v>1263</v>
      </c>
    </row>
    <row r="209" spans="1:6" x14ac:dyDescent="0.25">
      <c r="A209" s="19" t="s">
        <v>514</v>
      </c>
      <c r="B209" t="s">
        <v>1025</v>
      </c>
      <c r="C209">
        <v>6</v>
      </c>
      <c r="D209" t="s">
        <v>1264</v>
      </c>
      <c r="E209" t="s">
        <v>909</v>
      </c>
      <c r="F209" t="s">
        <v>1265</v>
      </c>
    </row>
    <row r="210" spans="1:6" x14ac:dyDescent="0.25">
      <c r="A210" s="19" t="s">
        <v>514</v>
      </c>
      <c r="B210" t="s">
        <v>899</v>
      </c>
      <c r="C210">
        <v>6</v>
      </c>
      <c r="D210" t="s">
        <v>1266</v>
      </c>
      <c r="E210" t="s">
        <v>901</v>
      </c>
      <c r="F210" t="s">
        <v>1267</v>
      </c>
    </row>
    <row r="211" spans="1:6" x14ac:dyDescent="0.25">
      <c r="A211" s="19" t="s">
        <v>514</v>
      </c>
      <c r="B211" t="s">
        <v>941</v>
      </c>
      <c r="C211">
        <v>2</v>
      </c>
      <c r="D211" t="s">
        <v>1186</v>
      </c>
      <c r="E211" t="s">
        <v>925</v>
      </c>
      <c r="F211" t="s">
        <v>1214</v>
      </c>
    </row>
    <row r="212" spans="1:6" x14ac:dyDescent="0.25">
      <c r="A212" s="19" t="s">
        <v>514</v>
      </c>
      <c r="B212" t="s">
        <v>18</v>
      </c>
      <c r="C212">
        <v>2</v>
      </c>
      <c r="D212" t="s">
        <v>1224</v>
      </c>
      <c r="E212" t="s">
        <v>911</v>
      </c>
      <c r="F212" t="s">
        <v>1216</v>
      </c>
    </row>
    <row r="213" spans="1:6" x14ac:dyDescent="0.25">
      <c r="A213" s="19" t="s">
        <v>514</v>
      </c>
      <c r="B213" t="s">
        <v>923</v>
      </c>
      <c r="C213">
        <v>3</v>
      </c>
      <c r="D213" t="s">
        <v>1268</v>
      </c>
      <c r="E213" t="s">
        <v>1049</v>
      </c>
      <c r="F213" t="s">
        <v>1269</v>
      </c>
    </row>
    <row r="214" spans="1:6" x14ac:dyDescent="0.25">
      <c r="A214" s="19" t="s">
        <v>514</v>
      </c>
      <c r="B214" t="s">
        <v>950</v>
      </c>
      <c r="C214">
        <v>6</v>
      </c>
      <c r="D214" t="s">
        <v>1270</v>
      </c>
      <c r="E214" t="s">
        <v>921</v>
      </c>
      <c r="F214" t="s">
        <v>1271</v>
      </c>
    </row>
    <row r="215" spans="1:6" x14ac:dyDescent="0.25">
      <c r="A215" s="19" t="s">
        <v>510</v>
      </c>
      <c r="B215" t="s">
        <v>950</v>
      </c>
      <c r="C215">
        <v>57</v>
      </c>
      <c r="D215" t="s">
        <v>1272</v>
      </c>
      <c r="E215" t="s">
        <v>901</v>
      </c>
      <c r="F215" t="s">
        <v>956</v>
      </c>
    </row>
    <row r="216" spans="1:6" x14ac:dyDescent="0.25">
      <c r="A216" s="19" t="s">
        <v>510</v>
      </c>
      <c r="B216" t="s">
        <v>903</v>
      </c>
      <c r="C216">
        <v>14</v>
      </c>
      <c r="D216" t="s">
        <v>1273</v>
      </c>
      <c r="E216" t="s">
        <v>1198</v>
      </c>
      <c r="F216" t="s">
        <v>1274</v>
      </c>
    </row>
    <row r="217" spans="1:6" x14ac:dyDescent="0.25">
      <c r="A217" s="19" t="s">
        <v>510</v>
      </c>
      <c r="B217" t="s">
        <v>1025</v>
      </c>
      <c r="C217">
        <v>12</v>
      </c>
      <c r="D217" t="s">
        <v>1275</v>
      </c>
      <c r="E217" t="s">
        <v>1198</v>
      </c>
      <c r="F217" t="s">
        <v>1276</v>
      </c>
    </row>
    <row r="218" spans="1:6" x14ac:dyDescent="0.25">
      <c r="A218" s="19" t="s">
        <v>510</v>
      </c>
      <c r="B218" t="s">
        <v>908</v>
      </c>
      <c r="C218">
        <v>4</v>
      </c>
      <c r="D218" t="s">
        <v>1277</v>
      </c>
      <c r="E218" t="s">
        <v>909</v>
      </c>
      <c r="F218" t="s">
        <v>1278</v>
      </c>
    </row>
    <row r="219" spans="1:6" x14ac:dyDescent="0.25">
      <c r="A219" s="19" t="s">
        <v>510</v>
      </c>
      <c r="B219" t="s">
        <v>899</v>
      </c>
      <c r="C219">
        <v>5</v>
      </c>
      <c r="D219" t="s">
        <v>1279</v>
      </c>
      <c r="E219" t="s">
        <v>901</v>
      </c>
      <c r="F219" t="s">
        <v>1267</v>
      </c>
    </row>
    <row r="220" spans="1:6" x14ac:dyDescent="0.25">
      <c r="A220" s="19" t="s">
        <v>510</v>
      </c>
      <c r="B220" t="s">
        <v>923</v>
      </c>
      <c r="C220">
        <v>2</v>
      </c>
      <c r="D220" t="s">
        <v>1280</v>
      </c>
      <c r="E220" t="s">
        <v>1049</v>
      </c>
      <c r="F220" t="s">
        <v>940</v>
      </c>
    </row>
    <row r="221" spans="1:6" x14ac:dyDescent="0.25">
      <c r="A221" s="19" t="s">
        <v>510</v>
      </c>
      <c r="B221" t="s">
        <v>941</v>
      </c>
      <c r="C221">
        <v>3</v>
      </c>
      <c r="D221" t="s">
        <v>1186</v>
      </c>
      <c r="E221" t="s">
        <v>925</v>
      </c>
      <c r="F221" t="s">
        <v>1214</v>
      </c>
    </row>
    <row r="222" spans="1:6" x14ac:dyDescent="0.25">
      <c r="A222" s="19" t="s">
        <v>510</v>
      </c>
      <c r="B222" t="s">
        <v>18</v>
      </c>
      <c r="C222">
        <v>3</v>
      </c>
      <c r="D222" t="s">
        <v>1224</v>
      </c>
      <c r="E222" t="s">
        <v>911</v>
      </c>
      <c r="F222" t="s">
        <v>1216</v>
      </c>
    </row>
    <row r="223" spans="1:6" x14ac:dyDescent="0.25">
      <c r="A223" s="19" t="s">
        <v>474</v>
      </c>
      <c r="B223" t="s">
        <v>950</v>
      </c>
      <c r="C223">
        <v>87</v>
      </c>
      <c r="D223" t="s">
        <v>1281</v>
      </c>
      <c r="E223" t="s">
        <v>901</v>
      </c>
      <c r="F223" t="s">
        <v>956</v>
      </c>
    </row>
    <row r="224" spans="1:6" x14ac:dyDescent="0.25">
      <c r="A224" s="19" t="s">
        <v>474</v>
      </c>
      <c r="B224" t="s">
        <v>1025</v>
      </c>
      <c r="C224">
        <v>4</v>
      </c>
      <c r="D224" t="s">
        <v>1282</v>
      </c>
      <c r="E224" t="s">
        <v>909</v>
      </c>
      <c r="F224" t="s">
        <v>1283</v>
      </c>
    </row>
    <row r="225" spans="1:6" x14ac:dyDescent="0.25">
      <c r="A225" s="19" t="s">
        <v>474</v>
      </c>
      <c r="B225" t="s">
        <v>903</v>
      </c>
      <c r="C225">
        <v>3</v>
      </c>
      <c r="D225" t="s">
        <v>1284</v>
      </c>
      <c r="E225" t="s">
        <v>901</v>
      </c>
      <c r="F225" t="s">
        <v>1285</v>
      </c>
    </row>
    <row r="226" spans="1:6" x14ac:dyDescent="0.25">
      <c r="A226" s="19" t="s">
        <v>474</v>
      </c>
      <c r="B226" t="s">
        <v>923</v>
      </c>
      <c r="C226">
        <v>2</v>
      </c>
      <c r="D226" t="s">
        <v>1286</v>
      </c>
      <c r="E226" t="s">
        <v>1049</v>
      </c>
      <c r="F226" t="s">
        <v>1259</v>
      </c>
    </row>
    <row r="227" spans="1:6" x14ac:dyDescent="0.25">
      <c r="A227" s="19" t="s">
        <v>474</v>
      </c>
      <c r="B227" t="s">
        <v>941</v>
      </c>
      <c r="C227">
        <v>2</v>
      </c>
      <c r="D227" t="s">
        <v>1186</v>
      </c>
      <c r="E227" t="s">
        <v>925</v>
      </c>
      <c r="F227" t="s">
        <v>1214</v>
      </c>
    </row>
    <row r="228" spans="1:6" x14ac:dyDescent="0.25">
      <c r="A228" s="19" t="s">
        <v>474</v>
      </c>
      <c r="B228" t="s">
        <v>1225</v>
      </c>
      <c r="C228">
        <v>2</v>
      </c>
      <c r="D228" t="s">
        <v>1247</v>
      </c>
      <c r="E228" t="s">
        <v>1049</v>
      </c>
      <c r="F228" t="s">
        <v>1227</v>
      </c>
    </row>
    <row r="229" spans="1:6" x14ac:dyDescent="0.25">
      <c r="A229" s="19" t="s">
        <v>542</v>
      </c>
      <c r="B229" t="s">
        <v>950</v>
      </c>
      <c r="C229">
        <v>69</v>
      </c>
      <c r="D229" t="s">
        <v>1287</v>
      </c>
      <c r="E229" t="s">
        <v>901</v>
      </c>
      <c r="F229" t="s">
        <v>956</v>
      </c>
    </row>
    <row r="230" spans="1:6" x14ac:dyDescent="0.25">
      <c r="A230" s="19" t="s">
        <v>542</v>
      </c>
      <c r="B230" t="s">
        <v>1025</v>
      </c>
      <c r="C230">
        <v>10</v>
      </c>
      <c r="D230" t="s">
        <v>1288</v>
      </c>
      <c r="E230" t="s">
        <v>1198</v>
      </c>
      <c r="F230" t="s">
        <v>1276</v>
      </c>
    </row>
    <row r="231" spans="1:6" x14ac:dyDescent="0.25">
      <c r="A231" s="19" t="s">
        <v>542</v>
      </c>
      <c r="B231" t="s">
        <v>903</v>
      </c>
      <c r="C231">
        <v>6</v>
      </c>
      <c r="D231" t="s">
        <v>1289</v>
      </c>
      <c r="E231" t="s">
        <v>901</v>
      </c>
      <c r="F231" t="s">
        <v>1192</v>
      </c>
    </row>
    <row r="232" spans="1:6" x14ac:dyDescent="0.25">
      <c r="A232" s="19" t="s">
        <v>542</v>
      </c>
      <c r="B232" t="s">
        <v>923</v>
      </c>
      <c r="C232">
        <v>5</v>
      </c>
      <c r="D232" t="s">
        <v>1290</v>
      </c>
      <c r="E232" t="s">
        <v>1049</v>
      </c>
      <c r="F232" t="s">
        <v>1291</v>
      </c>
    </row>
    <row r="233" spans="1:6" x14ac:dyDescent="0.25">
      <c r="A233" s="19" t="s">
        <v>542</v>
      </c>
      <c r="B233" t="s">
        <v>23</v>
      </c>
      <c r="C233">
        <v>3</v>
      </c>
      <c r="D233" t="s">
        <v>1292</v>
      </c>
      <c r="E233" t="s">
        <v>925</v>
      </c>
      <c r="F233" t="s">
        <v>1293</v>
      </c>
    </row>
    <row r="234" spans="1:6" x14ac:dyDescent="0.25">
      <c r="A234" s="19" t="s">
        <v>542</v>
      </c>
      <c r="B234" t="s">
        <v>1225</v>
      </c>
      <c r="C234">
        <v>3</v>
      </c>
      <c r="D234" t="s">
        <v>1247</v>
      </c>
      <c r="E234" t="s">
        <v>1049</v>
      </c>
      <c r="F234" t="s">
        <v>1278</v>
      </c>
    </row>
    <row r="235" spans="1:6" x14ac:dyDescent="0.25">
      <c r="A235" s="19" t="s">
        <v>542</v>
      </c>
      <c r="B235" t="s">
        <v>941</v>
      </c>
      <c r="C235">
        <v>2</v>
      </c>
      <c r="D235" t="s">
        <v>1186</v>
      </c>
      <c r="E235" t="s">
        <v>925</v>
      </c>
      <c r="F235" t="s">
        <v>1214</v>
      </c>
    </row>
    <row r="236" spans="1:6" x14ac:dyDescent="0.25">
      <c r="A236" s="19" t="s">
        <v>542</v>
      </c>
      <c r="B236" t="s">
        <v>18</v>
      </c>
      <c r="C236">
        <v>2</v>
      </c>
      <c r="D236" t="s">
        <v>1224</v>
      </c>
      <c r="E236" t="s">
        <v>911</v>
      </c>
      <c r="F236" t="s">
        <v>1060</v>
      </c>
    </row>
    <row r="237" spans="1:6" x14ac:dyDescent="0.25">
      <c r="A237" s="19" t="s">
        <v>538</v>
      </c>
      <c r="B237" t="s">
        <v>1025</v>
      </c>
      <c r="C237">
        <v>48</v>
      </c>
      <c r="D237" t="s">
        <v>1294</v>
      </c>
      <c r="E237" t="s">
        <v>901</v>
      </c>
      <c r="F237" t="s">
        <v>1295</v>
      </c>
    </row>
    <row r="238" spans="1:6" x14ac:dyDescent="0.25">
      <c r="A238" s="19" t="s">
        <v>538</v>
      </c>
      <c r="B238" t="s">
        <v>923</v>
      </c>
      <c r="C238">
        <v>34</v>
      </c>
      <c r="D238" t="s">
        <v>1296</v>
      </c>
      <c r="E238" t="s">
        <v>1178</v>
      </c>
      <c r="F238" t="s">
        <v>1297</v>
      </c>
    </row>
    <row r="239" spans="1:6" x14ac:dyDescent="0.25">
      <c r="A239" s="19" t="s">
        <v>538</v>
      </c>
      <c r="B239" t="s">
        <v>1028</v>
      </c>
      <c r="C239">
        <v>8</v>
      </c>
      <c r="D239" t="s">
        <v>1298</v>
      </c>
      <c r="E239" t="s">
        <v>909</v>
      </c>
      <c r="F239" t="s">
        <v>1299</v>
      </c>
    </row>
    <row r="240" spans="1:6" x14ac:dyDescent="0.25">
      <c r="A240" s="19" t="s">
        <v>538</v>
      </c>
      <c r="B240" t="s">
        <v>950</v>
      </c>
      <c r="C240">
        <v>4</v>
      </c>
      <c r="D240" t="s">
        <v>1300</v>
      </c>
      <c r="E240" t="s">
        <v>921</v>
      </c>
      <c r="F240" t="s">
        <v>1301</v>
      </c>
    </row>
    <row r="241" spans="1:6" x14ac:dyDescent="0.25">
      <c r="A241" s="19" t="s">
        <v>538</v>
      </c>
      <c r="B241" t="s">
        <v>941</v>
      </c>
      <c r="C241">
        <v>2</v>
      </c>
      <c r="D241" t="s">
        <v>1195</v>
      </c>
      <c r="E241" t="s">
        <v>925</v>
      </c>
      <c r="F241" t="s">
        <v>1214</v>
      </c>
    </row>
    <row r="242" spans="1:6" x14ac:dyDescent="0.25">
      <c r="A242" s="19" t="s">
        <v>538</v>
      </c>
      <c r="B242" t="s">
        <v>923</v>
      </c>
      <c r="C242">
        <v>2</v>
      </c>
      <c r="D242" t="s">
        <v>1302</v>
      </c>
      <c r="E242" t="s">
        <v>917</v>
      </c>
      <c r="F242" t="s">
        <v>1303</v>
      </c>
    </row>
    <row r="243" spans="1:6" x14ac:dyDescent="0.25">
      <c r="A243" s="19" t="s">
        <v>538</v>
      </c>
      <c r="B243" t="s">
        <v>1025</v>
      </c>
      <c r="C243">
        <v>2</v>
      </c>
      <c r="D243" t="s">
        <v>1304</v>
      </c>
      <c r="E243" t="s">
        <v>911</v>
      </c>
      <c r="F243" t="s">
        <v>1305</v>
      </c>
    </row>
    <row r="244" spans="1:6" x14ac:dyDescent="0.25">
      <c r="A244" s="19" t="s">
        <v>498</v>
      </c>
      <c r="B244" t="s">
        <v>923</v>
      </c>
      <c r="C244">
        <v>72</v>
      </c>
      <c r="D244" t="s">
        <v>1306</v>
      </c>
      <c r="E244" t="s">
        <v>901</v>
      </c>
      <c r="F244" t="s">
        <v>1307</v>
      </c>
    </row>
    <row r="245" spans="1:6" x14ac:dyDescent="0.25">
      <c r="A245" s="19" t="s">
        <v>498</v>
      </c>
      <c r="B245" t="s">
        <v>1028</v>
      </c>
      <c r="C245">
        <v>10</v>
      </c>
      <c r="D245" t="s">
        <v>1308</v>
      </c>
      <c r="E245" t="s">
        <v>909</v>
      </c>
      <c r="F245" t="s">
        <v>1309</v>
      </c>
    </row>
    <row r="246" spans="1:6" x14ac:dyDescent="0.25">
      <c r="A246" s="19" t="s">
        <v>498</v>
      </c>
      <c r="B246" t="s">
        <v>1025</v>
      </c>
      <c r="C246">
        <v>6</v>
      </c>
      <c r="D246" t="s">
        <v>1310</v>
      </c>
      <c r="E246" t="s">
        <v>909</v>
      </c>
      <c r="F246" t="s">
        <v>1311</v>
      </c>
    </row>
    <row r="247" spans="1:6" x14ac:dyDescent="0.25">
      <c r="A247" s="19" t="s">
        <v>498</v>
      </c>
      <c r="B247" t="s">
        <v>950</v>
      </c>
      <c r="C247">
        <v>4</v>
      </c>
      <c r="D247" t="s">
        <v>1312</v>
      </c>
      <c r="E247" t="s">
        <v>921</v>
      </c>
      <c r="F247" t="s">
        <v>1313</v>
      </c>
    </row>
    <row r="248" spans="1:6" x14ac:dyDescent="0.25">
      <c r="A248" s="19" t="s">
        <v>498</v>
      </c>
      <c r="B248" t="s">
        <v>941</v>
      </c>
      <c r="C248">
        <v>2</v>
      </c>
      <c r="D248" t="s">
        <v>1195</v>
      </c>
      <c r="E248" t="s">
        <v>925</v>
      </c>
      <c r="F248" t="s">
        <v>1214</v>
      </c>
    </row>
    <row r="249" spans="1:6" x14ac:dyDescent="0.25">
      <c r="A249" s="19" t="s">
        <v>498</v>
      </c>
      <c r="B249" t="s">
        <v>23</v>
      </c>
      <c r="C249">
        <v>2</v>
      </c>
      <c r="D249" t="s">
        <v>1314</v>
      </c>
      <c r="E249" t="s">
        <v>917</v>
      </c>
      <c r="F249" t="s">
        <v>1315</v>
      </c>
    </row>
    <row r="250" spans="1:6" x14ac:dyDescent="0.25">
      <c r="A250" s="19" t="s">
        <v>498</v>
      </c>
      <c r="B250" t="s">
        <v>923</v>
      </c>
      <c r="C250">
        <v>4</v>
      </c>
      <c r="D250" t="s">
        <v>1316</v>
      </c>
      <c r="E250" t="s">
        <v>911</v>
      </c>
      <c r="F250" t="s">
        <v>1317</v>
      </c>
    </row>
    <row r="251" spans="1:6" x14ac:dyDescent="0.25">
      <c r="A251" s="19" t="s">
        <v>468</v>
      </c>
      <c r="B251" t="s">
        <v>923</v>
      </c>
      <c r="C251">
        <v>82</v>
      </c>
      <c r="D251" t="s">
        <v>1318</v>
      </c>
      <c r="E251" t="s">
        <v>901</v>
      </c>
      <c r="F251" t="s">
        <v>956</v>
      </c>
    </row>
    <row r="252" spans="1:6" x14ac:dyDescent="0.25">
      <c r="A252" s="19" t="s">
        <v>468</v>
      </c>
      <c r="B252" t="s">
        <v>950</v>
      </c>
      <c r="C252">
        <v>4</v>
      </c>
      <c r="D252" t="s">
        <v>1319</v>
      </c>
      <c r="E252" t="s">
        <v>921</v>
      </c>
      <c r="F252" t="s">
        <v>1320</v>
      </c>
    </row>
    <row r="253" spans="1:6" x14ac:dyDescent="0.25">
      <c r="A253" s="19" t="s">
        <v>468</v>
      </c>
      <c r="B253" t="s">
        <v>1028</v>
      </c>
      <c r="C253">
        <v>4</v>
      </c>
      <c r="D253" t="s">
        <v>1321</v>
      </c>
      <c r="E253" t="s">
        <v>909</v>
      </c>
      <c r="F253" t="s">
        <v>1322</v>
      </c>
    </row>
    <row r="254" spans="1:6" x14ac:dyDescent="0.25">
      <c r="A254" s="19" t="s">
        <v>468</v>
      </c>
      <c r="B254" t="s">
        <v>18</v>
      </c>
      <c r="C254">
        <v>4</v>
      </c>
      <c r="D254" t="s">
        <v>1323</v>
      </c>
      <c r="E254" t="s">
        <v>921</v>
      </c>
      <c r="F254" t="s">
        <v>1324</v>
      </c>
    </row>
    <row r="255" spans="1:6" x14ac:dyDescent="0.25">
      <c r="A255" s="19" t="s">
        <v>468</v>
      </c>
      <c r="B255" t="s">
        <v>941</v>
      </c>
      <c r="C255">
        <v>2</v>
      </c>
      <c r="D255" t="s">
        <v>1186</v>
      </c>
      <c r="E255" t="s">
        <v>925</v>
      </c>
      <c r="F255" t="s">
        <v>1214</v>
      </c>
    </row>
    <row r="256" spans="1:6" x14ac:dyDescent="0.25">
      <c r="A256" s="19" t="s">
        <v>468</v>
      </c>
      <c r="B256" t="s">
        <v>23</v>
      </c>
      <c r="C256">
        <v>2</v>
      </c>
      <c r="D256" t="s">
        <v>1325</v>
      </c>
      <c r="E256" t="s">
        <v>917</v>
      </c>
      <c r="F256" t="s">
        <v>1216</v>
      </c>
    </row>
    <row r="257" spans="1:6" x14ac:dyDescent="0.25">
      <c r="A257" s="19" t="s">
        <v>468</v>
      </c>
      <c r="B257" t="s">
        <v>923</v>
      </c>
      <c r="C257">
        <v>2</v>
      </c>
      <c r="D257" t="s">
        <v>1326</v>
      </c>
      <c r="E257" t="s">
        <v>911</v>
      </c>
      <c r="F257" t="s">
        <v>1327</v>
      </c>
    </row>
    <row r="258" spans="1:6" x14ac:dyDescent="0.25">
      <c r="A258" s="19" t="s">
        <v>532</v>
      </c>
      <c r="B258" t="s">
        <v>923</v>
      </c>
      <c r="C258">
        <v>78</v>
      </c>
      <c r="D258" t="s">
        <v>1328</v>
      </c>
      <c r="E258" t="s">
        <v>901</v>
      </c>
      <c r="F258" t="s">
        <v>956</v>
      </c>
    </row>
    <row r="259" spans="1:6" x14ac:dyDescent="0.25">
      <c r="A259" s="19" t="s">
        <v>532</v>
      </c>
      <c r="B259" t="s">
        <v>950</v>
      </c>
      <c r="C259">
        <v>8</v>
      </c>
      <c r="D259" t="s">
        <v>1329</v>
      </c>
      <c r="E259" t="s">
        <v>1198</v>
      </c>
      <c r="F259" t="s">
        <v>1330</v>
      </c>
    </row>
    <row r="260" spans="1:6" x14ac:dyDescent="0.25">
      <c r="A260" s="19" t="s">
        <v>532</v>
      </c>
      <c r="B260" t="s">
        <v>1025</v>
      </c>
      <c r="C260">
        <v>4</v>
      </c>
      <c r="D260" t="s">
        <v>1331</v>
      </c>
      <c r="E260" t="s">
        <v>909</v>
      </c>
      <c r="F260" t="s">
        <v>1332</v>
      </c>
    </row>
    <row r="261" spans="1:6" x14ac:dyDescent="0.25">
      <c r="A261" s="19" t="s">
        <v>532</v>
      </c>
      <c r="B261" t="s">
        <v>23</v>
      </c>
      <c r="C261">
        <v>4</v>
      </c>
      <c r="D261" t="s">
        <v>1333</v>
      </c>
      <c r="E261" t="s">
        <v>917</v>
      </c>
      <c r="F261" t="s">
        <v>1315</v>
      </c>
    </row>
    <row r="262" spans="1:6" x14ac:dyDescent="0.25">
      <c r="A262" s="19" t="s">
        <v>532</v>
      </c>
      <c r="B262" t="s">
        <v>923</v>
      </c>
      <c r="C262">
        <v>2</v>
      </c>
      <c r="D262" t="s">
        <v>1334</v>
      </c>
      <c r="E262" t="s">
        <v>911</v>
      </c>
      <c r="F262" t="s">
        <v>1335</v>
      </c>
    </row>
    <row r="263" spans="1:6" x14ac:dyDescent="0.25">
      <c r="A263" s="19" t="s">
        <v>532</v>
      </c>
      <c r="B263" t="s">
        <v>941</v>
      </c>
      <c r="C263">
        <v>2</v>
      </c>
      <c r="D263" t="s">
        <v>1186</v>
      </c>
      <c r="E263" t="s">
        <v>925</v>
      </c>
      <c r="F263" t="s">
        <v>1214</v>
      </c>
    </row>
    <row r="264" spans="1:6" x14ac:dyDescent="0.25">
      <c r="A264" s="19" t="s">
        <v>532</v>
      </c>
      <c r="B264" t="s">
        <v>18</v>
      </c>
      <c r="C264">
        <v>2</v>
      </c>
      <c r="D264" t="s">
        <v>1224</v>
      </c>
      <c r="E264" t="s">
        <v>911</v>
      </c>
      <c r="F264" t="s">
        <v>1060</v>
      </c>
    </row>
    <row r="265" spans="1:6" x14ac:dyDescent="0.25">
      <c r="A265" s="19" t="s">
        <v>762</v>
      </c>
      <c r="B265" t="s">
        <v>923</v>
      </c>
      <c r="C265">
        <v>84</v>
      </c>
      <c r="D265" t="s">
        <v>1336</v>
      </c>
      <c r="E265" t="s">
        <v>1337</v>
      </c>
      <c r="F265" t="s">
        <v>1338</v>
      </c>
    </row>
    <row r="266" spans="1:6" x14ac:dyDescent="0.25">
      <c r="A266" s="19" t="s">
        <v>762</v>
      </c>
      <c r="B266" t="s">
        <v>950</v>
      </c>
      <c r="C266">
        <v>6</v>
      </c>
      <c r="D266" t="s">
        <v>1339</v>
      </c>
      <c r="E266" t="s">
        <v>1337</v>
      </c>
      <c r="F266" t="s">
        <v>1340</v>
      </c>
    </row>
    <row r="267" spans="1:6" x14ac:dyDescent="0.25">
      <c r="A267" s="19" t="s">
        <v>762</v>
      </c>
      <c r="B267" t="s">
        <v>1028</v>
      </c>
      <c r="C267">
        <v>4</v>
      </c>
      <c r="D267" t="s">
        <v>1341</v>
      </c>
      <c r="E267" t="s">
        <v>1337</v>
      </c>
      <c r="F267" t="s">
        <v>1342</v>
      </c>
    </row>
    <row r="268" spans="1:6" x14ac:dyDescent="0.25">
      <c r="A268" s="19" t="s">
        <v>762</v>
      </c>
      <c r="B268" t="s">
        <v>923</v>
      </c>
      <c r="C268">
        <v>2</v>
      </c>
      <c r="D268" t="s">
        <v>1343</v>
      </c>
      <c r="E268" t="s">
        <v>1044</v>
      </c>
      <c r="F268" t="s">
        <v>1344</v>
      </c>
    </row>
    <row r="269" spans="1:6" x14ac:dyDescent="0.25">
      <c r="A269" s="19" t="s">
        <v>762</v>
      </c>
      <c r="B269" t="s">
        <v>941</v>
      </c>
      <c r="C269">
        <v>2</v>
      </c>
      <c r="D269" t="s">
        <v>1186</v>
      </c>
      <c r="E269" t="s">
        <v>925</v>
      </c>
      <c r="F269" t="s">
        <v>1214</v>
      </c>
    </row>
    <row r="270" spans="1:6" x14ac:dyDescent="0.25">
      <c r="A270" s="19" t="s">
        <v>762</v>
      </c>
      <c r="B270" t="s">
        <v>23</v>
      </c>
      <c r="C270">
        <v>2</v>
      </c>
      <c r="D270" t="s">
        <v>1345</v>
      </c>
      <c r="E270" t="s">
        <v>917</v>
      </c>
      <c r="F270" t="s">
        <v>1315</v>
      </c>
    </row>
    <row r="271" spans="1:6" x14ac:dyDescent="0.25">
      <c r="A271" s="19" t="s">
        <v>678</v>
      </c>
      <c r="B271" t="s">
        <v>923</v>
      </c>
      <c r="C271">
        <v>78</v>
      </c>
      <c r="D271" t="s">
        <v>1346</v>
      </c>
      <c r="E271" t="s">
        <v>901</v>
      </c>
      <c r="F271" t="s">
        <v>1347</v>
      </c>
    </row>
    <row r="272" spans="1:6" x14ac:dyDescent="0.25">
      <c r="A272" s="19" t="s">
        <v>678</v>
      </c>
      <c r="B272" t="s">
        <v>950</v>
      </c>
      <c r="C272">
        <v>4</v>
      </c>
      <c r="D272" t="s">
        <v>1348</v>
      </c>
      <c r="E272" t="s">
        <v>921</v>
      </c>
      <c r="F272" t="s">
        <v>1349</v>
      </c>
    </row>
    <row r="273" spans="1:6" x14ac:dyDescent="0.25">
      <c r="A273" s="19" t="s">
        <v>678</v>
      </c>
      <c r="B273" t="s">
        <v>23</v>
      </c>
      <c r="C273">
        <v>4</v>
      </c>
      <c r="D273" t="s">
        <v>1350</v>
      </c>
      <c r="E273" t="s">
        <v>917</v>
      </c>
      <c r="F273" t="s">
        <v>1351</v>
      </c>
    </row>
    <row r="274" spans="1:6" x14ac:dyDescent="0.25">
      <c r="A274" s="19" t="s">
        <v>678</v>
      </c>
      <c r="B274" t="s">
        <v>923</v>
      </c>
      <c r="C274">
        <v>8</v>
      </c>
      <c r="D274" t="s">
        <v>1352</v>
      </c>
      <c r="E274" t="s">
        <v>911</v>
      </c>
      <c r="F274" t="s">
        <v>1353</v>
      </c>
    </row>
    <row r="275" spans="1:6" x14ac:dyDescent="0.25">
      <c r="A275" s="19" t="s">
        <v>678</v>
      </c>
      <c r="B275" t="s">
        <v>941</v>
      </c>
      <c r="C275">
        <v>2</v>
      </c>
      <c r="D275" t="s">
        <v>1186</v>
      </c>
      <c r="E275" t="s">
        <v>925</v>
      </c>
      <c r="F275" t="s">
        <v>1214</v>
      </c>
    </row>
    <row r="276" spans="1:6" x14ac:dyDescent="0.25">
      <c r="A276" s="19" t="s">
        <v>678</v>
      </c>
      <c r="B276" t="s">
        <v>18</v>
      </c>
      <c r="C276">
        <v>2</v>
      </c>
      <c r="D276" t="s">
        <v>1224</v>
      </c>
      <c r="E276" t="s">
        <v>911</v>
      </c>
      <c r="F276" t="s">
        <v>1060</v>
      </c>
    </row>
    <row r="277" spans="1:6" x14ac:dyDescent="0.25">
      <c r="A277" s="19" t="s">
        <v>678</v>
      </c>
      <c r="B277" t="s">
        <v>923</v>
      </c>
      <c r="C277">
        <v>2</v>
      </c>
      <c r="D277" t="s">
        <v>1354</v>
      </c>
      <c r="E277" t="s">
        <v>1049</v>
      </c>
      <c r="F277" t="s">
        <v>1355</v>
      </c>
    </row>
    <row r="278" spans="1:6" x14ac:dyDescent="0.25">
      <c r="A278" s="19" t="s">
        <v>464</v>
      </c>
      <c r="B278" t="s">
        <v>923</v>
      </c>
      <c r="C278">
        <v>76</v>
      </c>
      <c r="D278" t="s">
        <v>1356</v>
      </c>
      <c r="E278" t="s">
        <v>901</v>
      </c>
      <c r="F278" t="s">
        <v>956</v>
      </c>
    </row>
    <row r="279" spans="1:6" x14ac:dyDescent="0.25">
      <c r="A279" s="19" t="s">
        <v>464</v>
      </c>
      <c r="B279" t="s">
        <v>1028</v>
      </c>
      <c r="C279">
        <v>8</v>
      </c>
      <c r="D279" t="s">
        <v>1357</v>
      </c>
      <c r="E279" t="s">
        <v>909</v>
      </c>
      <c r="F279" t="s">
        <v>1309</v>
      </c>
    </row>
    <row r="280" spans="1:6" x14ac:dyDescent="0.25">
      <c r="A280" s="19" t="s">
        <v>464</v>
      </c>
      <c r="B280" t="s">
        <v>23</v>
      </c>
      <c r="C280">
        <v>4</v>
      </c>
      <c r="D280" t="s">
        <v>1358</v>
      </c>
      <c r="E280" t="s">
        <v>917</v>
      </c>
      <c r="F280" t="s">
        <v>1315</v>
      </c>
    </row>
    <row r="281" spans="1:6" x14ac:dyDescent="0.25">
      <c r="A281" s="19" t="s">
        <v>464</v>
      </c>
      <c r="B281" t="s">
        <v>950</v>
      </c>
      <c r="C281">
        <v>4</v>
      </c>
      <c r="D281" t="s">
        <v>1359</v>
      </c>
      <c r="E281" t="s">
        <v>921</v>
      </c>
      <c r="F281" t="s">
        <v>1349</v>
      </c>
    </row>
    <row r="282" spans="1:6" x14ac:dyDescent="0.25">
      <c r="A282" s="19" t="s">
        <v>464</v>
      </c>
      <c r="B282" t="s">
        <v>18</v>
      </c>
      <c r="C282">
        <v>2</v>
      </c>
      <c r="D282" t="s">
        <v>1360</v>
      </c>
      <c r="E282" t="s">
        <v>1044</v>
      </c>
      <c r="F282" t="s">
        <v>1361</v>
      </c>
    </row>
    <row r="283" spans="1:6" x14ac:dyDescent="0.25">
      <c r="A283" s="19" t="s">
        <v>464</v>
      </c>
      <c r="B283" t="s">
        <v>941</v>
      </c>
      <c r="C283">
        <v>2</v>
      </c>
      <c r="D283" t="s">
        <v>1186</v>
      </c>
      <c r="E283" t="s">
        <v>925</v>
      </c>
      <c r="F283" t="s">
        <v>1214</v>
      </c>
    </row>
    <row r="284" spans="1:6" x14ac:dyDescent="0.25">
      <c r="A284" s="19" t="s">
        <v>464</v>
      </c>
      <c r="B284" t="s">
        <v>923</v>
      </c>
      <c r="C284">
        <v>4</v>
      </c>
      <c r="D284" t="s">
        <v>1362</v>
      </c>
      <c r="E284" t="s">
        <v>911</v>
      </c>
      <c r="F284" t="s">
        <v>1363</v>
      </c>
    </row>
    <row r="285" spans="1:6" x14ac:dyDescent="0.25">
      <c r="A285" s="19" t="s">
        <v>1364</v>
      </c>
      <c r="B285" t="s">
        <v>923</v>
      </c>
      <c r="C285">
        <v>72</v>
      </c>
      <c r="D285" t="s">
        <v>1365</v>
      </c>
      <c r="E285" t="s">
        <v>901</v>
      </c>
      <c r="F285" t="s">
        <v>956</v>
      </c>
    </row>
    <row r="286" spans="1:6" x14ac:dyDescent="0.25">
      <c r="A286" s="19" t="s">
        <v>1364</v>
      </c>
      <c r="B286" t="s">
        <v>950</v>
      </c>
      <c r="C286">
        <v>6</v>
      </c>
      <c r="D286" t="s">
        <v>1366</v>
      </c>
      <c r="E286" t="s">
        <v>921</v>
      </c>
      <c r="F286" t="s">
        <v>1367</v>
      </c>
    </row>
    <row r="287" spans="1:6" x14ac:dyDescent="0.25">
      <c r="A287" s="19" t="s">
        <v>1364</v>
      </c>
      <c r="B287" t="s">
        <v>23</v>
      </c>
      <c r="C287">
        <v>4</v>
      </c>
      <c r="D287" t="s">
        <v>1368</v>
      </c>
      <c r="E287" t="s">
        <v>917</v>
      </c>
      <c r="F287" t="s">
        <v>1351</v>
      </c>
    </row>
    <row r="288" spans="1:6" x14ac:dyDescent="0.25">
      <c r="A288" s="19" t="s">
        <v>1364</v>
      </c>
      <c r="B288" t="s">
        <v>923</v>
      </c>
      <c r="C288">
        <v>10</v>
      </c>
      <c r="D288" t="s">
        <v>1369</v>
      </c>
      <c r="E288" t="s">
        <v>911</v>
      </c>
      <c r="F288" t="s">
        <v>1353</v>
      </c>
    </row>
    <row r="289" spans="1:6" x14ac:dyDescent="0.25">
      <c r="A289" s="19" t="s">
        <v>1364</v>
      </c>
      <c r="B289" t="s">
        <v>1028</v>
      </c>
      <c r="C289">
        <v>4</v>
      </c>
      <c r="D289" t="s">
        <v>1370</v>
      </c>
      <c r="E289" t="s">
        <v>909</v>
      </c>
      <c r="F289" t="s">
        <v>1371</v>
      </c>
    </row>
    <row r="290" spans="1:6" x14ac:dyDescent="0.25">
      <c r="A290" s="19" t="s">
        <v>1364</v>
      </c>
      <c r="B290" t="s">
        <v>941</v>
      </c>
      <c r="C290">
        <v>2</v>
      </c>
      <c r="D290" t="s">
        <v>1186</v>
      </c>
      <c r="E290" t="s">
        <v>925</v>
      </c>
      <c r="F290" t="s">
        <v>1214</v>
      </c>
    </row>
    <row r="291" spans="1:6" x14ac:dyDescent="0.25">
      <c r="A291" s="19" t="s">
        <v>1364</v>
      </c>
      <c r="B291" t="s">
        <v>18</v>
      </c>
      <c r="C291">
        <v>2</v>
      </c>
      <c r="D291" t="s">
        <v>1224</v>
      </c>
      <c r="E291" t="s">
        <v>911</v>
      </c>
      <c r="F291" t="s">
        <v>1060</v>
      </c>
    </row>
    <row r="292" spans="1:6" x14ac:dyDescent="0.25">
      <c r="A292" s="19" t="s">
        <v>472</v>
      </c>
      <c r="B292" t="s">
        <v>923</v>
      </c>
      <c r="C292">
        <v>52</v>
      </c>
      <c r="D292" t="s">
        <v>1372</v>
      </c>
      <c r="E292" t="s">
        <v>901</v>
      </c>
      <c r="F292" t="s">
        <v>1218</v>
      </c>
    </row>
    <row r="293" spans="1:6" x14ac:dyDescent="0.25">
      <c r="A293" s="19" t="s">
        <v>472</v>
      </c>
      <c r="B293" t="s">
        <v>950</v>
      </c>
      <c r="C293">
        <v>18</v>
      </c>
      <c r="D293" t="s">
        <v>1373</v>
      </c>
      <c r="E293" t="s">
        <v>1198</v>
      </c>
      <c r="F293" t="s">
        <v>1374</v>
      </c>
    </row>
    <row r="294" spans="1:6" x14ac:dyDescent="0.25">
      <c r="A294" s="19" t="s">
        <v>472</v>
      </c>
      <c r="B294" t="s">
        <v>23</v>
      </c>
      <c r="C294">
        <v>8</v>
      </c>
      <c r="D294" t="s">
        <v>1375</v>
      </c>
      <c r="E294" t="s">
        <v>917</v>
      </c>
      <c r="F294" t="s">
        <v>1376</v>
      </c>
    </row>
    <row r="295" spans="1:6" x14ac:dyDescent="0.25">
      <c r="A295" s="19" t="s">
        <v>472</v>
      </c>
      <c r="B295" t="s">
        <v>1025</v>
      </c>
      <c r="C295">
        <v>4</v>
      </c>
      <c r="D295" t="s">
        <v>1377</v>
      </c>
      <c r="E295" t="s">
        <v>909</v>
      </c>
      <c r="F295" t="s">
        <v>1378</v>
      </c>
    </row>
    <row r="296" spans="1:6" x14ac:dyDescent="0.25">
      <c r="A296" s="19" t="s">
        <v>472</v>
      </c>
      <c r="B296" t="s">
        <v>18</v>
      </c>
      <c r="C296">
        <v>2</v>
      </c>
      <c r="D296" t="s">
        <v>1224</v>
      </c>
      <c r="E296" t="s">
        <v>911</v>
      </c>
      <c r="F296" t="s">
        <v>1060</v>
      </c>
    </row>
    <row r="297" spans="1:6" x14ac:dyDescent="0.25">
      <c r="A297" s="19" t="s">
        <v>472</v>
      </c>
      <c r="B297" t="s">
        <v>941</v>
      </c>
      <c r="C297">
        <v>2</v>
      </c>
      <c r="D297" t="s">
        <v>1186</v>
      </c>
      <c r="E297" t="s">
        <v>925</v>
      </c>
      <c r="F297" t="s">
        <v>1214</v>
      </c>
    </row>
    <row r="298" spans="1:6" x14ac:dyDescent="0.25">
      <c r="A298" s="19" t="s">
        <v>472</v>
      </c>
      <c r="B298" t="s">
        <v>923</v>
      </c>
      <c r="C298">
        <v>10</v>
      </c>
      <c r="D298" t="s">
        <v>1379</v>
      </c>
      <c r="E298" t="s">
        <v>911</v>
      </c>
      <c r="F298" t="s">
        <v>1380</v>
      </c>
    </row>
    <row r="299" spans="1:6" x14ac:dyDescent="0.25">
      <c r="A299" s="19" t="s">
        <v>472</v>
      </c>
      <c r="B299" t="s">
        <v>1225</v>
      </c>
      <c r="C299">
        <v>4</v>
      </c>
      <c r="D299" t="s">
        <v>1226</v>
      </c>
      <c r="E299" t="s">
        <v>1049</v>
      </c>
      <c r="F299" t="s">
        <v>1381</v>
      </c>
    </row>
    <row r="300" spans="1:6" x14ac:dyDescent="0.25">
      <c r="A300" s="19" t="s">
        <v>496</v>
      </c>
      <c r="B300" t="s">
        <v>1028</v>
      </c>
      <c r="C300">
        <v>44</v>
      </c>
      <c r="D300" t="s">
        <v>1382</v>
      </c>
      <c r="E300" t="s">
        <v>901</v>
      </c>
      <c r="F300" t="s">
        <v>1383</v>
      </c>
    </row>
    <row r="301" spans="1:6" x14ac:dyDescent="0.25">
      <c r="A301" s="19" t="s">
        <v>496</v>
      </c>
      <c r="B301" t="s">
        <v>923</v>
      </c>
      <c r="C301">
        <v>26</v>
      </c>
      <c r="D301" t="s">
        <v>1384</v>
      </c>
      <c r="E301" t="s">
        <v>1178</v>
      </c>
      <c r="F301" t="s">
        <v>1385</v>
      </c>
    </row>
    <row r="302" spans="1:6" x14ac:dyDescent="0.25">
      <c r="A302" s="19" t="s">
        <v>496</v>
      </c>
      <c r="B302" t="s">
        <v>18</v>
      </c>
      <c r="C302">
        <v>8</v>
      </c>
      <c r="D302" t="s">
        <v>1386</v>
      </c>
      <c r="E302" t="s">
        <v>921</v>
      </c>
      <c r="F302" t="s">
        <v>1387</v>
      </c>
    </row>
    <row r="303" spans="1:6" x14ac:dyDescent="0.25">
      <c r="A303" s="19" t="s">
        <v>496</v>
      </c>
      <c r="B303" t="s">
        <v>23</v>
      </c>
      <c r="C303">
        <v>6</v>
      </c>
      <c r="D303" t="s">
        <v>1388</v>
      </c>
      <c r="E303" t="s">
        <v>911</v>
      </c>
      <c r="F303" t="s">
        <v>965</v>
      </c>
    </row>
    <row r="304" spans="1:6" x14ac:dyDescent="0.25">
      <c r="A304" s="19" t="s">
        <v>496</v>
      </c>
      <c r="B304" t="s">
        <v>950</v>
      </c>
      <c r="C304">
        <v>4</v>
      </c>
      <c r="D304" t="s">
        <v>1389</v>
      </c>
      <c r="E304" t="s">
        <v>921</v>
      </c>
      <c r="F304" t="s">
        <v>1320</v>
      </c>
    </row>
    <row r="305" spans="1:6" x14ac:dyDescent="0.25">
      <c r="A305" s="19" t="s">
        <v>496</v>
      </c>
      <c r="B305" t="s">
        <v>961</v>
      </c>
      <c r="C305">
        <v>4</v>
      </c>
      <c r="D305" t="s">
        <v>1390</v>
      </c>
      <c r="E305" t="s">
        <v>911</v>
      </c>
      <c r="F305" t="s">
        <v>1391</v>
      </c>
    </row>
    <row r="306" spans="1:6" x14ac:dyDescent="0.25">
      <c r="A306" s="19" t="s">
        <v>496</v>
      </c>
      <c r="B306" t="s">
        <v>941</v>
      </c>
      <c r="C306">
        <v>2</v>
      </c>
      <c r="D306" t="s">
        <v>1186</v>
      </c>
      <c r="E306" t="s">
        <v>925</v>
      </c>
      <c r="F306" t="s">
        <v>1214</v>
      </c>
    </row>
    <row r="307" spans="1:6" x14ac:dyDescent="0.25">
      <c r="A307" s="19" t="s">
        <v>496</v>
      </c>
      <c r="B307" t="s">
        <v>1028</v>
      </c>
      <c r="C307">
        <v>6</v>
      </c>
      <c r="D307" t="s">
        <v>1392</v>
      </c>
      <c r="E307" t="s">
        <v>1178</v>
      </c>
      <c r="F307" t="s">
        <v>1393</v>
      </c>
    </row>
    <row r="308" spans="1:6" x14ac:dyDescent="0.25">
      <c r="A308" s="19" t="s">
        <v>478</v>
      </c>
      <c r="B308" t="s">
        <v>18</v>
      </c>
      <c r="C308">
        <v>42</v>
      </c>
      <c r="D308" t="s">
        <v>1394</v>
      </c>
      <c r="E308" t="s">
        <v>1178</v>
      </c>
      <c r="F308" t="s">
        <v>1395</v>
      </c>
    </row>
    <row r="309" spans="1:6" x14ac:dyDescent="0.25">
      <c r="A309" s="19" t="s">
        <v>478</v>
      </c>
      <c r="B309" t="s">
        <v>1028</v>
      </c>
      <c r="C309">
        <v>20</v>
      </c>
      <c r="D309" t="s">
        <v>1396</v>
      </c>
      <c r="E309" t="s">
        <v>1178</v>
      </c>
      <c r="F309" t="s">
        <v>1397</v>
      </c>
    </row>
    <row r="310" spans="1:6" x14ac:dyDescent="0.25">
      <c r="A310" s="19" t="s">
        <v>478</v>
      </c>
      <c r="B310" t="s">
        <v>23</v>
      </c>
      <c r="C310">
        <v>14</v>
      </c>
      <c r="D310" t="s">
        <v>1398</v>
      </c>
      <c r="E310" t="s">
        <v>921</v>
      </c>
      <c r="F310" t="s">
        <v>1399</v>
      </c>
    </row>
    <row r="311" spans="1:6" x14ac:dyDescent="0.25">
      <c r="A311" s="19" t="s">
        <v>478</v>
      </c>
      <c r="B311" t="s">
        <v>923</v>
      </c>
      <c r="C311">
        <v>6</v>
      </c>
      <c r="D311" t="s">
        <v>1400</v>
      </c>
      <c r="E311" t="s">
        <v>1044</v>
      </c>
      <c r="F311" t="s">
        <v>1401</v>
      </c>
    </row>
    <row r="312" spans="1:6" x14ac:dyDescent="0.25">
      <c r="A312" s="19" t="s">
        <v>478</v>
      </c>
      <c r="B312" t="s">
        <v>961</v>
      </c>
      <c r="C312">
        <v>4</v>
      </c>
      <c r="D312" t="s">
        <v>1402</v>
      </c>
      <c r="E312" t="s">
        <v>911</v>
      </c>
      <c r="F312" t="s">
        <v>1403</v>
      </c>
    </row>
    <row r="313" spans="1:6" x14ac:dyDescent="0.25">
      <c r="A313" s="19" t="s">
        <v>478</v>
      </c>
      <c r="B313" t="s">
        <v>941</v>
      </c>
      <c r="C313">
        <v>2</v>
      </c>
      <c r="D313" t="s">
        <v>1186</v>
      </c>
      <c r="E313" t="s">
        <v>925</v>
      </c>
      <c r="F313" t="s">
        <v>1214</v>
      </c>
    </row>
    <row r="314" spans="1:6" x14ac:dyDescent="0.25">
      <c r="A314" s="19" t="s">
        <v>478</v>
      </c>
      <c r="B314" t="s">
        <v>18</v>
      </c>
      <c r="C314">
        <v>6</v>
      </c>
      <c r="D314" t="s">
        <v>1404</v>
      </c>
      <c r="E314" t="s">
        <v>1044</v>
      </c>
      <c r="F314" t="s">
        <v>1405</v>
      </c>
    </row>
    <row r="315" spans="1:6" x14ac:dyDescent="0.25">
      <c r="A315" s="19" t="s">
        <v>478</v>
      </c>
      <c r="B315" t="s">
        <v>1028</v>
      </c>
      <c r="C315">
        <v>6</v>
      </c>
      <c r="D315" t="s">
        <v>1406</v>
      </c>
      <c r="E315" t="s">
        <v>921</v>
      </c>
      <c r="F315" t="s">
        <v>1407</v>
      </c>
    </row>
    <row r="316" spans="1:6" x14ac:dyDescent="0.25">
      <c r="A316" s="19" t="s">
        <v>19</v>
      </c>
      <c r="B316" t="s">
        <v>23</v>
      </c>
      <c r="C316">
        <v>73</v>
      </c>
      <c r="D316" t="s">
        <v>1408</v>
      </c>
      <c r="E316" t="s">
        <v>901</v>
      </c>
      <c r="F316" t="s">
        <v>956</v>
      </c>
    </row>
    <row r="317" spans="1:6" x14ac:dyDescent="0.25">
      <c r="A317" s="19" t="s">
        <v>19</v>
      </c>
      <c r="B317" t="s">
        <v>923</v>
      </c>
      <c r="C317">
        <v>7</v>
      </c>
      <c r="D317" t="s">
        <v>1409</v>
      </c>
      <c r="E317" t="s">
        <v>921</v>
      </c>
      <c r="F317" t="s">
        <v>1410</v>
      </c>
    </row>
    <row r="318" spans="1:6" x14ac:dyDescent="0.25">
      <c r="A318" s="19" t="s">
        <v>19</v>
      </c>
      <c r="B318" t="s">
        <v>1225</v>
      </c>
      <c r="C318">
        <v>6</v>
      </c>
      <c r="D318" t="s">
        <v>1411</v>
      </c>
      <c r="E318" t="s">
        <v>921</v>
      </c>
      <c r="F318" t="s">
        <v>1412</v>
      </c>
    </row>
    <row r="319" spans="1:6" x14ac:dyDescent="0.25">
      <c r="A319" s="19" t="s">
        <v>19</v>
      </c>
      <c r="B319" t="s">
        <v>18</v>
      </c>
      <c r="C319">
        <v>5</v>
      </c>
      <c r="D319" t="s">
        <v>1413</v>
      </c>
      <c r="E319" t="s">
        <v>1049</v>
      </c>
      <c r="F319" t="s">
        <v>1414</v>
      </c>
    </row>
    <row r="320" spans="1:6" x14ac:dyDescent="0.25">
      <c r="A320" s="19" t="s">
        <v>19</v>
      </c>
      <c r="B320" t="s">
        <v>21</v>
      </c>
      <c r="C320">
        <v>3</v>
      </c>
      <c r="D320" t="s">
        <v>1415</v>
      </c>
      <c r="E320" t="s">
        <v>1049</v>
      </c>
      <c r="F320" t="s">
        <v>1416</v>
      </c>
    </row>
    <row r="321" spans="1:6" x14ac:dyDescent="0.25">
      <c r="A321" s="19" t="s">
        <v>19</v>
      </c>
      <c r="B321" t="s">
        <v>1028</v>
      </c>
      <c r="C321">
        <v>3</v>
      </c>
      <c r="D321" t="s">
        <v>1417</v>
      </c>
      <c r="E321" t="s">
        <v>909</v>
      </c>
      <c r="F321" t="s">
        <v>1418</v>
      </c>
    </row>
    <row r="322" spans="1:6" x14ac:dyDescent="0.25">
      <c r="A322" s="19" t="s">
        <v>19</v>
      </c>
      <c r="B322" t="s">
        <v>941</v>
      </c>
      <c r="C322">
        <v>3</v>
      </c>
      <c r="D322" t="s">
        <v>1186</v>
      </c>
      <c r="E322" t="s">
        <v>925</v>
      </c>
      <c r="F322" t="s">
        <v>1214</v>
      </c>
    </row>
    <row r="323" spans="1:6" x14ac:dyDescent="0.25">
      <c r="A323" s="19" t="s">
        <v>619</v>
      </c>
      <c r="B323" t="s">
        <v>1225</v>
      </c>
      <c r="C323">
        <v>76</v>
      </c>
      <c r="D323" t="s">
        <v>1419</v>
      </c>
      <c r="E323" t="s">
        <v>901</v>
      </c>
      <c r="F323" t="s">
        <v>956</v>
      </c>
    </row>
    <row r="324" spans="1:6" x14ac:dyDescent="0.25">
      <c r="A324" s="19" t="s">
        <v>619</v>
      </c>
      <c r="B324" t="s">
        <v>950</v>
      </c>
      <c r="C324">
        <v>8</v>
      </c>
      <c r="D324" t="s">
        <v>1420</v>
      </c>
      <c r="E324" t="s">
        <v>1198</v>
      </c>
      <c r="F324" t="s">
        <v>1421</v>
      </c>
    </row>
    <row r="325" spans="1:6" x14ac:dyDescent="0.25">
      <c r="A325" s="19" t="s">
        <v>619</v>
      </c>
      <c r="B325" t="s">
        <v>23</v>
      </c>
      <c r="C325">
        <v>6</v>
      </c>
      <c r="D325" t="s">
        <v>1422</v>
      </c>
      <c r="E325" t="s">
        <v>1044</v>
      </c>
      <c r="F325" t="s">
        <v>1423</v>
      </c>
    </row>
    <row r="326" spans="1:6" x14ac:dyDescent="0.25">
      <c r="A326" s="19" t="s">
        <v>619</v>
      </c>
      <c r="B326" t="s">
        <v>21</v>
      </c>
      <c r="C326">
        <v>4</v>
      </c>
      <c r="D326" t="s">
        <v>1424</v>
      </c>
      <c r="E326" t="s">
        <v>1044</v>
      </c>
      <c r="F326" t="s">
        <v>940</v>
      </c>
    </row>
    <row r="327" spans="1:6" x14ac:dyDescent="0.25">
      <c r="A327" s="19" t="s">
        <v>619</v>
      </c>
      <c r="B327" t="s">
        <v>923</v>
      </c>
      <c r="C327">
        <v>2</v>
      </c>
      <c r="D327" t="s">
        <v>1425</v>
      </c>
      <c r="E327" t="s">
        <v>1049</v>
      </c>
      <c r="F327" t="s">
        <v>1259</v>
      </c>
    </row>
    <row r="328" spans="1:6" x14ac:dyDescent="0.25">
      <c r="A328" s="19" t="s">
        <v>619</v>
      </c>
      <c r="B328" t="s">
        <v>941</v>
      </c>
      <c r="C328">
        <v>2</v>
      </c>
      <c r="D328" t="s">
        <v>1186</v>
      </c>
      <c r="E328" t="s">
        <v>925</v>
      </c>
      <c r="F328" t="s">
        <v>1214</v>
      </c>
    </row>
    <row r="329" spans="1:6" x14ac:dyDescent="0.25">
      <c r="A329" s="19" t="s">
        <v>619</v>
      </c>
      <c r="B329" t="s">
        <v>18</v>
      </c>
      <c r="C329">
        <v>2</v>
      </c>
      <c r="D329" t="s">
        <v>1224</v>
      </c>
      <c r="E329" t="s">
        <v>911</v>
      </c>
      <c r="F329" t="s">
        <v>1216</v>
      </c>
    </row>
    <row r="330" spans="1:6" x14ac:dyDescent="0.25">
      <c r="A330" s="19" t="s">
        <v>609</v>
      </c>
      <c r="B330" t="s">
        <v>1225</v>
      </c>
      <c r="C330">
        <v>79</v>
      </c>
      <c r="D330" t="s">
        <v>1426</v>
      </c>
      <c r="E330" t="s">
        <v>901</v>
      </c>
      <c r="F330" t="s">
        <v>956</v>
      </c>
    </row>
    <row r="331" spans="1:6" x14ac:dyDescent="0.25">
      <c r="A331" s="19" t="s">
        <v>609</v>
      </c>
      <c r="B331" t="s">
        <v>21</v>
      </c>
      <c r="C331">
        <v>7</v>
      </c>
      <c r="D331" t="s">
        <v>1427</v>
      </c>
      <c r="E331" t="s">
        <v>1044</v>
      </c>
      <c r="F331" t="s">
        <v>1428</v>
      </c>
    </row>
    <row r="332" spans="1:6" x14ac:dyDescent="0.25">
      <c r="A332" s="19" t="s">
        <v>609</v>
      </c>
      <c r="B332" t="s">
        <v>23</v>
      </c>
      <c r="C332">
        <v>5</v>
      </c>
      <c r="D332" t="s">
        <v>1429</v>
      </c>
      <c r="E332" t="s">
        <v>1044</v>
      </c>
      <c r="F332" t="s">
        <v>1430</v>
      </c>
    </row>
    <row r="333" spans="1:6" x14ac:dyDescent="0.25">
      <c r="A333" s="19" t="s">
        <v>609</v>
      </c>
      <c r="B333" t="s">
        <v>950</v>
      </c>
      <c r="C333">
        <v>4</v>
      </c>
      <c r="D333" t="s">
        <v>1431</v>
      </c>
      <c r="E333" t="s">
        <v>1198</v>
      </c>
      <c r="F333" t="s">
        <v>1432</v>
      </c>
    </row>
    <row r="334" spans="1:6" x14ac:dyDescent="0.25">
      <c r="A334" s="19" t="s">
        <v>609</v>
      </c>
      <c r="B334" t="s">
        <v>18</v>
      </c>
      <c r="C334">
        <v>3</v>
      </c>
      <c r="D334" t="s">
        <v>1433</v>
      </c>
      <c r="E334" t="s">
        <v>1049</v>
      </c>
      <c r="F334" t="s">
        <v>1434</v>
      </c>
    </row>
    <row r="335" spans="1:6" x14ac:dyDescent="0.25">
      <c r="A335" s="19" t="s">
        <v>609</v>
      </c>
      <c r="B335" t="s">
        <v>941</v>
      </c>
      <c r="C335">
        <v>2</v>
      </c>
      <c r="D335" t="s">
        <v>1186</v>
      </c>
      <c r="E335" t="s">
        <v>925</v>
      </c>
      <c r="F335" t="s">
        <v>1060</v>
      </c>
    </row>
    <row r="336" spans="1:6" x14ac:dyDescent="0.25">
      <c r="A336" s="19" t="s">
        <v>611</v>
      </c>
      <c r="B336" t="s">
        <v>1225</v>
      </c>
      <c r="C336">
        <v>62</v>
      </c>
      <c r="D336" t="s">
        <v>1435</v>
      </c>
      <c r="E336" t="s">
        <v>901</v>
      </c>
      <c r="F336" t="s">
        <v>956</v>
      </c>
    </row>
    <row r="337" spans="1:6" x14ac:dyDescent="0.25">
      <c r="A337" s="19" t="s">
        <v>611</v>
      </c>
      <c r="B337" t="s">
        <v>23</v>
      </c>
      <c r="C337">
        <v>18</v>
      </c>
      <c r="D337" t="s">
        <v>1436</v>
      </c>
      <c r="E337" t="s">
        <v>1198</v>
      </c>
      <c r="F337" t="s">
        <v>1437</v>
      </c>
    </row>
    <row r="338" spans="1:6" x14ac:dyDescent="0.25">
      <c r="A338" s="19" t="s">
        <v>611</v>
      </c>
      <c r="B338" t="s">
        <v>21</v>
      </c>
      <c r="C338">
        <v>10</v>
      </c>
      <c r="D338" t="s">
        <v>1438</v>
      </c>
      <c r="E338" t="s">
        <v>1044</v>
      </c>
      <c r="F338" t="s">
        <v>1439</v>
      </c>
    </row>
    <row r="339" spans="1:6" x14ac:dyDescent="0.25">
      <c r="A339" s="19" t="s">
        <v>611</v>
      </c>
      <c r="B339" t="s">
        <v>950</v>
      </c>
      <c r="C339">
        <v>4</v>
      </c>
      <c r="D339" t="s">
        <v>1440</v>
      </c>
      <c r="E339" t="s">
        <v>1198</v>
      </c>
      <c r="F339" t="s">
        <v>940</v>
      </c>
    </row>
    <row r="340" spans="1:6" x14ac:dyDescent="0.25">
      <c r="A340" s="19" t="s">
        <v>611</v>
      </c>
      <c r="B340" t="s">
        <v>18</v>
      </c>
      <c r="C340">
        <v>3</v>
      </c>
      <c r="D340" t="s">
        <v>994</v>
      </c>
      <c r="E340" t="s">
        <v>1049</v>
      </c>
      <c r="F340" t="s">
        <v>1441</v>
      </c>
    </row>
    <row r="341" spans="1:6" x14ac:dyDescent="0.25">
      <c r="A341" s="19" t="s">
        <v>611</v>
      </c>
      <c r="B341" t="s">
        <v>941</v>
      </c>
      <c r="C341">
        <v>3</v>
      </c>
      <c r="D341" t="s">
        <v>1186</v>
      </c>
      <c r="E341" t="s">
        <v>925</v>
      </c>
      <c r="F341" t="s">
        <v>1214</v>
      </c>
    </row>
    <row r="342" spans="1:6" x14ac:dyDescent="0.25">
      <c r="A342" s="19" t="s">
        <v>534</v>
      </c>
      <c r="B342" t="s">
        <v>950</v>
      </c>
      <c r="C342">
        <v>64</v>
      </c>
      <c r="D342" t="s">
        <v>1442</v>
      </c>
      <c r="E342" t="s">
        <v>901</v>
      </c>
      <c r="F342" t="s">
        <v>1443</v>
      </c>
    </row>
    <row r="343" spans="1:6" x14ac:dyDescent="0.25">
      <c r="A343" s="19" t="s">
        <v>534</v>
      </c>
      <c r="B343" t="s">
        <v>903</v>
      </c>
      <c r="C343">
        <v>10</v>
      </c>
      <c r="D343" t="s">
        <v>1444</v>
      </c>
      <c r="E343" t="s">
        <v>1198</v>
      </c>
      <c r="F343" t="s">
        <v>1445</v>
      </c>
    </row>
    <row r="344" spans="1:6" x14ac:dyDescent="0.25">
      <c r="A344" s="19" t="s">
        <v>534</v>
      </c>
      <c r="B344" t="s">
        <v>908</v>
      </c>
      <c r="C344">
        <v>6</v>
      </c>
      <c r="D344" t="s">
        <v>1446</v>
      </c>
      <c r="E344" t="s">
        <v>909</v>
      </c>
      <c r="F344" t="s">
        <v>1447</v>
      </c>
    </row>
    <row r="345" spans="1:6" x14ac:dyDescent="0.25">
      <c r="A345" s="19" t="s">
        <v>534</v>
      </c>
      <c r="B345" t="s">
        <v>1225</v>
      </c>
      <c r="C345">
        <v>7</v>
      </c>
      <c r="D345" t="s">
        <v>1448</v>
      </c>
      <c r="E345" t="s">
        <v>1044</v>
      </c>
      <c r="F345" t="s">
        <v>1449</v>
      </c>
    </row>
    <row r="346" spans="1:6" x14ac:dyDescent="0.25">
      <c r="A346" s="19" t="s">
        <v>534</v>
      </c>
      <c r="B346" t="s">
        <v>23</v>
      </c>
      <c r="C346">
        <v>4</v>
      </c>
      <c r="D346" t="s">
        <v>1450</v>
      </c>
      <c r="E346" t="s">
        <v>1044</v>
      </c>
      <c r="F346" t="s">
        <v>1451</v>
      </c>
    </row>
    <row r="347" spans="1:6" x14ac:dyDescent="0.25">
      <c r="A347" s="19" t="s">
        <v>534</v>
      </c>
      <c r="B347" t="s">
        <v>1452</v>
      </c>
      <c r="C347">
        <v>2</v>
      </c>
      <c r="D347" t="s">
        <v>1453</v>
      </c>
      <c r="E347" t="s">
        <v>911</v>
      </c>
      <c r="F347" t="s">
        <v>1454</v>
      </c>
    </row>
    <row r="348" spans="1:6" x14ac:dyDescent="0.25">
      <c r="A348" s="19" t="s">
        <v>534</v>
      </c>
      <c r="B348" t="s">
        <v>1455</v>
      </c>
      <c r="C348">
        <v>2</v>
      </c>
      <c r="D348" t="s">
        <v>1456</v>
      </c>
      <c r="E348" t="s">
        <v>911</v>
      </c>
      <c r="F348" t="s">
        <v>1457</v>
      </c>
    </row>
    <row r="349" spans="1:6" x14ac:dyDescent="0.25">
      <c r="A349" s="19" t="s">
        <v>534</v>
      </c>
      <c r="B349" t="s">
        <v>18</v>
      </c>
      <c r="C349">
        <v>2</v>
      </c>
      <c r="D349" t="s">
        <v>1224</v>
      </c>
      <c r="E349" t="s">
        <v>911</v>
      </c>
      <c r="F349" t="s">
        <v>1216</v>
      </c>
    </row>
    <row r="350" spans="1:6" x14ac:dyDescent="0.25">
      <c r="A350" s="19" t="s">
        <v>534</v>
      </c>
      <c r="B350" t="s">
        <v>941</v>
      </c>
      <c r="C350">
        <v>3</v>
      </c>
      <c r="D350" t="s">
        <v>1186</v>
      </c>
      <c r="E350" t="s">
        <v>925</v>
      </c>
      <c r="F350" t="s">
        <v>1214</v>
      </c>
    </row>
    <row r="351" spans="1:6" x14ac:dyDescent="0.25">
      <c r="A351" s="22" t="s">
        <v>625</v>
      </c>
      <c r="B351" t="s">
        <v>18</v>
      </c>
      <c r="C351">
        <v>34</v>
      </c>
      <c r="D351" t="s">
        <v>2342</v>
      </c>
      <c r="E351" t="s">
        <v>901</v>
      </c>
      <c r="F351" t="s">
        <v>2343</v>
      </c>
    </row>
    <row r="352" spans="1:6" x14ac:dyDescent="0.25">
      <c r="A352" s="22" t="s">
        <v>625</v>
      </c>
      <c r="B352" t="s">
        <v>1025</v>
      </c>
      <c r="C352">
        <v>18</v>
      </c>
      <c r="D352" t="s">
        <v>2344</v>
      </c>
      <c r="E352" t="s">
        <v>1198</v>
      </c>
      <c r="F352" t="s">
        <v>2345</v>
      </c>
    </row>
    <row r="353" spans="1:6" x14ac:dyDescent="0.25">
      <c r="A353" s="22" t="s">
        <v>625</v>
      </c>
      <c r="B353" t="s">
        <v>903</v>
      </c>
      <c r="C353">
        <v>8</v>
      </c>
      <c r="D353" t="s">
        <v>2346</v>
      </c>
      <c r="E353" t="s">
        <v>1198</v>
      </c>
      <c r="F353" t="s">
        <v>2347</v>
      </c>
    </row>
    <row r="354" spans="1:6" x14ac:dyDescent="0.25">
      <c r="A354" s="22" t="s">
        <v>625</v>
      </c>
      <c r="B354" t="s">
        <v>22</v>
      </c>
      <c r="C354">
        <v>12</v>
      </c>
      <c r="D354" t="s">
        <v>2348</v>
      </c>
      <c r="E354" t="s">
        <v>1044</v>
      </c>
      <c r="F354" t="s">
        <v>2349</v>
      </c>
    </row>
    <row r="355" spans="1:6" x14ac:dyDescent="0.25">
      <c r="A355" s="22" t="s">
        <v>625</v>
      </c>
      <c r="B355" t="s">
        <v>21</v>
      </c>
      <c r="C355">
        <v>8</v>
      </c>
      <c r="D355" t="s">
        <v>2350</v>
      </c>
      <c r="E355" t="s">
        <v>1049</v>
      </c>
      <c r="F355" t="s">
        <v>2351</v>
      </c>
    </row>
    <row r="356" spans="1:6" x14ac:dyDescent="0.25">
      <c r="A356" s="22" t="s">
        <v>625</v>
      </c>
      <c r="B356" t="s">
        <v>1225</v>
      </c>
      <c r="C356">
        <v>6</v>
      </c>
      <c r="D356" t="s">
        <v>2352</v>
      </c>
      <c r="E356" t="s">
        <v>1049</v>
      </c>
      <c r="F356" t="s">
        <v>2353</v>
      </c>
    </row>
    <row r="357" spans="1:6" x14ac:dyDescent="0.25">
      <c r="A357" s="22" t="s">
        <v>625</v>
      </c>
      <c r="B357" t="s">
        <v>698</v>
      </c>
      <c r="C357">
        <v>4</v>
      </c>
      <c r="D357" t="s">
        <v>2354</v>
      </c>
      <c r="E357" t="s">
        <v>968</v>
      </c>
      <c r="F357" t="s">
        <v>2355</v>
      </c>
    </row>
    <row r="358" spans="1:6" x14ac:dyDescent="0.25">
      <c r="A358" s="22" t="s">
        <v>625</v>
      </c>
      <c r="B358" t="s">
        <v>950</v>
      </c>
      <c r="C358">
        <v>4</v>
      </c>
      <c r="D358" t="s">
        <v>2356</v>
      </c>
      <c r="E358" t="s">
        <v>1049</v>
      </c>
      <c r="F358" t="s">
        <v>2357</v>
      </c>
    </row>
    <row r="359" spans="1:6" x14ac:dyDescent="0.25">
      <c r="A359" s="22" t="s">
        <v>625</v>
      </c>
      <c r="B359" t="s">
        <v>961</v>
      </c>
      <c r="C359">
        <v>4</v>
      </c>
      <c r="D359" t="s">
        <v>2358</v>
      </c>
      <c r="E359" t="s">
        <v>1049</v>
      </c>
      <c r="F359" t="s">
        <v>2359</v>
      </c>
    </row>
    <row r="360" spans="1:6" x14ac:dyDescent="0.25">
      <c r="A360" s="22" t="s">
        <v>625</v>
      </c>
      <c r="B360" t="s">
        <v>18</v>
      </c>
      <c r="C360">
        <v>2</v>
      </c>
      <c r="D360" t="s">
        <v>2360</v>
      </c>
      <c r="E360" t="s">
        <v>1594</v>
      </c>
      <c r="F360" t="s">
        <v>1695</v>
      </c>
    </row>
  </sheetData>
  <autoFilter ref="A2:L360" xr:uid="{4BEE9D93-93F5-4423-AAA2-A56F26B833E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EF7D-AAF6-453A-8537-62C4C98E2ACC}">
  <dimension ref="A3:E228"/>
  <sheetViews>
    <sheetView topLeftCell="A214" workbookViewId="0">
      <selection activeCell="B247" sqref="B247"/>
    </sheetView>
  </sheetViews>
  <sheetFormatPr defaultRowHeight="15" x14ac:dyDescent="0.25"/>
  <cols>
    <col min="1" max="1" width="29.85546875" bestFit="1" customWidth="1"/>
    <col min="2" max="2" width="16.85546875" bestFit="1" customWidth="1"/>
    <col min="3" max="3" width="6" bestFit="1" customWidth="1"/>
    <col min="4" max="4" width="9.5703125" bestFit="1" customWidth="1"/>
    <col min="5" max="5" width="13.5703125" bestFit="1" customWidth="1"/>
  </cols>
  <sheetData>
    <row r="3" spans="1:5" x14ac:dyDescent="0.25">
      <c r="A3" s="25" t="s">
        <v>2443</v>
      </c>
      <c r="B3" s="25" t="s">
        <v>2373</v>
      </c>
    </row>
    <row r="4" spans="1:5" x14ac:dyDescent="0.25">
      <c r="A4" s="25" t="s">
        <v>2367</v>
      </c>
      <c r="B4" t="s">
        <v>2371</v>
      </c>
      <c r="C4" t="s">
        <v>2372</v>
      </c>
      <c r="D4" t="s">
        <v>2368</v>
      </c>
      <c r="E4" t="s">
        <v>2369</v>
      </c>
    </row>
    <row r="5" spans="1:5" x14ac:dyDescent="0.25">
      <c r="A5" s="26" t="s">
        <v>19</v>
      </c>
      <c r="B5">
        <v>24.239999999999995</v>
      </c>
      <c r="C5">
        <v>12.799999999999997</v>
      </c>
      <c r="E5">
        <v>37.039999999999992</v>
      </c>
    </row>
    <row r="6" spans="1:5" x14ac:dyDescent="0.25">
      <c r="A6" s="26" t="s">
        <v>718</v>
      </c>
      <c r="B6">
        <v>20.919999999999995</v>
      </c>
      <c r="C6">
        <v>13.549999999999995</v>
      </c>
      <c r="E6">
        <v>34.469999999999992</v>
      </c>
    </row>
    <row r="7" spans="1:5" x14ac:dyDescent="0.25">
      <c r="A7" s="26" t="s">
        <v>589</v>
      </c>
      <c r="B7">
        <v>14.339999999999998</v>
      </c>
      <c r="C7">
        <v>10.58</v>
      </c>
      <c r="E7">
        <v>24.919999999999998</v>
      </c>
    </row>
    <row r="8" spans="1:5" x14ac:dyDescent="0.25">
      <c r="A8" s="26" t="s">
        <v>702</v>
      </c>
      <c r="B8">
        <v>15.149999999999999</v>
      </c>
      <c r="C8">
        <v>9.5399999999999991</v>
      </c>
      <c r="E8">
        <v>24.689999999999998</v>
      </c>
    </row>
    <row r="9" spans="1:5" x14ac:dyDescent="0.25">
      <c r="A9" s="26" t="s">
        <v>724</v>
      </c>
      <c r="B9">
        <v>12.24</v>
      </c>
      <c r="C9">
        <v>11.600000000000007</v>
      </c>
      <c r="E9">
        <v>23.840000000000007</v>
      </c>
    </row>
    <row r="10" spans="1:5" x14ac:dyDescent="0.25">
      <c r="A10" s="26" t="s">
        <v>488</v>
      </c>
      <c r="B10">
        <v>15.000000000000002</v>
      </c>
      <c r="C10">
        <v>7.78</v>
      </c>
      <c r="E10">
        <v>22.78</v>
      </c>
    </row>
    <row r="11" spans="1:5" x14ac:dyDescent="0.25">
      <c r="A11" s="26" t="s">
        <v>631</v>
      </c>
      <c r="B11">
        <v>13.399999999999999</v>
      </c>
      <c r="C11">
        <v>8.8800000000000008</v>
      </c>
      <c r="E11">
        <v>22.28</v>
      </c>
    </row>
    <row r="12" spans="1:5" x14ac:dyDescent="0.25">
      <c r="A12" s="26" t="s">
        <v>698</v>
      </c>
      <c r="B12">
        <v>12.76</v>
      </c>
      <c r="C12">
        <v>7.6300000000000008</v>
      </c>
      <c r="E12">
        <v>20.39</v>
      </c>
    </row>
    <row r="13" spans="1:5" x14ac:dyDescent="0.25">
      <c r="A13" s="26" t="s">
        <v>2385</v>
      </c>
      <c r="B13">
        <v>11.269999999999998</v>
      </c>
      <c r="C13">
        <v>8.42</v>
      </c>
      <c r="E13">
        <v>19.689999999999998</v>
      </c>
    </row>
    <row r="14" spans="1:5" x14ac:dyDescent="0.25">
      <c r="A14" s="26" t="s">
        <v>714</v>
      </c>
      <c r="B14">
        <v>7.74</v>
      </c>
      <c r="C14">
        <v>10.089999999999998</v>
      </c>
      <c r="E14">
        <v>17.829999999999998</v>
      </c>
    </row>
    <row r="15" spans="1:5" x14ac:dyDescent="0.25">
      <c r="A15" s="26" t="s">
        <v>692</v>
      </c>
      <c r="B15">
        <v>5.74</v>
      </c>
      <c r="C15">
        <v>11.54</v>
      </c>
      <c r="E15">
        <v>17.28</v>
      </c>
    </row>
    <row r="16" spans="1:5" x14ac:dyDescent="0.25">
      <c r="A16" s="26" t="s">
        <v>593</v>
      </c>
      <c r="B16">
        <v>10.639999999999999</v>
      </c>
      <c r="C16">
        <v>6.5999999999999988</v>
      </c>
      <c r="E16">
        <v>17.239999999999998</v>
      </c>
    </row>
    <row r="17" spans="1:5" x14ac:dyDescent="0.25">
      <c r="A17" s="26" t="s">
        <v>561</v>
      </c>
      <c r="B17">
        <v>10.84</v>
      </c>
      <c r="C17">
        <v>6.1</v>
      </c>
      <c r="E17">
        <v>16.939999999999998</v>
      </c>
    </row>
    <row r="18" spans="1:5" x14ac:dyDescent="0.25">
      <c r="A18" s="26" t="s">
        <v>2412</v>
      </c>
      <c r="B18">
        <v>9.68</v>
      </c>
      <c r="C18">
        <v>6.8000000000000007</v>
      </c>
      <c r="E18">
        <v>16.48</v>
      </c>
    </row>
    <row r="19" spans="1:5" x14ac:dyDescent="0.25">
      <c r="A19" s="26" t="s">
        <v>722</v>
      </c>
      <c r="B19">
        <v>4.25</v>
      </c>
      <c r="C19">
        <v>10.459999999999999</v>
      </c>
      <c r="E19">
        <v>14.709999999999999</v>
      </c>
    </row>
    <row r="20" spans="1:5" x14ac:dyDescent="0.25">
      <c r="A20" s="26" t="s">
        <v>690</v>
      </c>
      <c r="B20">
        <v>9.0499999999999989</v>
      </c>
      <c r="C20">
        <v>5.5000000000000027</v>
      </c>
      <c r="E20">
        <v>14.55</v>
      </c>
    </row>
    <row r="21" spans="1:5" x14ac:dyDescent="0.25">
      <c r="A21" s="26" t="s">
        <v>1665</v>
      </c>
      <c r="B21">
        <v>5.410000000000001</v>
      </c>
      <c r="C21">
        <v>9.0400000000000009</v>
      </c>
      <c r="E21">
        <v>14.450000000000003</v>
      </c>
    </row>
    <row r="22" spans="1:5" x14ac:dyDescent="0.25">
      <c r="A22" s="26" t="s">
        <v>712</v>
      </c>
      <c r="B22">
        <v>8.7799999999999994</v>
      </c>
      <c r="C22">
        <v>5.5500000000000007</v>
      </c>
      <c r="E22">
        <v>14.33</v>
      </c>
    </row>
    <row r="23" spans="1:5" x14ac:dyDescent="0.25">
      <c r="A23" s="26" t="s">
        <v>667</v>
      </c>
      <c r="B23">
        <v>9.4599999999999937</v>
      </c>
      <c r="C23">
        <v>4.25</v>
      </c>
      <c r="E23">
        <v>13.709999999999994</v>
      </c>
    </row>
    <row r="24" spans="1:5" x14ac:dyDescent="0.25">
      <c r="A24" s="26" t="s">
        <v>730</v>
      </c>
      <c r="B24">
        <v>3.63</v>
      </c>
      <c r="C24">
        <v>10.069999999999999</v>
      </c>
      <c r="E24">
        <v>13.7</v>
      </c>
    </row>
    <row r="25" spans="1:5" x14ac:dyDescent="0.25">
      <c r="A25" s="26" t="s">
        <v>532</v>
      </c>
      <c r="B25">
        <v>8.7799999999999976</v>
      </c>
      <c r="C25">
        <v>4.660000000000001</v>
      </c>
      <c r="E25">
        <v>13.439999999999998</v>
      </c>
    </row>
    <row r="26" spans="1:5" x14ac:dyDescent="0.25">
      <c r="A26" s="26" t="s">
        <v>2087</v>
      </c>
      <c r="B26">
        <v>9</v>
      </c>
      <c r="C26">
        <v>4.2</v>
      </c>
      <c r="E26">
        <v>13.2</v>
      </c>
    </row>
    <row r="27" spans="1:5" x14ac:dyDescent="0.25">
      <c r="A27" s="26" t="s">
        <v>569</v>
      </c>
      <c r="B27">
        <v>7.8999999999999995</v>
      </c>
      <c r="C27">
        <v>4.9999999999999991</v>
      </c>
      <c r="E27">
        <v>12.899999999999999</v>
      </c>
    </row>
    <row r="28" spans="1:5" x14ac:dyDescent="0.25">
      <c r="A28" s="26" t="s">
        <v>603</v>
      </c>
      <c r="B28">
        <v>6.71</v>
      </c>
      <c r="C28">
        <v>6.0499999999999989</v>
      </c>
      <c r="E28">
        <v>12.759999999999998</v>
      </c>
    </row>
    <row r="29" spans="1:5" x14ac:dyDescent="0.25">
      <c r="A29" s="26" t="s">
        <v>700</v>
      </c>
      <c r="B29">
        <v>5.7899999999999991</v>
      </c>
      <c r="C29">
        <v>6.7299999999999995</v>
      </c>
      <c r="E29">
        <v>12.52</v>
      </c>
    </row>
    <row r="30" spans="1:5" x14ac:dyDescent="0.25">
      <c r="A30" s="26" t="s">
        <v>629</v>
      </c>
      <c r="B30">
        <v>9.6500000000000021</v>
      </c>
      <c r="C30">
        <v>2.72</v>
      </c>
      <c r="E30">
        <v>12.370000000000003</v>
      </c>
    </row>
    <row r="31" spans="1:5" x14ac:dyDescent="0.25">
      <c r="A31" s="26" t="s">
        <v>953</v>
      </c>
      <c r="B31">
        <v>8.14</v>
      </c>
      <c r="C31">
        <v>3.910000000000001</v>
      </c>
      <c r="E31">
        <v>12.05</v>
      </c>
    </row>
    <row r="32" spans="1:5" x14ac:dyDescent="0.25">
      <c r="A32" s="26" t="s">
        <v>528</v>
      </c>
      <c r="B32">
        <v>7.3000000000000007</v>
      </c>
      <c r="C32">
        <v>4.72</v>
      </c>
      <c r="E32">
        <v>12.02</v>
      </c>
    </row>
    <row r="33" spans="1:5" x14ac:dyDescent="0.25">
      <c r="A33" s="26" t="s">
        <v>726</v>
      </c>
      <c r="B33">
        <v>7.4</v>
      </c>
      <c r="C33">
        <v>4.42</v>
      </c>
      <c r="E33">
        <v>11.82</v>
      </c>
    </row>
    <row r="34" spans="1:5" x14ac:dyDescent="0.25">
      <c r="A34" s="26" t="s">
        <v>2384</v>
      </c>
      <c r="B34">
        <v>5.1800000000000015</v>
      </c>
      <c r="C34">
        <v>6.4799999999999986</v>
      </c>
      <c r="E34">
        <v>11.66</v>
      </c>
    </row>
    <row r="35" spans="1:5" x14ac:dyDescent="0.25">
      <c r="A35" s="26" t="s">
        <v>643</v>
      </c>
      <c r="B35">
        <v>7.120000000000001</v>
      </c>
      <c r="C35">
        <v>4.4400000000000004</v>
      </c>
      <c r="E35">
        <v>11.560000000000002</v>
      </c>
    </row>
    <row r="36" spans="1:5" x14ac:dyDescent="0.25">
      <c r="A36" s="26" t="s">
        <v>663</v>
      </c>
      <c r="B36">
        <v>5.169999999999999</v>
      </c>
      <c r="C36">
        <v>5.9999999999999982</v>
      </c>
      <c r="E36">
        <v>11.169999999999998</v>
      </c>
    </row>
    <row r="37" spans="1:5" x14ac:dyDescent="0.25">
      <c r="A37" s="26" t="s">
        <v>579</v>
      </c>
      <c r="B37">
        <v>4.3099999999999987</v>
      </c>
      <c r="C37">
        <v>5.95</v>
      </c>
      <c r="E37">
        <v>10.259999999999998</v>
      </c>
    </row>
    <row r="38" spans="1:5" x14ac:dyDescent="0.25">
      <c r="A38" s="26" t="s">
        <v>595</v>
      </c>
      <c r="B38">
        <v>8.06</v>
      </c>
      <c r="C38">
        <v>2.1</v>
      </c>
      <c r="E38">
        <v>10.16</v>
      </c>
    </row>
    <row r="39" spans="1:5" x14ac:dyDescent="0.25">
      <c r="A39" s="26" t="s">
        <v>706</v>
      </c>
      <c r="B39">
        <v>2.72</v>
      </c>
      <c r="C39">
        <v>7.3500000000000014</v>
      </c>
      <c r="E39">
        <v>10.070000000000002</v>
      </c>
    </row>
    <row r="40" spans="1:5" x14ac:dyDescent="0.25">
      <c r="A40" s="26" t="s">
        <v>732</v>
      </c>
      <c r="B40">
        <v>2.81</v>
      </c>
      <c r="C40">
        <v>7.2499999999999991</v>
      </c>
      <c r="E40">
        <v>10.059999999999999</v>
      </c>
    </row>
    <row r="41" spans="1:5" x14ac:dyDescent="0.25">
      <c r="A41" s="26" t="s">
        <v>571</v>
      </c>
      <c r="B41">
        <v>7.0500000000000007</v>
      </c>
      <c r="C41">
        <v>2.89</v>
      </c>
      <c r="E41">
        <v>9.9400000000000013</v>
      </c>
    </row>
    <row r="42" spans="1:5" x14ac:dyDescent="0.25">
      <c r="A42" s="26" t="s">
        <v>736</v>
      </c>
      <c r="B42">
        <v>2.8600000000000003</v>
      </c>
      <c r="C42">
        <v>7.0399999999999983</v>
      </c>
      <c r="E42">
        <v>9.8999999999999986</v>
      </c>
    </row>
    <row r="43" spans="1:5" x14ac:dyDescent="0.25">
      <c r="A43" s="26" t="s">
        <v>659</v>
      </c>
      <c r="B43">
        <v>6.15</v>
      </c>
      <c r="C43">
        <v>3.4200000000000004</v>
      </c>
      <c r="E43">
        <v>9.57</v>
      </c>
    </row>
    <row r="44" spans="1:5" x14ac:dyDescent="0.25">
      <c r="A44" s="26" t="s">
        <v>492</v>
      </c>
      <c r="B44">
        <v>3.2600000000000002</v>
      </c>
      <c r="C44">
        <v>6.1000000000000005</v>
      </c>
      <c r="E44">
        <v>9.3600000000000012</v>
      </c>
    </row>
    <row r="45" spans="1:5" x14ac:dyDescent="0.25">
      <c r="A45" s="26" t="s">
        <v>686</v>
      </c>
      <c r="B45">
        <v>2.2199999999999998</v>
      </c>
      <c r="C45">
        <v>7.0699999999999994</v>
      </c>
      <c r="E45">
        <v>9.2899999999999991</v>
      </c>
    </row>
    <row r="46" spans="1:5" x14ac:dyDescent="0.25">
      <c r="A46" s="26" t="s">
        <v>2408</v>
      </c>
      <c r="B46">
        <v>7.0100000000000007</v>
      </c>
      <c r="C46">
        <v>2.0999999999999996</v>
      </c>
      <c r="E46">
        <v>9.11</v>
      </c>
    </row>
    <row r="47" spans="1:5" x14ac:dyDescent="0.25">
      <c r="A47" s="26" t="s">
        <v>534</v>
      </c>
      <c r="B47">
        <v>3.3200000000000003</v>
      </c>
      <c r="C47">
        <v>5.2299999999999995</v>
      </c>
      <c r="E47">
        <v>8.5500000000000007</v>
      </c>
    </row>
    <row r="48" spans="1:5" x14ac:dyDescent="0.25">
      <c r="A48" s="26" t="s">
        <v>498</v>
      </c>
      <c r="B48">
        <v>7.0900000000000016</v>
      </c>
      <c r="C48">
        <v>1.4500000000000002</v>
      </c>
      <c r="E48">
        <v>8.5400000000000027</v>
      </c>
    </row>
    <row r="49" spans="1:5" x14ac:dyDescent="0.25">
      <c r="A49" s="26" t="s">
        <v>696</v>
      </c>
      <c r="B49">
        <v>4.629999999999999</v>
      </c>
      <c r="C49">
        <v>3.71</v>
      </c>
      <c r="E49">
        <v>8.34</v>
      </c>
    </row>
    <row r="50" spans="1:5" x14ac:dyDescent="0.25">
      <c r="A50" s="26" t="s">
        <v>468</v>
      </c>
      <c r="B50">
        <v>6.839999999999999</v>
      </c>
      <c r="C50">
        <v>1.4000000000000001</v>
      </c>
      <c r="E50">
        <v>8.2399999999999984</v>
      </c>
    </row>
    <row r="51" spans="1:5" x14ac:dyDescent="0.25">
      <c r="A51" s="26" t="s">
        <v>2382</v>
      </c>
      <c r="B51">
        <v>4.700000000000002</v>
      </c>
      <c r="C51">
        <v>3.52</v>
      </c>
      <c r="E51">
        <v>8.2200000000000024</v>
      </c>
    </row>
    <row r="52" spans="1:5" x14ac:dyDescent="0.25">
      <c r="A52" s="26" t="s">
        <v>530</v>
      </c>
      <c r="B52">
        <v>6.7299999999999986</v>
      </c>
      <c r="C52">
        <v>1.34</v>
      </c>
      <c r="E52">
        <v>8.0699999999999985</v>
      </c>
    </row>
    <row r="53" spans="1:5" x14ac:dyDescent="0.25">
      <c r="A53" s="26" t="s">
        <v>617</v>
      </c>
      <c r="B53">
        <v>3.24</v>
      </c>
      <c r="C53">
        <v>4.7699999999999996</v>
      </c>
      <c r="E53">
        <v>8.01</v>
      </c>
    </row>
    <row r="54" spans="1:5" x14ac:dyDescent="0.25">
      <c r="A54" s="26" t="s">
        <v>635</v>
      </c>
      <c r="B54">
        <v>6.98</v>
      </c>
      <c r="C54">
        <v>1</v>
      </c>
      <c r="E54">
        <v>7.98</v>
      </c>
    </row>
    <row r="55" spans="1:5" x14ac:dyDescent="0.25">
      <c r="A55" s="26" t="s">
        <v>464</v>
      </c>
      <c r="B55">
        <v>2.46</v>
      </c>
      <c r="C55">
        <v>5.39</v>
      </c>
      <c r="E55">
        <v>7.85</v>
      </c>
    </row>
    <row r="56" spans="1:5" x14ac:dyDescent="0.25">
      <c r="A56" s="26" t="s">
        <v>526</v>
      </c>
      <c r="B56">
        <v>7.2499999999999982</v>
      </c>
      <c r="C56">
        <v>0.4</v>
      </c>
      <c r="E56">
        <v>7.6499999999999986</v>
      </c>
    </row>
    <row r="57" spans="1:5" x14ac:dyDescent="0.25">
      <c r="A57" s="26" t="s">
        <v>676</v>
      </c>
      <c r="B57">
        <v>7.16</v>
      </c>
      <c r="C57">
        <v>0.35</v>
      </c>
      <c r="E57">
        <v>7.51</v>
      </c>
    </row>
    <row r="58" spans="1:5" x14ac:dyDescent="0.25">
      <c r="A58" s="26" t="s">
        <v>2400</v>
      </c>
      <c r="B58">
        <v>1.05</v>
      </c>
      <c r="C58">
        <v>6.37</v>
      </c>
      <c r="E58">
        <v>7.42</v>
      </c>
    </row>
    <row r="59" spans="1:5" x14ac:dyDescent="0.25">
      <c r="A59" s="26" t="s">
        <v>728</v>
      </c>
      <c r="B59">
        <v>4.16</v>
      </c>
      <c r="C59">
        <v>3.1</v>
      </c>
      <c r="E59">
        <v>7.26</v>
      </c>
    </row>
    <row r="60" spans="1:5" x14ac:dyDescent="0.25">
      <c r="A60" s="26" t="s">
        <v>738</v>
      </c>
      <c r="B60">
        <v>2.2000000000000002</v>
      </c>
      <c r="C60">
        <v>5.01</v>
      </c>
      <c r="E60">
        <v>7.21</v>
      </c>
    </row>
    <row r="61" spans="1:5" x14ac:dyDescent="0.25">
      <c r="A61" s="26" t="s">
        <v>810</v>
      </c>
      <c r="B61">
        <v>1.6400000000000001</v>
      </c>
      <c r="C61">
        <v>5.47</v>
      </c>
      <c r="E61">
        <v>7.1099999999999994</v>
      </c>
    </row>
    <row r="62" spans="1:5" x14ac:dyDescent="0.25">
      <c r="A62" s="26" t="s">
        <v>559</v>
      </c>
      <c r="B62">
        <v>5.4600000000000009</v>
      </c>
      <c r="C62">
        <v>1.55</v>
      </c>
      <c r="E62">
        <v>7.0100000000000007</v>
      </c>
    </row>
    <row r="63" spans="1:5" x14ac:dyDescent="0.25">
      <c r="A63" s="26" t="s">
        <v>597</v>
      </c>
      <c r="B63">
        <v>6.1400000000000006</v>
      </c>
      <c r="C63">
        <v>0.75</v>
      </c>
      <c r="E63">
        <v>6.8900000000000006</v>
      </c>
    </row>
    <row r="64" spans="1:5" x14ac:dyDescent="0.25">
      <c r="A64" s="26" t="s">
        <v>522</v>
      </c>
      <c r="B64">
        <v>3.84</v>
      </c>
      <c r="C64">
        <v>2.95</v>
      </c>
      <c r="E64">
        <v>6.79</v>
      </c>
    </row>
    <row r="65" spans="1:5" x14ac:dyDescent="0.25">
      <c r="A65" s="26" t="s">
        <v>506</v>
      </c>
      <c r="B65">
        <v>4.37</v>
      </c>
      <c r="C65">
        <v>2.3000000000000003</v>
      </c>
      <c r="E65">
        <v>6.67</v>
      </c>
    </row>
    <row r="66" spans="1:5" x14ac:dyDescent="0.25">
      <c r="A66" s="26" t="s">
        <v>482</v>
      </c>
      <c r="B66">
        <v>5.839999999999999</v>
      </c>
      <c r="C66">
        <v>0.65</v>
      </c>
      <c r="E66">
        <v>6.4899999999999993</v>
      </c>
    </row>
    <row r="67" spans="1:5" x14ac:dyDescent="0.25">
      <c r="A67" s="26" t="s">
        <v>2377</v>
      </c>
      <c r="B67">
        <v>3.1499999999999995</v>
      </c>
      <c r="C67">
        <v>3.3</v>
      </c>
      <c r="E67">
        <v>6.4499999999999993</v>
      </c>
    </row>
    <row r="68" spans="1:5" x14ac:dyDescent="0.25">
      <c r="A68" s="26" t="s">
        <v>613</v>
      </c>
      <c r="B68">
        <v>2.0999999999999996</v>
      </c>
      <c r="C68">
        <v>4.25</v>
      </c>
      <c r="E68">
        <v>6.35</v>
      </c>
    </row>
    <row r="69" spans="1:5" x14ac:dyDescent="0.25">
      <c r="A69" s="26" t="s">
        <v>674</v>
      </c>
      <c r="B69">
        <v>2.5599999999999996</v>
      </c>
      <c r="C69">
        <v>3.6600000000000006</v>
      </c>
      <c r="E69">
        <v>6.2200000000000006</v>
      </c>
    </row>
    <row r="70" spans="1:5" x14ac:dyDescent="0.25">
      <c r="A70" s="26" t="s">
        <v>641</v>
      </c>
      <c r="B70">
        <v>3.5000000000000004</v>
      </c>
      <c r="C70">
        <v>2.68</v>
      </c>
      <c r="E70">
        <v>6.1800000000000006</v>
      </c>
    </row>
    <row r="71" spans="1:5" x14ac:dyDescent="0.25">
      <c r="A71" s="26" t="s">
        <v>611</v>
      </c>
      <c r="B71">
        <v>2.86</v>
      </c>
      <c r="C71">
        <v>3.2599999999999993</v>
      </c>
      <c r="E71">
        <v>6.1199999999999992</v>
      </c>
    </row>
    <row r="72" spans="1:5" x14ac:dyDescent="0.25">
      <c r="A72" s="26" t="s">
        <v>2409</v>
      </c>
      <c r="B72">
        <v>5.1700000000000008</v>
      </c>
      <c r="C72">
        <v>0.85000000000000009</v>
      </c>
      <c r="E72">
        <v>6.0200000000000014</v>
      </c>
    </row>
    <row r="73" spans="1:5" x14ac:dyDescent="0.25">
      <c r="A73" s="26" t="s">
        <v>542</v>
      </c>
      <c r="B73">
        <v>4.4000000000000004</v>
      </c>
      <c r="C73">
        <v>1.5499999999999998</v>
      </c>
      <c r="E73">
        <v>5.95</v>
      </c>
    </row>
    <row r="74" spans="1:5" x14ac:dyDescent="0.25">
      <c r="A74" s="26" t="s">
        <v>619</v>
      </c>
      <c r="B74">
        <v>4.4399999999999995</v>
      </c>
      <c r="C74">
        <v>1.44</v>
      </c>
      <c r="E74">
        <v>5.879999999999999</v>
      </c>
    </row>
    <row r="75" spans="1:5" x14ac:dyDescent="0.25">
      <c r="A75" s="26" t="s">
        <v>682</v>
      </c>
      <c r="B75">
        <v>1.39</v>
      </c>
      <c r="C75">
        <v>4.4700000000000006</v>
      </c>
      <c r="E75">
        <v>5.86</v>
      </c>
    </row>
    <row r="76" spans="1:5" x14ac:dyDescent="0.25">
      <c r="A76" s="26" t="s">
        <v>680</v>
      </c>
      <c r="B76">
        <v>1.73</v>
      </c>
      <c r="C76">
        <v>4.0999999999999996</v>
      </c>
      <c r="E76">
        <v>5.83</v>
      </c>
    </row>
    <row r="77" spans="1:5" x14ac:dyDescent="0.25">
      <c r="A77" s="26" t="s">
        <v>587</v>
      </c>
      <c r="B77">
        <v>5.2399999999999993</v>
      </c>
      <c r="C77">
        <v>0.53</v>
      </c>
      <c r="E77">
        <v>5.77</v>
      </c>
    </row>
    <row r="78" spans="1:5" x14ac:dyDescent="0.25">
      <c r="A78" s="26" t="s">
        <v>633</v>
      </c>
      <c r="B78">
        <v>3.9699999999999993</v>
      </c>
      <c r="C78">
        <v>1.61</v>
      </c>
      <c r="E78">
        <v>5.5799999999999992</v>
      </c>
    </row>
    <row r="79" spans="1:5" x14ac:dyDescent="0.25">
      <c r="A79" s="26" t="s">
        <v>502</v>
      </c>
      <c r="B79">
        <v>5.38</v>
      </c>
      <c r="C79">
        <v>0.1</v>
      </c>
      <c r="E79">
        <v>5.4799999999999995</v>
      </c>
    </row>
    <row r="80" spans="1:5" x14ac:dyDescent="0.25">
      <c r="A80" s="26" t="s">
        <v>609</v>
      </c>
      <c r="B80">
        <v>2.81</v>
      </c>
      <c r="C80">
        <v>2.63</v>
      </c>
      <c r="E80">
        <v>5.4399999999999995</v>
      </c>
    </row>
    <row r="81" spans="1:5" x14ac:dyDescent="0.25">
      <c r="A81" s="26" t="s">
        <v>2399</v>
      </c>
      <c r="B81">
        <v>5.4099999999999993</v>
      </c>
      <c r="E81">
        <v>5.4099999999999993</v>
      </c>
    </row>
    <row r="82" spans="1:5" x14ac:dyDescent="0.25">
      <c r="A82" s="26" t="s">
        <v>536</v>
      </c>
      <c r="B82">
        <v>5.4</v>
      </c>
      <c r="E82">
        <v>5.4</v>
      </c>
    </row>
    <row r="83" spans="1:5" x14ac:dyDescent="0.25">
      <c r="A83" s="26" t="s">
        <v>2410</v>
      </c>
      <c r="B83">
        <v>4.6000000000000014</v>
      </c>
      <c r="C83">
        <v>0.75</v>
      </c>
      <c r="E83">
        <v>5.3500000000000014</v>
      </c>
    </row>
    <row r="84" spans="1:5" x14ac:dyDescent="0.25">
      <c r="A84" s="26" t="s">
        <v>704</v>
      </c>
      <c r="B84">
        <v>1.5799999999999998</v>
      </c>
      <c r="C84">
        <v>3.7600000000000002</v>
      </c>
      <c r="E84">
        <v>5.34</v>
      </c>
    </row>
    <row r="85" spans="1:5" x14ac:dyDescent="0.25">
      <c r="A85" s="26" t="s">
        <v>2407</v>
      </c>
      <c r="B85">
        <v>4.3600000000000003</v>
      </c>
      <c r="C85">
        <v>0.89999999999999991</v>
      </c>
      <c r="E85">
        <v>5.26</v>
      </c>
    </row>
    <row r="86" spans="1:5" x14ac:dyDescent="0.25">
      <c r="A86" s="26" t="s">
        <v>678</v>
      </c>
      <c r="B86">
        <v>2.84</v>
      </c>
      <c r="C86">
        <v>2.33</v>
      </c>
      <c r="E86">
        <v>5.17</v>
      </c>
    </row>
    <row r="87" spans="1:5" x14ac:dyDescent="0.25">
      <c r="A87" s="26" t="s">
        <v>2421</v>
      </c>
      <c r="B87">
        <v>2.8</v>
      </c>
      <c r="C87">
        <v>2.2999999999999998</v>
      </c>
      <c r="E87">
        <v>5.0999999999999996</v>
      </c>
    </row>
    <row r="88" spans="1:5" x14ac:dyDescent="0.25">
      <c r="A88" s="26" t="s">
        <v>2411</v>
      </c>
      <c r="B88">
        <v>2.09</v>
      </c>
      <c r="C88">
        <v>2.9</v>
      </c>
      <c r="E88">
        <v>4.99</v>
      </c>
    </row>
    <row r="89" spans="1:5" x14ac:dyDescent="0.25">
      <c r="A89" s="26" t="s">
        <v>563</v>
      </c>
      <c r="B89">
        <v>1.7299999999999998</v>
      </c>
      <c r="C89">
        <v>3.2600000000000002</v>
      </c>
      <c r="E89">
        <v>4.99</v>
      </c>
    </row>
    <row r="90" spans="1:5" x14ac:dyDescent="0.25">
      <c r="A90" s="26" t="s">
        <v>2416</v>
      </c>
      <c r="B90">
        <v>2.56</v>
      </c>
      <c r="C90">
        <v>2.4000000000000004</v>
      </c>
      <c r="E90">
        <v>4.9600000000000009</v>
      </c>
    </row>
    <row r="91" spans="1:5" x14ac:dyDescent="0.25">
      <c r="A91" s="26" t="s">
        <v>653</v>
      </c>
      <c r="B91">
        <v>2.4000000000000004</v>
      </c>
      <c r="C91">
        <v>2.4500000000000002</v>
      </c>
      <c r="E91">
        <v>4.8500000000000005</v>
      </c>
    </row>
    <row r="92" spans="1:5" x14ac:dyDescent="0.25">
      <c r="A92" s="26" t="s">
        <v>472</v>
      </c>
      <c r="B92">
        <v>3.74</v>
      </c>
      <c r="C92">
        <v>1.0900000000000001</v>
      </c>
      <c r="E92">
        <v>4.83</v>
      </c>
    </row>
    <row r="93" spans="1:5" x14ac:dyDescent="0.25">
      <c r="A93" s="26" t="s">
        <v>500</v>
      </c>
      <c r="B93">
        <v>4.55</v>
      </c>
      <c r="C93">
        <v>0.2</v>
      </c>
      <c r="E93">
        <v>4.75</v>
      </c>
    </row>
    <row r="94" spans="1:5" x14ac:dyDescent="0.25">
      <c r="A94" s="26" t="s">
        <v>1364</v>
      </c>
      <c r="B94">
        <v>1.9800000000000002</v>
      </c>
      <c r="C94">
        <v>2.75</v>
      </c>
      <c r="E94">
        <v>4.7300000000000004</v>
      </c>
    </row>
    <row r="95" spans="1:5" x14ac:dyDescent="0.25">
      <c r="A95" s="26" t="s">
        <v>565</v>
      </c>
      <c r="B95">
        <v>2.4400000000000004</v>
      </c>
      <c r="C95">
        <v>2.2300000000000004</v>
      </c>
      <c r="E95">
        <v>4.6700000000000008</v>
      </c>
    </row>
    <row r="96" spans="1:5" x14ac:dyDescent="0.25">
      <c r="A96" s="26" t="s">
        <v>490</v>
      </c>
      <c r="B96">
        <v>4.3500000000000005</v>
      </c>
      <c r="C96">
        <v>0.30000000000000004</v>
      </c>
      <c r="E96">
        <v>4.6500000000000004</v>
      </c>
    </row>
    <row r="97" spans="1:5" x14ac:dyDescent="0.25">
      <c r="A97" s="26" t="s">
        <v>854</v>
      </c>
      <c r="B97">
        <v>1.73</v>
      </c>
      <c r="C97">
        <v>2.91</v>
      </c>
      <c r="E97">
        <v>4.6400000000000006</v>
      </c>
    </row>
    <row r="98" spans="1:5" x14ac:dyDescent="0.25">
      <c r="A98" s="26" t="s">
        <v>975</v>
      </c>
      <c r="B98">
        <v>4.5999999999999996</v>
      </c>
      <c r="E98">
        <v>4.5999999999999996</v>
      </c>
    </row>
    <row r="99" spans="1:5" x14ac:dyDescent="0.25">
      <c r="A99" s="26" t="s">
        <v>496</v>
      </c>
      <c r="B99">
        <v>2.9399999999999995</v>
      </c>
      <c r="C99">
        <v>1.63</v>
      </c>
      <c r="E99">
        <v>4.5699999999999994</v>
      </c>
    </row>
    <row r="100" spans="1:5" x14ac:dyDescent="0.25">
      <c r="A100" s="26" t="s">
        <v>877</v>
      </c>
      <c r="B100">
        <v>1.51</v>
      </c>
      <c r="C100">
        <v>2.9199999999999995</v>
      </c>
      <c r="E100">
        <v>4.43</v>
      </c>
    </row>
    <row r="101" spans="1:5" x14ac:dyDescent="0.25">
      <c r="A101" s="26" t="s">
        <v>514</v>
      </c>
      <c r="B101">
        <v>4.2700000000000005</v>
      </c>
      <c r="C101">
        <v>0.15</v>
      </c>
      <c r="E101">
        <v>4.4200000000000008</v>
      </c>
    </row>
    <row r="102" spans="1:5" x14ac:dyDescent="0.25">
      <c r="A102" s="26" t="s">
        <v>2383</v>
      </c>
      <c r="B102">
        <v>3.05</v>
      </c>
      <c r="C102">
        <v>1.35</v>
      </c>
      <c r="E102">
        <v>4.4000000000000004</v>
      </c>
    </row>
    <row r="103" spans="1:5" x14ac:dyDescent="0.25">
      <c r="A103" s="26" t="s">
        <v>694</v>
      </c>
      <c r="B103">
        <v>1.23</v>
      </c>
      <c r="C103">
        <v>3.15</v>
      </c>
      <c r="E103">
        <v>4.38</v>
      </c>
    </row>
    <row r="104" spans="1:5" x14ac:dyDescent="0.25">
      <c r="A104" s="26" t="s">
        <v>540</v>
      </c>
      <c r="B104">
        <v>4.21</v>
      </c>
      <c r="C104">
        <v>0.15</v>
      </c>
      <c r="E104">
        <v>4.3600000000000003</v>
      </c>
    </row>
    <row r="105" spans="1:5" x14ac:dyDescent="0.25">
      <c r="A105" s="26" t="s">
        <v>2413</v>
      </c>
      <c r="B105">
        <v>4.33</v>
      </c>
      <c r="E105">
        <v>4.33</v>
      </c>
    </row>
    <row r="106" spans="1:5" x14ac:dyDescent="0.25">
      <c r="A106" s="26" t="s">
        <v>548</v>
      </c>
      <c r="B106">
        <v>1.5999999999999999</v>
      </c>
      <c r="C106">
        <v>2.72</v>
      </c>
      <c r="E106">
        <v>4.32</v>
      </c>
    </row>
    <row r="107" spans="1:5" x14ac:dyDescent="0.25">
      <c r="A107" s="26" t="s">
        <v>669</v>
      </c>
      <c r="B107">
        <v>3.6899999999999995</v>
      </c>
      <c r="C107">
        <v>0.6100000000000001</v>
      </c>
      <c r="E107">
        <v>4.3</v>
      </c>
    </row>
    <row r="108" spans="1:5" x14ac:dyDescent="0.25">
      <c r="A108" s="26" t="s">
        <v>510</v>
      </c>
      <c r="B108">
        <v>3.71</v>
      </c>
      <c r="C108">
        <v>0.45</v>
      </c>
      <c r="E108">
        <v>4.16</v>
      </c>
    </row>
    <row r="109" spans="1:5" x14ac:dyDescent="0.25">
      <c r="A109" s="26" t="s">
        <v>639</v>
      </c>
      <c r="B109">
        <v>2.8300000000000005</v>
      </c>
      <c r="C109">
        <v>1.2999999999999998</v>
      </c>
      <c r="E109">
        <v>4.1300000000000008</v>
      </c>
    </row>
    <row r="110" spans="1:5" x14ac:dyDescent="0.25">
      <c r="A110" s="26" t="s">
        <v>524</v>
      </c>
      <c r="B110">
        <v>4.0600000000000005</v>
      </c>
      <c r="E110">
        <v>4.0600000000000005</v>
      </c>
    </row>
    <row r="111" spans="1:5" x14ac:dyDescent="0.25">
      <c r="A111" s="26" t="s">
        <v>880</v>
      </c>
      <c r="B111">
        <v>1.1400000000000001</v>
      </c>
      <c r="C111">
        <v>2.9199999999999995</v>
      </c>
      <c r="E111">
        <v>4.0599999999999996</v>
      </c>
    </row>
    <row r="112" spans="1:5" x14ac:dyDescent="0.25">
      <c r="A112" s="26" t="s">
        <v>651</v>
      </c>
      <c r="B112">
        <v>0.6</v>
      </c>
      <c r="C112">
        <v>3.3700000000000006</v>
      </c>
      <c r="E112">
        <v>3.9700000000000006</v>
      </c>
    </row>
    <row r="113" spans="1:5" x14ac:dyDescent="0.25">
      <c r="A113" s="26" t="s">
        <v>486</v>
      </c>
      <c r="B113">
        <v>3.8099999999999996</v>
      </c>
      <c r="C113">
        <v>0.15000000000000002</v>
      </c>
      <c r="E113">
        <v>3.9599999999999995</v>
      </c>
    </row>
    <row r="114" spans="1:5" x14ac:dyDescent="0.25">
      <c r="A114" s="26" t="s">
        <v>716</v>
      </c>
      <c r="B114">
        <v>1.2200000000000002</v>
      </c>
      <c r="C114">
        <v>2.71</v>
      </c>
      <c r="E114">
        <v>3.93</v>
      </c>
    </row>
    <row r="115" spans="1:5" x14ac:dyDescent="0.25">
      <c r="A115" s="26" t="s">
        <v>885</v>
      </c>
      <c r="B115">
        <v>1.1500000000000001</v>
      </c>
      <c r="C115">
        <v>2.77</v>
      </c>
      <c r="E115">
        <v>3.92</v>
      </c>
    </row>
    <row r="116" spans="1:5" x14ac:dyDescent="0.25">
      <c r="A116" s="26" t="s">
        <v>484</v>
      </c>
      <c r="B116">
        <v>3.91</v>
      </c>
      <c r="E116">
        <v>3.91</v>
      </c>
    </row>
    <row r="117" spans="1:5" x14ac:dyDescent="0.25">
      <c r="A117" s="26" t="s">
        <v>480</v>
      </c>
      <c r="B117">
        <v>3.850000000000001</v>
      </c>
      <c r="E117">
        <v>3.850000000000001</v>
      </c>
    </row>
    <row r="118" spans="1:5" x14ac:dyDescent="0.25">
      <c r="A118" s="26" t="s">
        <v>813</v>
      </c>
      <c r="B118">
        <v>0.92999999999999994</v>
      </c>
      <c r="C118">
        <v>2.8199999999999994</v>
      </c>
      <c r="E118">
        <v>3.7499999999999991</v>
      </c>
    </row>
    <row r="119" spans="1:5" x14ac:dyDescent="0.25">
      <c r="A119" s="26" t="s">
        <v>567</v>
      </c>
      <c r="B119">
        <v>2.31</v>
      </c>
      <c r="C119">
        <v>1.4000000000000001</v>
      </c>
      <c r="E119">
        <v>3.71</v>
      </c>
    </row>
    <row r="120" spans="1:5" x14ac:dyDescent="0.25">
      <c r="A120" s="26" t="s">
        <v>888</v>
      </c>
      <c r="B120">
        <v>0.95000000000000007</v>
      </c>
      <c r="C120">
        <v>2.7100000000000004</v>
      </c>
      <c r="E120">
        <v>3.6600000000000006</v>
      </c>
    </row>
    <row r="121" spans="1:5" x14ac:dyDescent="0.25">
      <c r="A121" s="26" t="s">
        <v>581</v>
      </c>
      <c r="B121">
        <v>3.58</v>
      </c>
      <c r="E121">
        <v>3.58</v>
      </c>
    </row>
    <row r="122" spans="1:5" x14ac:dyDescent="0.25">
      <c r="A122" s="26" t="s">
        <v>720</v>
      </c>
      <c r="B122">
        <v>0.81</v>
      </c>
      <c r="C122">
        <v>2.62</v>
      </c>
      <c r="E122">
        <v>3.43</v>
      </c>
    </row>
    <row r="123" spans="1:5" x14ac:dyDescent="0.25">
      <c r="A123" s="26" t="s">
        <v>555</v>
      </c>
      <c r="B123">
        <v>3.4200000000000004</v>
      </c>
      <c r="E123">
        <v>3.4200000000000004</v>
      </c>
    </row>
    <row r="124" spans="1:5" x14ac:dyDescent="0.25">
      <c r="A124" s="26" t="s">
        <v>819</v>
      </c>
      <c r="B124">
        <v>2.2999999999999998</v>
      </c>
      <c r="C124">
        <v>1.03</v>
      </c>
      <c r="E124">
        <v>3.33</v>
      </c>
    </row>
    <row r="125" spans="1:5" x14ac:dyDescent="0.25">
      <c r="A125" s="26" t="s">
        <v>2405</v>
      </c>
      <c r="B125">
        <v>1.02</v>
      </c>
      <c r="C125">
        <v>2.2999999999999998</v>
      </c>
      <c r="E125">
        <v>3.32</v>
      </c>
    </row>
    <row r="126" spans="1:5" x14ac:dyDescent="0.25">
      <c r="A126" s="26" t="s">
        <v>575</v>
      </c>
      <c r="B126">
        <v>1.0899999999999999</v>
      </c>
      <c r="C126">
        <v>2.1799999999999997</v>
      </c>
      <c r="E126">
        <v>3.2699999999999996</v>
      </c>
    </row>
    <row r="127" spans="1:5" x14ac:dyDescent="0.25">
      <c r="A127" s="26" t="s">
        <v>2301</v>
      </c>
      <c r="B127">
        <v>1.5999999999999999</v>
      </c>
      <c r="C127">
        <v>1.66</v>
      </c>
      <c r="E127">
        <v>3.26</v>
      </c>
    </row>
    <row r="128" spans="1:5" x14ac:dyDescent="0.25">
      <c r="A128" s="26" t="s">
        <v>544</v>
      </c>
      <c r="B128">
        <v>0.72</v>
      </c>
      <c r="C128">
        <v>2.5</v>
      </c>
      <c r="E128">
        <v>3.2199999999999998</v>
      </c>
    </row>
    <row r="129" spans="1:5" x14ac:dyDescent="0.25">
      <c r="A129" s="26" t="s">
        <v>546</v>
      </c>
      <c r="B129">
        <v>0.88</v>
      </c>
      <c r="C129">
        <v>2.3000000000000003</v>
      </c>
      <c r="E129">
        <v>3.18</v>
      </c>
    </row>
    <row r="130" spans="1:5" x14ac:dyDescent="0.25">
      <c r="A130" s="26" t="s">
        <v>585</v>
      </c>
      <c r="B130">
        <v>2.96</v>
      </c>
      <c r="C130">
        <v>0.2</v>
      </c>
      <c r="E130">
        <v>3.16</v>
      </c>
    </row>
    <row r="131" spans="1:5" x14ac:dyDescent="0.25">
      <c r="A131" s="26" t="s">
        <v>2415</v>
      </c>
      <c r="B131">
        <v>2.5100000000000002</v>
      </c>
      <c r="C131">
        <v>0.6</v>
      </c>
      <c r="E131">
        <v>3.1100000000000003</v>
      </c>
    </row>
    <row r="132" spans="1:5" x14ac:dyDescent="0.25">
      <c r="A132" s="26" t="s">
        <v>710</v>
      </c>
      <c r="B132">
        <v>0.88</v>
      </c>
      <c r="C132">
        <v>2.15</v>
      </c>
      <c r="E132">
        <v>3.03</v>
      </c>
    </row>
    <row r="133" spans="1:5" x14ac:dyDescent="0.25">
      <c r="A133" s="26" t="s">
        <v>504</v>
      </c>
      <c r="B133">
        <v>3</v>
      </c>
      <c r="E133">
        <v>3</v>
      </c>
    </row>
    <row r="134" spans="1:5" x14ac:dyDescent="0.25">
      <c r="A134" s="26" t="s">
        <v>987</v>
      </c>
      <c r="B134">
        <v>2.8400000000000003</v>
      </c>
      <c r="E134">
        <v>2.8400000000000003</v>
      </c>
    </row>
    <row r="135" spans="1:5" x14ac:dyDescent="0.25">
      <c r="A135" s="26" t="s">
        <v>474</v>
      </c>
      <c r="B135">
        <v>0.76</v>
      </c>
      <c r="C135">
        <v>2.04</v>
      </c>
      <c r="E135">
        <v>2.8</v>
      </c>
    </row>
    <row r="136" spans="1:5" x14ac:dyDescent="0.25">
      <c r="A136" s="26" t="s">
        <v>2414</v>
      </c>
      <c r="B136">
        <v>2.31</v>
      </c>
      <c r="C136">
        <v>0.4</v>
      </c>
      <c r="E136">
        <v>2.71</v>
      </c>
    </row>
    <row r="137" spans="1:5" x14ac:dyDescent="0.25">
      <c r="A137" s="26" t="s">
        <v>2406</v>
      </c>
      <c r="B137">
        <v>0.7</v>
      </c>
      <c r="C137">
        <v>2</v>
      </c>
      <c r="E137">
        <v>2.7</v>
      </c>
    </row>
    <row r="138" spans="1:5" x14ac:dyDescent="0.25">
      <c r="A138" s="26" t="s">
        <v>822</v>
      </c>
      <c r="B138">
        <v>1.2500000000000002</v>
      </c>
      <c r="C138">
        <v>1.35</v>
      </c>
      <c r="E138">
        <v>2.6000000000000005</v>
      </c>
    </row>
    <row r="139" spans="1:5" x14ac:dyDescent="0.25">
      <c r="A139" s="26" t="s">
        <v>466</v>
      </c>
      <c r="B139">
        <v>2.2900000000000005</v>
      </c>
      <c r="C139">
        <v>0.25</v>
      </c>
      <c r="E139">
        <v>2.5400000000000005</v>
      </c>
    </row>
    <row r="140" spans="1:5" x14ac:dyDescent="0.25">
      <c r="A140" s="26" t="s">
        <v>538</v>
      </c>
      <c r="B140">
        <v>2.5099999999999998</v>
      </c>
      <c r="E140">
        <v>2.5099999999999998</v>
      </c>
    </row>
    <row r="141" spans="1:5" x14ac:dyDescent="0.25">
      <c r="A141" s="26" t="s">
        <v>2418</v>
      </c>
      <c r="B141">
        <v>1.19</v>
      </c>
      <c r="C141">
        <v>1.2999999999999998</v>
      </c>
      <c r="E141">
        <v>2.4899999999999998</v>
      </c>
    </row>
    <row r="142" spans="1:5" x14ac:dyDescent="0.25">
      <c r="A142" s="26" t="s">
        <v>520</v>
      </c>
      <c r="B142">
        <v>0.3</v>
      </c>
      <c r="C142">
        <v>2.19</v>
      </c>
      <c r="E142">
        <v>2.4899999999999998</v>
      </c>
    </row>
    <row r="143" spans="1:5" x14ac:dyDescent="0.25">
      <c r="A143" s="26" t="s">
        <v>516</v>
      </c>
      <c r="B143">
        <v>0.55000000000000004</v>
      </c>
      <c r="C143">
        <v>1.8299999999999998</v>
      </c>
      <c r="E143">
        <v>2.38</v>
      </c>
    </row>
    <row r="144" spans="1:5" x14ac:dyDescent="0.25">
      <c r="A144" s="26" t="s">
        <v>2396</v>
      </c>
      <c r="B144">
        <v>0.63000000000000012</v>
      </c>
      <c r="C144">
        <v>1.66</v>
      </c>
      <c r="E144">
        <v>2.29</v>
      </c>
    </row>
    <row r="145" spans="1:5" x14ac:dyDescent="0.25">
      <c r="A145" s="26" t="s">
        <v>591</v>
      </c>
      <c r="B145">
        <v>2.2700000000000005</v>
      </c>
      <c r="E145">
        <v>2.2700000000000005</v>
      </c>
    </row>
    <row r="146" spans="1:5" x14ac:dyDescent="0.25">
      <c r="A146" s="26" t="s">
        <v>835</v>
      </c>
      <c r="B146">
        <v>0.48000000000000004</v>
      </c>
      <c r="C146">
        <v>1.7000000000000002</v>
      </c>
      <c r="E146">
        <v>2.1800000000000002</v>
      </c>
    </row>
    <row r="147" spans="1:5" x14ac:dyDescent="0.25">
      <c r="A147" s="26" t="s">
        <v>684</v>
      </c>
      <c r="B147">
        <v>0.3</v>
      </c>
      <c r="C147">
        <v>1.6300000000000001</v>
      </c>
      <c r="E147">
        <v>1.9300000000000002</v>
      </c>
    </row>
    <row r="148" spans="1:5" x14ac:dyDescent="0.25">
      <c r="A148" s="26" t="s">
        <v>997</v>
      </c>
      <c r="B148">
        <v>1.93</v>
      </c>
      <c r="E148">
        <v>1.93</v>
      </c>
    </row>
    <row r="149" spans="1:5" x14ac:dyDescent="0.25">
      <c r="A149" s="26" t="s">
        <v>577</v>
      </c>
      <c r="B149">
        <v>0.46000000000000008</v>
      </c>
      <c r="C149">
        <v>1.4400000000000002</v>
      </c>
      <c r="E149">
        <v>1.9000000000000004</v>
      </c>
    </row>
    <row r="150" spans="1:5" x14ac:dyDescent="0.25">
      <c r="A150" s="26" t="s">
        <v>2440</v>
      </c>
      <c r="C150">
        <v>1.83</v>
      </c>
      <c r="E150">
        <v>1.83</v>
      </c>
    </row>
    <row r="151" spans="1:5" x14ac:dyDescent="0.25">
      <c r="A151" s="26" t="s">
        <v>601</v>
      </c>
      <c r="B151">
        <v>1.71</v>
      </c>
      <c r="E151">
        <v>1.71</v>
      </c>
    </row>
    <row r="152" spans="1:5" x14ac:dyDescent="0.25">
      <c r="A152" s="26" t="s">
        <v>557</v>
      </c>
      <c r="B152">
        <v>1.4199999999999997</v>
      </c>
      <c r="C152">
        <v>0.19</v>
      </c>
      <c r="E152">
        <v>1.6099999999999997</v>
      </c>
    </row>
    <row r="153" spans="1:5" x14ac:dyDescent="0.25">
      <c r="A153" s="26" t="s">
        <v>708</v>
      </c>
      <c r="B153">
        <v>0.35</v>
      </c>
      <c r="C153">
        <v>1.1800000000000002</v>
      </c>
      <c r="E153">
        <v>1.5300000000000002</v>
      </c>
    </row>
    <row r="154" spans="1:5" x14ac:dyDescent="0.25">
      <c r="A154" s="26" t="s">
        <v>573</v>
      </c>
      <c r="B154">
        <v>0.28000000000000003</v>
      </c>
      <c r="C154">
        <v>1.23</v>
      </c>
      <c r="E154">
        <v>1.51</v>
      </c>
    </row>
    <row r="155" spans="1:5" x14ac:dyDescent="0.25">
      <c r="A155" s="26" t="s">
        <v>2436</v>
      </c>
      <c r="C155">
        <v>1.5</v>
      </c>
      <c r="E155">
        <v>1.5</v>
      </c>
    </row>
    <row r="156" spans="1:5" x14ac:dyDescent="0.25">
      <c r="A156" s="26" t="s">
        <v>599</v>
      </c>
      <c r="B156">
        <v>1.46</v>
      </c>
      <c r="E156">
        <v>1.46</v>
      </c>
    </row>
    <row r="157" spans="1:5" x14ac:dyDescent="0.25">
      <c r="A157" s="26" t="s">
        <v>2420</v>
      </c>
      <c r="B157">
        <v>0.88</v>
      </c>
      <c r="C157">
        <v>0.56000000000000005</v>
      </c>
      <c r="E157">
        <v>1.44</v>
      </c>
    </row>
    <row r="158" spans="1:5" x14ac:dyDescent="0.25">
      <c r="A158" s="26" t="s">
        <v>2381</v>
      </c>
      <c r="B158">
        <v>0.32999999999999996</v>
      </c>
      <c r="C158">
        <v>1.07</v>
      </c>
      <c r="E158">
        <v>1.4</v>
      </c>
    </row>
    <row r="159" spans="1:5" x14ac:dyDescent="0.25">
      <c r="A159" s="26" t="s">
        <v>816</v>
      </c>
      <c r="C159">
        <v>1.25</v>
      </c>
      <c r="E159">
        <v>1.25</v>
      </c>
    </row>
    <row r="160" spans="1:5" x14ac:dyDescent="0.25">
      <c r="A160" s="26" t="s">
        <v>891</v>
      </c>
      <c r="C160">
        <v>1.1499999999999999</v>
      </c>
      <c r="E160">
        <v>1.1499999999999999</v>
      </c>
    </row>
    <row r="161" spans="1:5" x14ac:dyDescent="0.25">
      <c r="A161" s="26" t="s">
        <v>762</v>
      </c>
      <c r="B161">
        <v>0.73000000000000009</v>
      </c>
      <c r="C161">
        <v>0.38</v>
      </c>
      <c r="E161">
        <v>1.1100000000000001</v>
      </c>
    </row>
    <row r="162" spans="1:5" x14ac:dyDescent="0.25">
      <c r="A162" s="26" t="s">
        <v>2439</v>
      </c>
      <c r="C162">
        <v>1.1000000000000001</v>
      </c>
      <c r="E162">
        <v>1.1000000000000001</v>
      </c>
    </row>
    <row r="163" spans="1:5" x14ac:dyDescent="0.25">
      <c r="A163" s="26" t="s">
        <v>2432</v>
      </c>
      <c r="C163">
        <v>1.0999999999999999</v>
      </c>
      <c r="E163">
        <v>1.0999999999999999</v>
      </c>
    </row>
    <row r="164" spans="1:5" x14ac:dyDescent="0.25">
      <c r="A164" s="26" t="s">
        <v>2402</v>
      </c>
      <c r="B164">
        <v>0.25</v>
      </c>
      <c r="C164">
        <v>0.8</v>
      </c>
      <c r="E164">
        <v>1.05</v>
      </c>
    </row>
    <row r="165" spans="1:5" x14ac:dyDescent="0.25">
      <c r="A165" s="26" t="s">
        <v>2422</v>
      </c>
      <c r="B165">
        <v>1</v>
      </c>
      <c r="E165">
        <v>1</v>
      </c>
    </row>
    <row r="166" spans="1:5" x14ac:dyDescent="0.25">
      <c r="A166" s="26" t="s">
        <v>655</v>
      </c>
      <c r="B166">
        <v>1</v>
      </c>
      <c r="E166">
        <v>1</v>
      </c>
    </row>
    <row r="167" spans="1:5" x14ac:dyDescent="0.25">
      <c r="A167" s="26" t="s">
        <v>2427</v>
      </c>
      <c r="C167">
        <v>1</v>
      </c>
      <c r="E167">
        <v>1</v>
      </c>
    </row>
    <row r="168" spans="1:5" x14ac:dyDescent="0.25">
      <c r="A168" s="26" t="s">
        <v>2438</v>
      </c>
      <c r="C168">
        <v>0.98</v>
      </c>
      <c r="E168">
        <v>0.98</v>
      </c>
    </row>
    <row r="169" spans="1:5" x14ac:dyDescent="0.25">
      <c r="A169" s="26" t="s">
        <v>2391</v>
      </c>
      <c r="B169">
        <v>0.94000000000000006</v>
      </c>
      <c r="E169">
        <v>0.94000000000000006</v>
      </c>
    </row>
    <row r="170" spans="1:5" x14ac:dyDescent="0.25">
      <c r="A170" s="26" t="s">
        <v>2388</v>
      </c>
      <c r="B170">
        <v>0.79</v>
      </c>
      <c r="C170">
        <v>0.15</v>
      </c>
      <c r="E170">
        <v>0.94000000000000006</v>
      </c>
    </row>
    <row r="171" spans="1:5" x14ac:dyDescent="0.25">
      <c r="A171" s="26" t="s">
        <v>2386</v>
      </c>
      <c r="B171">
        <v>0.5</v>
      </c>
      <c r="C171">
        <v>0.35</v>
      </c>
      <c r="E171">
        <v>0.85</v>
      </c>
    </row>
    <row r="172" spans="1:5" x14ac:dyDescent="0.25">
      <c r="A172" s="26" t="s">
        <v>615</v>
      </c>
      <c r="B172">
        <v>0.8</v>
      </c>
      <c r="E172">
        <v>0.8</v>
      </c>
    </row>
    <row r="173" spans="1:5" x14ac:dyDescent="0.25">
      <c r="A173" s="26" t="s">
        <v>661</v>
      </c>
      <c r="B173">
        <v>0.8</v>
      </c>
      <c r="E173">
        <v>0.8</v>
      </c>
    </row>
    <row r="174" spans="1:5" x14ac:dyDescent="0.25">
      <c r="A174" s="26" t="s">
        <v>2423</v>
      </c>
      <c r="C174">
        <v>0.78</v>
      </c>
      <c r="E174">
        <v>0.78</v>
      </c>
    </row>
    <row r="175" spans="1:5" x14ac:dyDescent="0.25">
      <c r="A175" s="26" t="s">
        <v>2417</v>
      </c>
      <c r="B175">
        <v>0.77</v>
      </c>
      <c r="E175">
        <v>0.77</v>
      </c>
    </row>
    <row r="176" spans="1:5" x14ac:dyDescent="0.25">
      <c r="A176" s="26" t="s">
        <v>2392</v>
      </c>
      <c r="B176">
        <v>0.76</v>
      </c>
      <c r="E176">
        <v>0.76</v>
      </c>
    </row>
    <row r="177" spans="1:5" x14ac:dyDescent="0.25">
      <c r="A177" s="26" t="s">
        <v>2401</v>
      </c>
      <c r="B177">
        <v>0.18</v>
      </c>
      <c r="C177">
        <v>0.54</v>
      </c>
      <c r="E177">
        <v>0.72</v>
      </c>
    </row>
    <row r="178" spans="1:5" x14ac:dyDescent="0.25">
      <c r="A178" s="26" t="s">
        <v>2404</v>
      </c>
      <c r="B178">
        <v>0.31</v>
      </c>
      <c r="C178">
        <v>0.4</v>
      </c>
      <c r="E178">
        <v>0.71</v>
      </c>
    </row>
    <row r="179" spans="1:5" x14ac:dyDescent="0.25">
      <c r="A179" s="26" t="s">
        <v>785</v>
      </c>
      <c r="B179">
        <v>0.68</v>
      </c>
      <c r="E179">
        <v>0.68</v>
      </c>
    </row>
    <row r="180" spans="1:5" x14ac:dyDescent="0.25">
      <c r="A180" s="26" t="s">
        <v>2435</v>
      </c>
      <c r="C180">
        <v>0.65000000000000013</v>
      </c>
      <c r="E180">
        <v>0.65000000000000013</v>
      </c>
    </row>
    <row r="181" spans="1:5" x14ac:dyDescent="0.25">
      <c r="A181" s="26" t="s">
        <v>2390</v>
      </c>
      <c r="B181">
        <v>0.65</v>
      </c>
      <c r="E181">
        <v>0.65</v>
      </c>
    </row>
    <row r="182" spans="1:5" x14ac:dyDescent="0.25">
      <c r="A182" s="26" t="s">
        <v>824</v>
      </c>
      <c r="B182">
        <v>0.43</v>
      </c>
      <c r="C182">
        <v>0.2</v>
      </c>
      <c r="E182">
        <v>0.63</v>
      </c>
    </row>
    <row r="183" spans="1:5" x14ac:dyDescent="0.25">
      <c r="A183" s="26" t="s">
        <v>2398</v>
      </c>
      <c r="B183">
        <v>0.6</v>
      </c>
      <c r="E183">
        <v>0.6</v>
      </c>
    </row>
    <row r="184" spans="1:5" x14ac:dyDescent="0.25">
      <c r="A184" s="26" t="s">
        <v>832</v>
      </c>
      <c r="B184">
        <v>0.6</v>
      </c>
      <c r="E184">
        <v>0.6</v>
      </c>
    </row>
    <row r="185" spans="1:5" x14ac:dyDescent="0.25">
      <c r="A185" s="26" t="s">
        <v>2394</v>
      </c>
      <c r="B185">
        <v>0.02</v>
      </c>
      <c r="C185">
        <v>0.55000000000000004</v>
      </c>
      <c r="E185">
        <v>0.57000000000000006</v>
      </c>
    </row>
    <row r="186" spans="1:5" x14ac:dyDescent="0.25">
      <c r="A186" s="26" t="s">
        <v>2424</v>
      </c>
      <c r="C186">
        <v>0.56999999999999995</v>
      </c>
      <c r="E186">
        <v>0.56999999999999995</v>
      </c>
    </row>
    <row r="187" spans="1:5" x14ac:dyDescent="0.25">
      <c r="A187" s="26" t="s">
        <v>2376</v>
      </c>
      <c r="B187">
        <v>0.55000000000000004</v>
      </c>
      <c r="E187">
        <v>0.55000000000000004</v>
      </c>
    </row>
    <row r="188" spans="1:5" x14ac:dyDescent="0.25">
      <c r="A188" s="26" t="s">
        <v>5</v>
      </c>
      <c r="B188">
        <v>0.55000000000000004</v>
      </c>
      <c r="E188">
        <v>0.55000000000000004</v>
      </c>
    </row>
    <row r="189" spans="1:5" x14ac:dyDescent="0.25">
      <c r="A189" s="26" t="s">
        <v>2426</v>
      </c>
      <c r="C189">
        <v>0.55000000000000004</v>
      </c>
      <c r="E189">
        <v>0.55000000000000004</v>
      </c>
    </row>
    <row r="190" spans="1:5" x14ac:dyDescent="0.25">
      <c r="A190" s="26" t="s">
        <v>2395</v>
      </c>
      <c r="B190">
        <v>0.55000000000000004</v>
      </c>
      <c r="E190">
        <v>0.55000000000000004</v>
      </c>
    </row>
    <row r="191" spans="1:5" x14ac:dyDescent="0.25">
      <c r="A191" s="26" t="s">
        <v>2428</v>
      </c>
      <c r="C191">
        <v>0.55000000000000004</v>
      </c>
      <c r="E191">
        <v>0.55000000000000004</v>
      </c>
    </row>
    <row r="192" spans="1:5" x14ac:dyDescent="0.25">
      <c r="A192" s="26" t="s">
        <v>830</v>
      </c>
      <c r="B192">
        <v>0.5</v>
      </c>
      <c r="E192">
        <v>0.5</v>
      </c>
    </row>
    <row r="193" spans="1:5" x14ac:dyDescent="0.25">
      <c r="A193" s="26" t="s">
        <v>2380</v>
      </c>
      <c r="C193">
        <v>0.5</v>
      </c>
      <c r="E193">
        <v>0.5</v>
      </c>
    </row>
    <row r="194" spans="1:5" x14ac:dyDescent="0.25">
      <c r="A194" s="26" t="s">
        <v>767</v>
      </c>
      <c r="B194">
        <v>0.4</v>
      </c>
      <c r="E194">
        <v>0.4</v>
      </c>
    </row>
    <row r="195" spans="1:5" x14ac:dyDescent="0.25">
      <c r="A195" s="26" t="s">
        <v>777</v>
      </c>
      <c r="B195">
        <v>0.4</v>
      </c>
      <c r="E195">
        <v>0.4</v>
      </c>
    </row>
    <row r="196" spans="1:5" x14ac:dyDescent="0.25">
      <c r="A196" s="26" t="s">
        <v>672</v>
      </c>
      <c r="B196">
        <v>0.37</v>
      </c>
      <c r="E196">
        <v>0.37</v>
      </c>
    </row>
    <row r="197" spans="1:5" x14ac:dyDescent="0.25">
      <c r="A197" s="26" t="s">
        <v>780</v>
      </c>
      <c r="B197">
        <v>0.35</v>
      </c>
      <c r="E197">
        <v>0.35</v>
      </c>
    </row>
    <row r="198" spans="1:5" x14ac:dyDescent="0.25">
      <c r="A198" s="26" t="s">
        <v>2433</v>
      </c>
      <c r="C198">
        <v>0.3</v>
      </c>
      <c r="E198">
        <v>0.3</v>
      </c>
    </row>
    <row r="199" spans="1:5" x14ac:dyDescent="0.25">
      <c r="A199" s="26" t="s">
        <v>2442</v>
      </c>
      <c r="C199">
        <v>0.28000000000000003</v>
      </c>
      <c r="E199">
        <v>0.28000000000000003</v>
      </c>
    </row>
    <row r="200" spans="1:5" x14ac:dyDescent="0.25">
      <c r="A200" s="26" t="s">
        <v>621</v>
      </c>
      <c r="B200">
        <v>0.26</v>
      </c>
      <c r="E200">
        <v>0.26</v>
      </c>
    </row>
    <row r="201" spans="1:5" x14ac:dyDescent="0.25">
      <c r="A201" s="26" t="s">
        <v>2387</v>
      </c>
      <c r="B201">
        <v>0.26</v>
      </c>
      <c r="E201">
        <v>0.26</v>
      </c>
    </row>
    <row r="202" spans="1:5" x14ac:dyDescent="0.25">
      <c r="A202" s="26" t="s">
        <v>764</v>
      </c>
      <c r="B202">
        <v>0.25</v>
      </c>
      <c r="E202">
        <v>0.25</v>
      </c>
    </row>
    <row r="203" spans="1:5" x14ac:dyDescent="0.25">
      <c r="A203" s="26" t="s">
        <v>2425</v>
      </c>
      <c r="C203">
        <v>0.25</v>
      </c>
      <c r="E203">
        <v>0.25</v>
      </c>
    </row>
    <row r="204" spans="1:5" x14ac:dyDescent="0.25">
      <c r="A204" s="26" t="s">
        <v>2403</v>
      </c>
      <c r="B204">
        <v>0.04</v>
      </c>
      <c r="C204">
        <v>0.2</v>
      </c>
      <c r="E204">
        <v>0.24000000000000002</v>
      </c>
    </row>
    <row r="205" spans="1:5" x14ac:dyDescent="0.25">
      <c r="A205" s="26" t="s">
        <v>2419</v>
      </c>
      <c r="B205">
        <v>0.24</v>
      </c>
      <c r="E205">
        <v>0.24</v>
      </c>
    </row>
    <row r="206" spans="1:5" x14ac:dyDescent="0.25">
      <c r="A206" s="26" t="s">
        <v>2431</v>
      </c>
      <c r="C206">
        <v>0.2</v>
      </c>
      <c r="E206">
        <v>0.2</v>
      </c>
    </row>
    <row r="207" spans="1:5" x14ac:dyDescent="0.25">
      <c r="A207" s="26" t="s">
        <v>2393</v>
      </c>
      <c r="B207">
        <v>0.2</v>
      </c>
      <c r="E207">
        <v>0.2</v>
      </c>
    </row>
    <row r="208" spans="1:5" x14ac:dyDescent="0.25">
      <c r="A208" s="26" t="s">
        <v>2437</v>
      </c>
      <c r="C208">
        <v>0.2</v>
      </c>
      <c r="E208">
        <v>0.2</v>
      </c>
    </row>
    <row r="209" spans="1:5" x14ac:dyDescent="0.25">
      <c r="A209" s="26" t="s">
        <v>882</v>
      </c>
      <c r="B209">
        <v>0.18</v>
      </c>
      <c r="E209">
        <v>0.18</v>
      </c>
    </row>
    <row r="210" spans="1:5" x14ac:dyDescent="0.25">
      <c r="A210" s="26" t="s">
        <v>2375</v>
      </c>
      <c r="B210">
        <v>0.16</v>
      </c>
      <c r="E210">
        <v>0.16</v>
      </c>
    </row>
    <row r="211" spans="1:5" x14ac:dyDescent="0.25">
      <c r="A211" s="26" t="s">
        <v>478</v>
      </c>
      <c r="C211">
        <v>0.15</v>
      </c>
      <c r="E211">
        <v>0.15</v>
      </c>
    </row>
    <row r="212" spans="1:5" x14ac:dyDescent="0.25">
      <c r="A212" s="26" t="s">
        <v>2389</v>
      </c>
      <c r="B212">
        <v>0.15</v>
      </c>
      <c r="E212">
        <v>0.15</v>
      </c>
    </row>
    <row r="213" spans="1:5" x14ac:dyDescent="0.25">
      <c r="A213" s="26" t="s">
        <v>862</v>
      </c>
      <c r="B213">
        <v>0.15</v>
      </c>
      <c r="E213">
        <v>0.15</v>
      </c>
    </row>
    <row r="214" spans="1:5" x14ac:dyDescent="0.25">
      <c r="A214" s="26" t="s">
        <v>2429</v>
      </c>
      <c r="C214">
        <v>0.15</v>
      </c>
      <c r="E214">
        <v>0.15</v>
      </c>
    </row>
    <row r="215" spans="1:5" x14ac:dyDescent="0.25">
      <c r="A215" s="26" t="s">
        <v>2430</v>
      </c>
      <c r="C215">
        <v>0.15</v>
      </c>
      <c r="E215">
        <v>0.15</v>
      </c>
    </row>
    <row r="216" spans="1:5" x14ac:dyDescent="0.25">
      <c r="A216" s="26" t="s">
        <v>2441</v>
      </c>
      <c r="C216">
        <v>0.15</v>
      </c>
      <c r="E216">
        <v>0.15</v>
      </c>
    </row>
    <row r="217" spans="1:5" x14ac:dyDescent="0.25">
      <c r="A217" s="26" t="s">
        <v>797</v>
      </c>
      <c r="B217">
        <v>0.14000000000000001</v>
      </c>
      <c r="E217">
        <v>0.14000000000000001</v>
      </c>
    </row>
    <row r="218" spans="1:5" x14ac:dyDescent="0.25">
      <c r="A218" s="26" t="s">
        <v>2434</v>
      </c>
      <c r="C218">
        <v>0.1</v>
      </c>
      <c r="E218">
        <v>0.1</v>
      </c>
    </row>
    <row r="219" spans="1:5" x14ac:dyDescent="0.25">
      <c r="A219" s="26" t="s">
        <v>838</v>
      </c>
      <c r="B219">
        <v>0.1</v>
      </c>
      <c r="E219">
        <v>0.1</v>
      </c>
    </row>
    <row r="220" spans="1:5" x14ac:dyDescent="0.25">
      <c r="A220" s="26" t="s">
        <v>782</v>
      </c>
      <c r="B220">
        <v>0.1</v>
      </c>
      <c r="E220">
        <v>0.1</v>
      </c>
    </row>
    <row r="221" spans="1:5" x14ac:dyDescent="0.25">
      <c r="A221" s="26" t="s">
        <v>794</v>
      </c>
      <c r="B221">
        <v>0.1</v>
      </c>
      <c r="E221">
        <v>0.1</v>
      </c>
    </row>
    <row r="222" spans="1:5" x14ac:dyDescent="0.25">
      <c r="A222" s="26" t="s">
        <v>2379</v>
      </c>
      <c r="C222">
        <v>0.1</v>
      </c>
      <c r="E222">
        <v>0.1</v>
      </c>
    </row>
    <row r="223" spans="1:5" x14ac:dyDescent="0.25">
      <c r="A223" s="26" t="s">
        <v>859</v>
      </c>
      <c r="B223">
        <v>7.0000000000000007E-2</v>
      </c>
      <c r="E223">
        <v>7.0000000000000007E-2</v>
      </c>
    </row>
    <row r="224" spans="1:5" x14ac:dyDescent="0.25">
      <c r="A224" s="26" t="s">
        <v>827</v>
      </c>
      <c r="B224">
        <v>7.0000000000000007E-2</v>
      </c>
      <c r="E224">
        <v>7.0000000000000007E-2</v>
      </c>
    </row>
    <row r="225" spans="1:5" x14ac:dyDescent="0.25">
      <c r="A225" s="26" t="s">
        <v>470</v>
      </c>
      <c r="B225">
        <v>0.06</v>
      </c>
      <c r="E225">
        <v>0.06</v>
      </c>
    </row>
    <row r="226" spans="1:5" x14ac:dyDescent="0.25">
      <c r="A226" s="26" t="s">
        <v>2397</v>
      </c>
      <c r="B226">
        <v>0.05</v>
      </c>
      <c r="E226">
        <v>0.05</v>
      </c>
    </row>
    <row r="227" spans="1:5" x14ac:dyDescent="0.25">
      <c r="A227" s="26" t="s">
        <v>2368</v>
      </c>
    </row>
    <row r="228" spans="1:5" x14ac:dyDescent="0.25">
      <c r="A228" s="26" t="s">
        <v>2369</v>
      </c>
      <c r="B228">
        <v>689.42000000000007</v>
      </c>
      <c r="C228">
        <v>501.00000000000011</v>
      </c>
      <c r="E228">
        <v>1190.4200000000008</v>
      </c>
    </row>
  </sheetData>
  <autoFilter ref="A4:E228" xr:uid="{D5D2EF7D-AAF6-453A-8537-62C4C98E2AC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D1D1-E03F-48F3-B0BC-78346A72A449}">
  <sheetPr>
    <tabColor rgb="FFC00000"/>
  </sheetPr>
  <dimension ref="A1:F324"/>
  <sheetViews>
    <sheetView topLeftCell="A299" workbookViewId="0">
      <selection activeCell="D328" sqref="D328"/>
    </sheetView>
  </sheetViews>
  <sheetFormatPr defaultRowHeight="15" x14ac:dyDescent="0.25"/>
  <cols>
    <col min="1" max="1" width="22.7109375" customWidth="1"/>
    <col min="2" max="2" width="27.140625" customWidth="1"/>
    <col min="3" max="3" width="37.42578125" customWidth="1"/>
    <col min="4" max="4" width="67.85546875" customWidth="1"/>
    <col min="5" max="5" width="80" customWidth="1"/>
  </cols>
  <sheetData>
    <row r="1" spans="1:6" x14ac:dyDescent="0.25">
      <c r="A1" t="s">
        <v>740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25">
      <c r="A2" s="19" t="s">
        <v>712</v>
      </c>
      <c r="B2" t="s">
        <v>961</v>
      </c>
      <c r="C2">
        <v>88</v>
      </c>
      <c r="D2" t="s">
        <v>1458</v>
      </c>
      <c r="E2" t="s">
        <v>901</v>
      </c>
      <c r="F2" t="s">
        <v>956</v>
      </c>
    </row>
    <row r="3" spans="1:6" x14ac:dyDescent="0.25">
      <c r="A3" s="19" t="s">
        <v>712</v>
      </c>
      <c r="B3" t="s">
        <v>941</v>
      </c>
      <c r="C3">
        <v>6</v>
      </c>
      <c r="D3" t="s">
        <v>1459</v>
      </c>
      <c r="E3" t="s">
        <v>968</v>
      </c>
      <c r="F3" t="s">
        <v>1460</v>
      </c>
    </row>
    <row r="4" spans="1:6" x14ac:dyDescent="0.25">
      <c r="A4" s="19" t="s">
        <v>712</v>
      </c>
      <c r="B4" t="s">
        <v>1042</v>
      </c>
      <c r="C4">
        <v>4</v>
      </c>
      <c r="D4" t="s">
        <v>1461</v>
      </c>
      <c r="E4" t="s">
        <v>921</v>
      </c>
      <c r="F4" t="s">
        <v>1462</v>
      </c>
    </row>
    <row r="5" spans="1:6" x14ac:dyDescent="0.25">
      <c r="A5" s="19" t="s">
        <v>712</v>
      </c>
      <c r="B5" t="s">
        <v>698</v>
      </c>
      <c r="C5">
        <v>2</v>
      </c>
      <c r="D5" t="s">
        <v>1463</v>
      </c>
      <c r="E5" t="s">
        <v>968</v>
      </c>
      <c r="F5" t="s">
        <v>1464</v>
      </c>
    </row>
    <row r="6" spans="1:6" x14ac:dyDescent="0.25">
      <c r="A6" s="19" t="s">
        <v>696</v>
      </c>
      <c r="B6" t="s">
        <v>961</v>
      </c>
      <c r="C6">
        <v>88</v>
      </c>
      <c r="D6" t="s">
        <v>1465</v>
      </c>
      <c r="E6" t="s">
        <v>901</v>
      </c>
      <c r="F6" t="s">
        <v>956</v>
      </c>
    </row>
    <row r="7" spans="1:6" x14ac:dyDescent="0.25">
      <c r="A7" s="19" t="s">
        <v>696</v>
      </c>
      <c r="B7" t="s">
        <v>941</v>
      </c>
      <c r="C7">
        <v>5</v>
      </c>
      <c r="D7" t="s">
        <v>1466</v>
      </c>
      <c r="E7" t="s">
        <v>968</v>
      </c>
      <c r="F7" t="s">
        <v>1467</v>
      </c>
    </row>
    <row r="8" spans="1:6" x14ac:dyDescent="0.25">
      <c r="A8" s="19" t="s">
        <v>696</v>
      </c>
      <c r="B8" t="s">
        <v>18</v>
      </c>
      <c r="C8">
        <v>3</v>
      </c>
      <c r="D8" t="s">
        <v>1468</v>
      </c>
      <c r="E8" t="s">
        <v>911</v>
      </c>
      <c r="F8" t="s">
        <v>1469</v>
      </c>
    </row>
    <row r="9" spans="1:6" x14ac:dyDescent="0.25">
      <c r="A9" s="19" t="s">
        <v>696</v>
      </c>
      <c r="B9" t="s">
        <v>1042</v>
      </c>
      <c r="C9">
        <v>2</v>
      </c>
      <c r="D9" t="s">
        <v>1470</v>
      </c>
      <c r="E9" t="s">
        <v>921</v>
      </c>
      <c r="F9" t="s">
        <v>1471</v>
      </c>
    </row>
    <row r="10" spans="1:6" x14ac:dyDescent="0.25">
      <c r="A10" s="19" t="s">
        <v>696</v>
      </c>
      <c r="B10" t="s">
        <v>698</v>
      </c>
      <c r="C10">
        <v>2</v>
      </c>
      <c r="D10" t="s">
        <v>1463</v>
      </c>
      <c r="E10" t="s">
        <v>968</v>
      </c>
      <c r="F10" t="s">
        <v>1472</v>
      </c>
    </row>
    <row r="11" spans="1:6" x14ac:dyDescent="0.25">
      <c r="A11" s="19" t="s">
        <v>728</v>
      </c>
      <c r="B11" t="s">
        <v>961</v>
      </c>
      <c r="C11">
        <v>88</v>
      </c>
      <c r="D11" t="s">
        <v>1473</v>
      </c>
      <c r="E11" t="s">
        <v>901</v>
      </c>
      <c r="F11" t="s">
        <v>956</v>
      </c>
    </row>
    <row r="12" spans="1:6" x14ac:dyDescent="0.25">
      <c r="A12" s="19" t="s">
        <v>728</v>
      </c>
      <c r="B12" t="s">
        <v>18</v>
      </c>
      <c r="C12">
        <v>4</v>
      </c>
      <c r="D12" t="s">
        <v>1474</v>
      </c>
      <c r="E12" t="s">
        <v>911</v>
      </c>
      <c r="F12" t="s">
        <v>1475</v>
      </c>
    </row>
    <row r="13" spans="1:6" x14ac:dyDescent="0.25">
      <c r="A13" s="19" t="s">
        <v>728</v>
      </c>
      <c r="B13" t="s">
        <v>941</v>
      </c>
      <c r="C13">
        <v>4</v>
      </c>
      <c r="D13" t="s">
        <v>1466</v>
      </c>
      <c r="E13" t="s">
        <v>968</v>
      </c>
      <c r="F13" t="s">
        <v>1476</v>
      </c>
    </row>
    <row r="14" spans="1:6" x14ac:dyDescent="0.25">
      <c r="A14" s="19" t="s">
        <v>728</v>
      </c>
      <c r="B14" t="s">
        <v>1028</v>
      </c>
      <c r="C14">
        <v>2</v>
      </c>
      <c r="D14" t="s">
        <v>1477</v>
      </c>
      <c r="E14" t="s">
        <v>921</v>
      </c>
      <c r="F14" t="s">
        <v>1478</v>
      </c>
    </row>
    <row r="15" spans="1:6" x14ac:dyDescent="0.25">
      <c r="A15" s="19" t="s">
        <v>728</v>
      </c>
      <c r="B15" t="s">
        <v>698</v>
      </c>
      <c r="C15">
        <v>2</v>
      </c>
      <c r="D15" t="s">
        <v>1463</v>
      </c>
      <c r="E15" t="s">
        <v>968</v>
      </c>
      <c r="F15" t="s">
        <v>1479</v>
      </c>
    </row>
    <row r="16" spans="1:6" x14ac:dyDescent="0.25">
      <c r="A16" s="19" t="s">
        <v>710</v>
      </c>
      <c r="B16" t="s">
        <v>961</v>
      </c>
      <c r="C16">
        <v>74</v>
      </c>
      <c r="D16" t="s">
        <v>1480</v>
      </c>
      <c r="E16" t="s">
        <v>901</v>
      </c>
      <c r="F16" t="s">
        <v>956</v>
      </c>
    </row>
    <row r="17" spans="1:6" x14ac:dyDescent="0.25">
      <c r="A17" s="19" t="s">
        <v>710</v>
      </c>
      <c r="B17" t="s">
        <v>698</v>
      </c>
      <c r="C17">
        <v>12</v>
      </c>
      <c r="D17" t="s">
        <v>1481</v>
      </c>
      <c r="E17" t="s">
        <v>1198</v>
      </c>
      <c r="F17" t="s">
        <v>1482</v>
      </c>
    </row>
    <row r="18" spans="1:6" x14ac:dyDescent="0.25">
      <c r="A18" s="19" t="s">
        <v>710</v>
      </c>
      <c r="B18" t="s">
        <v>1483</v>
      </c>
      <c r="C18">
        <v>6</v>
      </c>
      <c r="D18" t="s">
        <v>1484</v>
      </c>
      <c r="E18" t="s">
        <v>968</v>
      </c>
      <c r="F18" t="s">
        <v>1485</v>
      </c>
    </row>
    <row r="19" spans="1:6" x14ac:dyDescent="0.25">
      <c r="A19" s="19" t="s">
        <v>710</v>
      </c>
      <c r="B19" t="s">
        <v>18</v>
      </c>
      <c r="C19">
        <v>4</v>
      </c>
      <c r="D19" t="s">
        <v>1486</v>
      </c>
      <c r="E19" t="s">
        <v>911</v>
      </c>
      <c r="F19" t="s">
        <v>1469</v>
      </c>
    </row>
    <row r="20" spans="1:6" x14ac:dyDescent="0.25">
      <c r="A20" s="19" t="s">
        <v>710</v>
      </c>
      <c r="B20" t="s">
        <v>941</v>
      </c>
      <c r="C20">
        <v>4</v>
      </c>
      <c r="D20" t="s">
        <v>1466</v>
      </c>
      <c r="E20" t="s">
        <v>968</v>
      </c>
      <c r="F20" t="s">
        <v>1487</v>
      </c>
    </row>
    <row r="21" spans="1:6" x14ac:dyDescent="0.25">
      <c r="A21" s="19" t="s">
        <v>698</v>
      </c>
      <c r="B21" t="s">
        <v>698</v>
      </c>
      <c r="C21">
        <v>78</v>
      </c>
      <c r="D21" t="s">
        <v>1488</v>
      </c>
      <c r="E21" t="s">
        <v>901</v>
      </c>
      <c r="F21" t="s">
        <v>956</v>
      </c>
    </row>
    <row r="22" spans="1:6" x14ac:dyDescent="0.25">
      <c r="A22" s="19" t="s">
        <v>698</v>
      </c>
      <c r="B22" t="s">
        <v>18</v>
      </c>
      <c r="C22">
        <v>8</v>
      </c>
      <c r="D22" t="s">
        <v>1489</v>
      </c>
      <c r="E22" t="s">
        <v>911</v>
      </c>
      <c r="F22" t="s">
        <v>1490</v>
      </c>
    </row>
    <row r="23" spans="1:6" x14ac:dyDescent="0.25">
      <c r="A23" s="19" t="s">
        <v>698</v>
      </c>
      <c r="B23" t="s">
        <v>961</v>
      </c>
      <c r="C23">
        <v>6</v>
      </c>
      <c r="D23" t="s">
        <v>1491</v>
      </c>
      <c r="E23" t="s">
        <v>968</v>
      </c>
      <c r="F23" t="s">
        <v>1492</v>
      </c>
    </row>
    <row r="24" spans="1:6" x14ac:dyDescent="0.25">
      <c r="A24" s="19" t="s">
        <v>698</v>
      </c>
      <c r="B24" t="s">
        <v>916</v>
      </c>
      <c r="C24">
        <v>4</v>
      </c>
      <c r="D24" t="s">
        <v>1493</v>
      </c>
      <c r="E24" t="s">
        <v>1049</v>
      </c>
      <c r="F24" t="s">
        <v>1494</v>
      </c>
    </row>
    <row r="25" spans="1:6" x14ac:dyDescent="0.25">
      <c r="A25" s="19" t="s">
        <v>698</v>
      </c>
      <c r="B25" t="s">
        <v>1483</v>
      </c>
      <c r="C25">
        <v>4</v>
      </c>
      <c r="D25" t="s">
        <v>1495</v>
      </c>
      <c r="E25" t="s">
        <v>968</v>
      </c>
      <c r="F25" t="s">
        <v>1496</v>
      </c>
    </row>
    <row r="26" spans="1:6" x14ac:dyDescent="0.25">
      <c r="A26" s="19" t="s">
        <v>667</v>
      </c>
      <c r="B26" t="s">
        <v>18</v>
      </c>
      <c r="C26">
        <v>84</v>
      </c>
      <c r="D26" t="s">
        <v>1497</v>
      </c>
      <c r="E26" t="s">
        <v>901</v>
      </c>
      <c r="F26" t="s">
        <v>956</v>
      </c>
    </row>
    <row r="27" spans="1:6" x14ac:dyDescent="0.25">
      <c r="A27" s="19" t="s">
        <v>667</v>
      </c>
      <c r="B27" t="s">
        <v>23</v>
      </c>
      <c r="C27">
        <v>6</v>
      </c>
      <c r="D27" t="s">
        <v>1498</v>
      </c>
      <c r="E27" t="s">
        <v>1049</v>
      </c>
      <c r="F27" t="s">
        <v>1499</v>
      </c>
    </row>
    <row r="28" spans="1:6" x14ac:dyDescent="0.25">
      <c r="A28" s="19" t="s">
        <v>667</v>
      </c>
      <c r="B28" t="s">
        <v>21</v>
      </c>
      <c r="C28">
        <v>3</v>
      </c>
      <c r="D28" t="s">
        <v>1500</v>
      </c>
      <c r="E28" t="s">
        <v>1049</v>
      </c>
      <c r="F28" t="s">
        <v>1501</v>
      </c>
    </row>
    <row r="29" spans="1:6" x14ac:dyDescent="0.25">
      <c r="A29" s="19" t="s">
        <v>667</v>
      </c>
      <c r="B29" t="s">
        <v>22</v>
      </c>
      <c r="C29">
        <v>4</v>
      </c>
      <c r="D29" t="s">
        <v>1502</v>
      </c>
      <c r="E29" t="s">
        <v>1049</v>
      </c>
      <c r="F29" t="s">
        <v>1503</v>
      </c>
    </row>
    <row r="30" spans="1:6" x14ac:dyDescent="0.25">
      <c r="A30" s="19" t="s">
        <v>667</v>
      </c>
      <c r="B30" t="s">
        <v>698</v>
      </c>
      <c r="C30">
        <v>3</v>
      </c>
      <c r="D30" t="s">
        <v>1463</v>
      </c>
      <c r="E30" t="s">
        <v>968</v>
      </c>
      <c r="F30" t="s">
        <v>1504</v>
      </c>
    </row>
    <row r="31" spans="1:6" x14ac:dyDescent="0.25">
      <c r="A31" s="19" t="s">
        <v>643</v>
      </c>
      <c r="B31" t="s">
        <v>18</v>
      </c>
      <c r="C31">
        <v>84</v>
      </c>
      <c r="D31" t="s">
        <v>1505</v>
      </c>
      <c r="E31" t="s">
        <v>901</v>
      </c>
      <c r="F31" t="s">
        <v>956</v>
      </c>
    </row>
    <row r="32" spans="1:6" x14ac:dyDescent="0.25">
      <c r="A32" s="19" t="s">
        <v>643</v>
      </c>
      <c r="B32" t="s">
        <v>23</v>
      </c>
      <c r="C32">
        <v>4</v>
      </c>
      <c r="D32" t="s">
        <v>1506</v>
      </c>
      <c r="E32" t="s">
        <v>1049</v>
      </c>
      <c r="F32" t="s">
        <v>1507</v>
      </c>
    </row>
    <row r="33" spans="1:6" x14ac:dyDescent="0.25">
      <c r="A33" s="19" t="s">
        <v>643</v>
      </c>
      <c r="B33" t="s">
        <v>21</v>
      </c>
      <c r="C33">
        <v>3</v>
      </c>
      <c r="D33" t="s">
        <v>1508</v>
      </c>
      <c r="E33" t="s">
        <v>1049</v>
      </c>
      <c r="F33" t="s">
        <v>1509</v>
      </c>
    </row>
    <row r="34" spans="1:6" x14ac:dyDescent="0.25">
      <c r="A34" s="19" t="s">
        <v>643</v>
      </c>
      <c r="B34" t="s">
        <v>698</v>
      </c>
      <c r="C34">
        <v>4</v>
      </c>
      <c r="D34" t="s">
        <v>1463</v>
      </c>
      <c r="E34" t="s">
        <v>968</v>
      </c>
      <c r="F34" t="s">
        <v>1504</v>
      </c>
    </row>
    <row r="35" spans="1:6" x14ac:dyDescent="0.25">
      <c r="A35" s="19" t="s">
        <v>643</v>
      </c>
      <c r="B35" t="s">
        <v>22</v>
      </c>
      <c r="C35">
        <v>5</v>
      </c>
      <c r="D35" t="s">
        <v>1510</v>
      </c>
      <c r="E35" t="s">
        <v>1049</v>
      </c>
      <c r="F35" t="s">
        <v>1511</v>
      </c>
    </row>
    <row r="36" spans="1:6" x14ac:dyDescent="0.25">
      <c r="A36" s="19" t="s">
        <v>659</v>
      </c>
      <c r="B36" t="s">
        <v>18</v>
      </c>
      <c r="C36">
        <v>86</v>
      </c>
      <c r="D36" t="s">
        <v>1512</v>
      </c>
      <c r="E36" t="s">
        <v>901</v>
      </c>
      <c r="F36" t="s">
        <v>956</v>
      </c>
    </row>
    <row r="37" spans="1:6" x14ac:dyDescent="0.25">
      <c r="A37" s="19" t="s">
        <v>659</v>
      </c>
      <c r="B37" t="s">
        <v>698</v>
      </c>
      <c r="C37">
        <v>4</v>
      </c>
      <c r="D37" t="s">
        <v>1463</v>
      </c>
      <c r="E37" t="s">
        <v>968</v>
      </c>
      <c r="F37" t="s">
        <v>1513</v>
      </c>
    </row>
    <row r="38" spans="1:6" x14ac:dyDescent="0.25">
      <c r="A38" s="19" t="s">
        <v>659</v>
      </c>
      <c r="B38" t="s">
        <v>22</v>
      </c>
      <c r="C38">
        <v>4</v>
      </c>
      <c r="D38" t="s">
        <v>1514</v>
      </c>
      <c r="E38" t="s">
        <v>1049</v>
      </c>
      <c r="F38" t="s">
        <v>1511</v>
      </c>
    </row>
    <row r="39" spans="1:6" x14ac:dyDescent="0.25">
      <c r="A39" s="19" t="s">
        <v>659</v>
      </c>
      <c r="B39" t="s">
        <v>23</v>
      </c>
      <c r="C39">
        <v>3</v>
      </c>
      <c r="D39" t="s">
        <v>1515</v>
      </c>
      <c r="E39" t="s">
        <v>1049</v>
      </c>
      <c r="F39" t="s">
        <v>1516</v>
      </c>
    </row>
    <row r="40" spans="1:6" x14ac:dyDescent="0.25">
      <c r="A40" s="19" t="s">
        <v>659</v>
      </c>
      <c r="B40" t="s">
        <v>21</v>
      </c>
      <c r="C40">
        <v>3</v>
      </c>
      <c r="D40" t="s">
        <v>1517</v>
      </c>
      <c r="E40" t="s">
        <v>1049</v>
      </c>
      <c r="F40" t="s">
        <v>1518</v>
      </c>
    </row>
    <row r="41" spans="1:6" x14ac:dyDescent="0.25">
      <c r="A41" s="19" t="s">
        <v>633</v>
      </c>
      <c r="B41" t="s">
        <v>18</v>
      </c>
      <c r="C41">
        <v>80</v>
      </c>
      <c r="D41" t="s">
        <v>1519</v>
      </c>
      <c r="E41" t="s">
        <v>901</v>
      </c>
      <c r="F41" t="s">
        <v>1520</v>
      </c>
    </row>
    <row r="42" spans="1:6" x14ac:dyDescent="0.25">
      <c r="A42" s="19" t="s">
        <v>633</v>
      </c>
      <c r="B42" t="s">
        <v>22</v>
      </c>
      <c r="C42">
        <v>10</v>
      </c>
      <c r="D42" t="s">
        <v>1521</v>
      </c>
      <c r="E42" t="s">
        <v>1049</v>
      </c>
      <c r="F42" t="s">
        <v>1522</v>
      </c>
    </row>
    <row r="43" spans="1:6" x14ac:dyDescent="0.25">
      <c r="A43" s="19" t="s">
        <v>633</v>
      </c>
      <c r="B43" t="s">
        <v>698</v>
      </c>
      <c r="C43">
        <v>4</v>
      </c>
      <c r="D43" t="s">
        <v>1463</v>
      </c>
      <c r="E43" t="s">
        <v>968</v>
      </c>
      <c r="F43" t="s">
        <v>1513</v>
      </c>
    </row>
    <row r="44" spans="1:6" x14ac:dyDescent="0.25">
      <c r="A44" s="19" t="s">
        <v>633</v>
      </c>
      <c r="B44" t="s">
        <v>23</v>
      </c>
      <c r="C44">
        <v>3</v>
      </c>
      <c r="D44" t="s">
        <v>1523</v>
      </c>
      <c r="E44" t="s">
        <v>1049</v>
      </c>
      <c r="F44" t="s">
        <v>1524</v>
      </c>
    </row>
    <row r="45" spans="1:6" x14ac:dyDescent="0.25">
      <c r="A45" s="19" t="s">
        <v>633</v>
      </c>
      <c r="B45" t="s">
        <v>21</v>
      </c>
      <c r="C45">
        <v>3</v>
      </c>
      <c r="D45" t="s">
        <v>1525</v>
      </c>
      <c r="E45" t="s">
        <v>1049</v>
      </c>
      <c r="F45" t="s">
        <v>1526</v>
      </c>
    </row>
    <row r="46" spans="1:6" x14ac:dyDescent="0.25">
      <c r="A46" s="19" t="s">
        <v>629</v>
      </c>
      <c r="B46" t="s">
        <v>18</v>
      </c>
      <c r="C46">
        <v>56</v>
      </c>
      <c r="D46" t="s">
        <v>1527</v>
      </c>
      <c r="E46" t="s">
        <v>901</v>
      </c>
      <c r="F46" t="s">
        <v>1528</v>
      </c>
    </row>
    <row r="47" spans="1:6" x14ac:dyDescent="0.25">
      <c r="A47" s="19" t="s">
        <v>629</v>
      </c>
      <c r="B47" t="s">
        <v>21</v>
      </c>
      <c r="C47">
        <v>18</v>
      </c>
      <c r="D47" t="s">
        <v>1529</v>
      </c>
      <c r="E47" t="s">
        <v>1049</v>
      </c>
      <c r="F47" t="s">
        <v>1482</v>
      </c>
    </row>
    <row r="48" spans="1:6" x14ac:dyDescent="0.25">
      <c r="A48" s="19" t="s">
        <v>629</v>
      </c>
      <c r="B48" t="s">
        <v>22</v>
      </c>
      <c r="C48">
        <v>12</v>
      </c>
      <c r="D48" t="s">
        <v>1530</v>
      </c>
      <c r="E48" t="s">
        <v>1049</v>
      </c>
      <c r="F48" t="s">
        <v>1503</v>
      </c>
    </row>
    <row r="49" spans="1:6" x14ac:dyDescent="0.25">
      <c r="A49" s="19" t="s">
        <v>629</v>
      </c>
      <c r="B49" t="s">
        <v>23</v>
      </c>
      <c r="C49">
        <v>8</v>
      </c>
      <c r="D49" t="s">
        <v>1531</v>
      </c>
      <c r="E49" t="s">
        <v>1049</v>
      </c>
      <c r="F49" t="s">
        <v>1507</v>
      </c>
    </row>
    <row r="50" spans="1:6" x14ac:dyDescent="0.25">
      <c r="A50" s="19" t="s">
        <v>629</v>
      </c>
      <c r="B50" t="s">
        <v>1225</v>
      </c>
      <c r="C50">
        <v>3</v>
      </c>
      <c r="D50" t="s">
        <v>1532</v>
      </c>
      <c r="E50" t="s">
        <v>1049</v>
      </c>
      <c r="F50" t="s">
        <v>1533</v>
      </c>
    </row>
    <row r="51" spans="1:6" x14ac:dyDescent="0.25">
      <c r="A51" s="19" t="s">
        <v>629</v>
      </c>
      <c r="B51" t="s">
        <v>698</v>
      </c>
      <c r="C51">
        <v>3</v>
      </c>
      <c r="D51" t="s">
        <v>1463</v>
      </c>
      <c r="E51" t="s">
        <v>968</v>
      </c>
      <c r="F51" t="s">
        <v>1534</v>
      </c>
    </row>
    <row r="52" spans="1:6" x14ac:dyDescent="0.25">
      <c r="A52" s="19" t="s">
        <v>631</v>
      </c>
      <c r="B52" t="s">
        <v>21</v>
      </c>
      <c r="C52">
        <v>84</v>
      </c>
      <c r="D52" t="s">
        <v>1535</v>
      </c>
      <c r="E52" t="s">
        <v>901</v>
      </c>
      <c r="F52" t="s">
        <v>956</v>
      </c>
    </row>
    <row r="53" spans="1:6" x14ac:dyDescent="0.25">
      <c r="A53" s="19" t="s">
        <v>631</v>
      </c>
      <c r="B53" t="s">
        <v>18</v>
      </c>
      <c r="C53">
        <v>4</v>
      </c>
      <c r="D53" t="s">
        <v>1536</v>
      </c>
      <c r="E53" t="s">
        <v>1049</v>
      </c>
      <c r="F53" t="s">
        <v>1537</v>
      </c>
    </row>
    <row r="54" spans="1:6" x14ac:dyDescent="0.25">
      <c r="A54" s="19" t="s">
        <v>631</v>
      </c>
      <c r="B54" t="s">
        <v>23</v>
      </c>
      <c r="C54">
        <v>4</v>
      </c>
      <c r="D54" t="s">
        <v>1538</v>
      </c>
      <c r="E54" t="s">
        <v>1049</v>
      </c>
      <c r="F54" t="s">
        <v>1539</v>
      </c>
    </row>
    <row r="55" spans="1:6" x14ac:dyDescent="0.25">
      <c r="A55" s="19" t="s">
        <v>631</v>
      </c>
      <c r="B55" t="s">
        <v>1225</v>
      </c>
      <c r="C55">
        <v>4</v>
      </c>
      <c r="D55" t="s">
        <v>1540</v>
      </c>
      <c r="E55" t="s">
        <v>1049</v>
      </c>
      <c r="F55" t="s">
        <v>1541</v>
      </c>
    </row>
    <row r="56" spans="1:6" x14ac:dyDescent="0.25">
      <c r="A56" s="19" t="s">
        <v>631</v>
      </c>
      <c r="B56" t="s">
        <v>22</v>
      </c>
      <c r="C56">
        <v>2</v>
      </c>
      <c r="D56" t="s">
        <v>1542</v>
      </c>
      <c r="E56" t="s">
        <v>1049</v>
      </c>
      <c r="F56" t="s">
        <v>1543</v>
      </c>
    </row>
    <row r="57" spans="1:6" x14ac:dyDescent="0.25">
      <c r="A57" s="19" t="s">
        <v>631</v>
      </c>
      <c r="B57" t="s">
        <v>21</v>
      </c>
      <c r="C57">
        <v>2</v>
      </c>
      <c r="D57" t="s">
        <v>1544</v>
      </c>
      <c r="E57" t="s">
        <v>1049</v>
      </c>
      <c r="F57" t="s">
        <v>1545</v>
      </c>
    </row>
    <row r="58" spans="1:6" x14ac:dyDescent="0.25">
      <c r="A58" s="19" t="s">
        <v>663</v>
      </c>
      <c r="B58" t="s">
        <v>22</v>
      </c>
      <c r="C58">
        <v>88</v>
      </c>
      <c r="D58" t="s">
        <v>1546</v>
      </c>
      <c r="E58" t="s">
        <v>901</v>
      </c>
      <c r="F58" t="s">
        <v>956</v>
      </c>
    </row>
    <row r="59" spans="1:6" x14ac:dyDescent="0.25">
      <c r="A59" s="19" t="s">
        <v>663</v>
      </c>
      <c r="B59" t="s">
        <v>18</v>
      </c>
      <c r="C59">
        <v>4</v>
      </c>
      <c r="D59" t="s">
        <v>1547</v>
      </c>
      <c r="E59" t="s">
        <v>1049</v>
      </c>
      <c r="F59" t="s">
        <v>1548</v>
      </c>
    </row>
    <row r="60" spans="1:6" x14ac:dyDescent="0.25">
      <c r="A60" s="19" t="s">
        <v>663</v>
      </c>
      <c r="B60" t="s">
        <v>698</v>
      </c>
      <c r="C60">
        <v>4</v>
      </c>
      <c r="D60" t="s">
        <v>1463</v>
      </c>
      <c r="E60" t="s">
        <v>968</v>
      </c>
      <c r="F60" t="s">
        <v>1549</v>
      </c>
    </row>
    <row r="61" spans="1:6" x14ac:dyDescent="0.25">
      <c r="A61" s="19" t="s">
        <v>663</v>
      </c>
      <c r="B61" t="s">
        <v>21</v>
      </c>
      <c r="C61">
        <v>2</v>
      </c>
      <c r="D61" t="s">
        <v>1535</v>
      </c>
      <c r="E61" t="s">
        <v>1049</v>
      </c>
      <c r="F61" t="s">
        <v>1550</v>
      </c>
    </row>
    <row r="62" spans="1:6" x14ac:dyDescent="0.25">
      <c r="A62" s="19" t="s">
        <v>663</v>
      </c>
      <c r="B62" t="s">
        <v>916</v>
      </c>
      <c r="C62">
        <v>2</v>
      </c>
      <c r="D62" t="s">
        <v>1551</v>
      </c>
      <c r="E62" t="s">
        <v>1049</v>
      </c>
      <c r="F62" t="s">
        <v>1552</v>
      </c>
    </row>
    <row r="63" spans="1:6" x14ac:dyDescent="0.25">
      <c r="A63" s="19" t="s">
        <v>797</v>
      </c>
      <c r="B63" t="s">
        <v>22</v>
      </c>
      <c r="C63">
        <v>80</v>
      </c>
      <c r="D63" t="s">
        <v>1553</v>
      </c>
      <c r="E63" t="s">
        <v>901</v>
      </c>
      <c r="F63" t="s">
        <v>1554</v>
      </c>
    </row>
    <row r="64" spans="1:6" x14ac:dyDescent="0.25">
      <c r="A64" s="19" t="s">
        <v>797</v>
      </c>
      <c r="B64" t="s">
        <v>916</v>
      </c>
      <c r="C64">
        <v>8</v>
      </c>
      <c r="D64" t="s">
        <v>1551</v>
      </c>
      <c r="E64" t="s">
        <v>1049</v>
      </c>
      <c r="F64" t="s">
        <v>1555</v>
      </c>
    </row>
    <row r="65" spans="1:6" x14ac:dyDescent="0.25">
      <c r="A65" s="19" t="s">
        <v>797</v>
      </c>
      <c r="B65" t="s">
        <v>698</v>
      </c>
      <c r="C65">
        <v>4</v>
      </c>
      <c r="D65" t="s">
        <v>1463</v>
      </c>
      <c r="E65" t="s">
        <v>968</v>
      </c>
      <c r="F65" t="s">
        <v>1534</v>
      </c>
    </row>
    <row r="66" spans="1:6" x14ac:dyDescent="0.25">
      <c r="A66" s="19" t="s">
        <v>797</v>
      </c>
      <c r="B66" t="s">
        <v>18</v>
      </c>
      <c r="C66">
        <v>4</v>
      </c>
      <c r="D66" t="s">
        <v>1547</v>
      </c>
      <c r="E66" t="s">
        <v>1049</v>
      </c>
      <c r="F66" t="s">
        <v>1507</v>
      </c>
    </row>
    <row r="67" spans="1:6" x14ac:dyDescent="0.25">
      <c r="A67" s="19" t="s">
        <v>797</v>
      </c>
      <c r="B67" t="s">
        <v>21</v>
      </c>
      <c r="C67">
        <v>2</v>
      </c>
      <c r="D67" t="s">
        <v>1535</v>
      </c>
      <c r="E67" t="s">
        <v>1049</v>
      </c>
      <c r="F67" t="s">
        <v>1556</v>
      </c>
    </row>
    <row r="68" spans="1:6" x14ac:dyDescent="0.25">
      <c r="A68" s="19" t="s">
        <v>797</v>
      </c>
      <c r="B68" t="s">
        <v>1557</v>
      </c>
      <c r="C68">
        <v>2</v>
      </c>
      <c r="D68" t="s">
        <v>1558</v>
      </c>
      <c r="E68" t="s">
        <v>1049</v>
      </c>
      <c r="F68" t="s">
        <v>1559</v>
      </c>
    </row>
    <row r="69" spans="1:6" x14ac:dyDescent="0.25">
      <c r="A69" s="19" t="s">
        <v>653</v>
      </c>
      <c r="B69" t="s">
        <v>22</v>
      </c>
      <c r="C69">
        <v>84</v>
      </c>
      <c r="D69" t="s">
        <v>1560</v>
      </c>
      <c r="E69" t="s">
        <v>901</v>
      </c>
      <c r="F69" t="s">
        <v>956</v>
      </c>
    </row>
    <row r="70" spans="1:6" x14ac:dyDescent="0.25">
      <c r="A70" s="19" t="s">
        <v>653</v>
      </c>
      <c r="B70" t="s">
        <v>21</v>
      </c>
      <c r="C70">
        <v>5</v>
      </c>
      <c r="D70" t="s">
        <v>1535</v>
      </c>
      <c r="E70" t="s">
        <v>1049</v>
      </c>
      <c r="F70" t="s">
        <v>1561</v>
      </c>
    </row>
    <row r="71" spans="1:6" x14ac:dyDescent="0.25">
      <c r="A71" s="19" t="s">
        <v>653</v>
      </c>
      <c r="B71" t="s">
        <v>916</v>
      </c>
      <c r="C71">
        <v>5</v>
      </c>
      <c r="D71" t="s">
        <v>1551</v>
      </c>
      <c r="E71" t="s">
        <v>1049</v>
      </c>
      <c r="F71" t="s">
        <v>1562</v>
      </c>
    </row>
    <row r="72" spans="1:6" x14ac:dyDescent="0.25">
      <c r="A72" s="19" t="s">
        <v>653</v>
      </c>
      <c r="B72" t="s">
        <v>18</v>
      </c>
      <c r="C72">
        <v>3</v>
      </c>
      <c r="D72" t="s">
        <v>1547</v>
      </c>
      <c r="E72" t="s">
        <v>1049</v>
      </c>
      <c r="F72" t="s">
        <v>1563</v>
      </c>
    </row>
    <row r="73" spans="1:6" x14ac:dyDescent="0.25">
      <c r="A73" s="19" t="s">
        <v>653</v>
      </c>
      <c r="B73" t="s">
        <v>698</v>
      </c>
      <c r="C73">
        <v>3</v>
      </c>
      <c r="D73" t="s">
        <v>1463</v>
      </c>
      <c r="E73" t="s">
        <v>968</v>
      </c>
      <c r="F73" t="s">
        <v>1534</v>
      </c>
    </row>
    <row r="74" spans="1:6" x14ac:dyDescent="0.25">
      <c r="A74" s="19" t="s">
        <v>605</v>
      </c>
      <c r="B74" t="s">
        <v>22</v>
      </c>
      <c r="C74">
        <v>66</v>
      </c>
      <c r="D74" t="s">
        <v>1564</v>
      </c>
      <c r="E74" t="s">
        <v>901</v>
      </c>
      <c r="F74" t="s">
        <v>956</v>
      </c>
    </row>
    <row r="75" spans="1:6" x14ac:dyDescent="0.25">
      <c r="A75" s="19" t="s">
        <v>605</v>
      </c>
      <c r="B75" t="s">
        <v>1565</v>
      </c>
      <c r="C75">
        <v>10</v>
      </c>
      <c r="D75" t="s">
        <v>1566</v>
      </c>
      <c r="E75" t="s">
        <v>917</v>
      </c>
      <c r="F75" t="s">
        <v>1567</v>
      </c>
    </row>
    <row r="76" spans="1:6" x14ac:dyDescent="0.25">
      <c r="A76" s="19" t="s">
        <v>605</v>
      </c>
      <c r="B76" t="s">
        <v>21</v>
      </c>
      <c r="C76">
        <v>5</v>
      </c>
      <c r="D76" t="s">
        <v>1535</v>
      </c>
      <c r="E76" t="s">
        <v>1049</v>
      </c>
      <c r="F76" t="s">
        <v>1561</v>
      </c>
    </row>
    <row r="77" spans="1:6" x14ac:dyDescent="0.25">
      <c r="A77" s="19" t="s">
        <v>605</v>
      </c>
      <c r="B77" t="s">
        <v>18</v>
      </c>
      <c r="C77">
        <v>5</v>
      </c>
      <c r="D77" t="s">
        <v>1568</v>
      </c>
      <c r="E77" t="s">
        <v>1049</v>
      </c>
      <c r="F77" t="s">
        <v>1563</v>
      </c>
    </row>
    <row r="78" spans="1:6" x14ac:dyDescent="0.25">
      <c r="A78" s="19" t="s">
        <v>605</v>
      </c>
      <c r="B78" t="s">
        <v>916</v>
      </c>
      <c r="C78">
        <v>4</v>
      </c>
      <c r="D78" t="s">
        <v>1551</v>
      </c>
      <c r="E78" t="s">
        <v>1049</v>
      </c>
      <c r="F78" t="s">
        <v>1569</v>
      </c>
    </row>
    <row r="79" spans="1:6" x14ac:dyDescent="0.25">
      <c r="A79" s="19" t="s">
        <v>605</v>
      </c>
      <c r="B79" t="s">
        <v>1557</v>
      </c>
      <c r="C79">
        <v>4</v>
      </c>
      <c r="D79" t="s">
        <v>1570</v>
      </c>
      <c r="E79" t="s">
        <v>1049</v>
      </c>
      <c r="F79" t="s">
        <v>1571</v>
      </c>
    </row>
    <row r="80" spans="1:6" x14ac:dyDescent="0.25">
      <c r="A80" s="19" t="s">
        <v>605</v>
      </c>
      <c r="B80" t="s">
        <v>698</v>
      </c>
      <c r="C80">
        <v>3</v>
      </c>
      <c r="D80" t="s">
        <v>1463</v>
      </c>
      <c r="E80" t="s">
        <v>968</v>
      </c>
      <c r="F80" t="s">
        <v>1572</v>
      </c>
    </row>
    <row r="81" spans="1:6" x14ac:dyDescent="0.25">
      <c r="A81" s="19" t="s">
        <v>605</v>
      </c>
      <c r="B81" t="s">
        <v>23</v>
      </c>
      <c r="C81">
        <v>3</v>
      </c>
      <c r="D81" t="s">
        <v>1573</v>
      </c>
      <c r="E81" t="s">
        <v>1049</v>
      </c>
      <c r="F81" t="s">
        <v>1574</v>
      </c>
    </row>
    <row r="82" spans="1:6" x14ac:dyDescent="0.25">
      <c r="A82" s="19" t="s">
        <v>661</v>
      </c>
      <c r="B82" t="s">
        <v>22</v>
      </c>
      <c r="C82">
        <v>70</v>
      </c>
      <c r="D82" t="s">
        <v>1575</v>
      </c>
      <c r="E82" t="s">
        <v>901</v>
      </c>
      <c r="F82" t="s">
        <v>956</v>
      </c>
    </row>
    <row r="83" spans="1:6" x14ac:dyDescent="0.25">
      <c r="A83" s="19" t="s">
        <v>661</v>
      </c>
      <c r="B83" t="s">
        <v>961</v>
      </c>
      <c r="C83">
        <v>6</v>
      </c>
      <c r="D83" t="s">
        <v>1097</v>
      </c>
      <c r="E83" t="s">
        <v>911</v>
      </c>
      <c r="F83" t="s">
        <v>1576</v>
      </c>
    </row>
    <row r="84" spans="1:6" x14ac:dyDescent="0.25">
      <c r="A84" s="19" t="s">
        <v>661</v>
      </c>
      <c r="B84" t="s">
        <v>941</v>
      </c>
      <c r="C84">
        <v>5</v>
      </c>
      <c r="D84" t="s">
        <v>1577</v>
      </c>
      <c r="E84" t="s">
        <v>925</v>
      </c>
      <c r="F84" t="s">
        <v>1578</v>
      </c>
    </row>
    <row r="85" spans="1:6" x14ac:dyDescent="0.25">
      <c r="A85" s="19" t="s">
        <v>661</v>
      </c>
      <c r="B85" t="s">
        <v>1565</v>
      </c>
      <c r="C85">
        <v>7</v>
      </c>
      <c r="D85" t="s">
        <v>1566</v>
      </c>
      <c r="E85" t="s">
        <v>917</v>
      </c>
      <c r="F85" t="s">
        <v>1579</v>
      </c>
    </row>
    <row r="86" spans="1:6" x14ac:dyDescent="0.25">
      <c r="A86" s="19" t="s">
        <v>661</v>
      </c>
      <c r="B86" t="s">
        <v>18</v>
      </c>
      <c r="C86">
        <v>5</v>
      </c>
      <c r="D86" t="s">
        <v>1568</v>
      </c>
      <c r="E86" t="s">
        <v>1049</v>
      </c>
      <c r="F86" t="s">
        <v>1563</v>
      </c>
    </row>
    <row r="87" spans="1:6" x14ac:dyDescent="0.25">
      <c r="A87" s="19" t="s">
        <v>661</v>
      </c>
      <c r="B87" t="s">
        <v>21</v>
      </c>
      <c r="C87">
        <v>3</v>
      </c>
      <c r="D87" t="s">
        <v>1535</v>
      </c>
      <c r="E87" t="s">
        <v>1049</v>
      </c>
      <c r="F87" t="s">
        <v>1561</v>
      </c>
    </row>
    <row r="88" spans="1:6" x14ac:dyDescent="0.25">
      <c r="A88" s="19" t="s">
        <v>661</v>
      </c>
      <c r="B88" t="s">
        <v>698</v>
      </c>
      <c r="C88">
        <v>2</v>
      </c>
      <c r="D88" t="s">
        <v>1463</v>
      </c>
      <c r="E88" t="s">
        <v>968</v>
      </c>
      <c r="F88" t="s">
        <v>1572</v>
      </c>
    </row>
    <row r="89" spans="1:6" x14ac:dyDescent="0.25">
      <c r="A89" s="19" t="s">
        <v>661</v>
      </c>
      <c r="B89" t="s">
        <v>916</v>
      </c>
      <c r="C89">
        <v>2</v>
      </c>
      <c r="D89" t="s">
        <v>1551</v>
      </c>
      <c r="E89" t="s">
        <v>1049</v>
      </c>
      <c r="F89" t="s">
        <v>1569</v>
      </c>
    </row>
    <row r="90" spans="1:6" x14ac:dyDescent="0.25">
      <c r="A90" s="19" t="s">
        <v>639</v>
      </c>
      <c r="B90" t="s">
        <v>22</v>
      </c>
      <c r="C90">
        <v>78</v>
      </c>
      <c r="D90" t="s">
        <v>1580</v>
      </c>
      <c r="E90" t="s">
        <v>901</v>
      </c>
      <c r="F90" t="s">
        <v>956</v>
      </c>
    </row>
    <row r="91" spans="1:6" x14ac:dyDescent="0.25">
      <c r="A91" s="19" t="s">
        <v>639</v>
      </c>
      <c r="B91" t="s">
        <v>18</v>
      </c>
      <c r="C91">
        <v>6</v>
      </c>
      <c r="D91" t="s">
        <v>1581</v>
      </c>
      <c r="E91" t="s">
        <v>1049</v>
      </c>
      <c r="F91" t="s">
        <v>1563</v>
      </c>
    </row>
    <row r="92" spans="1:6" x14ac:dyDescent="0.25">
      <c r="A92" s="19" t="s">
        <v>639</v>
      </c>
      <c r="B92" t="s">
        <v>21</v>
      </c>
      <c r="C92">
        <v>4</v>
      </c>
      <c r="D92" t="s">
        <v>1535</v>
      </c>
      <c r="E92" t="s">
        <v>1049</v>
      </c>
      <c r="F92" t="s">
        <v>1561</v>
      </c>
    </row>
    <row r="93" spans="1:6" x14ac:dyDescent="0.25">
      <c r="A93" s="19" t="s">
        <v>639</v>
      </c>
      <c r="B93" t="s">
        <v>1565</v>
      </c>
      <c r="C93">
        <v>5</v>
      </c>
      <c r="D93" t="s">
        <v>1566</v>
      </c>
      <c r="E93" t="s">
        <v>917</v>
      </c>
      <c r="F93" t="s">
        <v>1579</v>
      </c>
    </row>
    <row r="94" spans="1:6" x14ac:dyDescent="0.25">
      <c r="A94" s="19" t="s">
        <v>639</v>
      </c>
      <c r="B94" t="s">
        <v>698</v>
      </c>
      <c r="C94">
        <v>4</v>
      </c>
      <c r="D94" t="s">
        <v>1463</v>
      </c>
      <c r="E94" t="s">
        <v>968</v>
      </c>
      <c r="F94" t="s">
        <v>1572</v>
      </c>
    </row>
    <row r="95" spans="1:6" x14ac:dyDescent="0.25">
      <c r="A95" s="19" t="s">
        <v>639</v>
      </c>
      <c r="B95" t="s">
        <v>916</v>
      </c>
      <c r="C95">
        <v>3</v>
      </c>
      <c r="D95" t="s">
        <v>1551</v>
      </c>
      <c r="E95" t="s">
        <v>1049</v>
      </c>
      <c r="F95" t="s">
        <v>1569</v>
      </c>
    </row>
    <row r="96" spans="1:6" x14ac:dyDescent="0.25">
      <c r="A96" s="19" t="s">
        <v>615</v>
      </c>
      <c r="B96" t="s">
        <v>22</v>
      </c>
      <c r="C96">
        <v>74</v>
      </c>
      <c r="D96" t="s">
        <v>1582</v>
      </c>
      <c r="E96" t="s">
        <v>901</v>
      </c>
      <c r="F96" t="s">
        <v>956</v>
      </c>
    </row>
    <row r="97" spans="1:6" x14ac:dyDescent="0.25">
      <c r="A97" s="19" t="s">
        <v>615</v>
      </c>
      <c r="B97" t="s">
        <v>21</v>
      </c>
      <c r="C97">
        <v>8</v>
      </c>
      <c r="D97" t="s">
        <v>1535</v>
      </c>
      <c r="E97" t="s">
        <v>1049</v>
      </c>
      <c r="F97" t="s">
        <v>1561</v>
      </c>
    </row>
    <row r="98" spans="1:6" x14ac:dyDescent="0.25">
      <c r="A98" s="19" t="s">
        <v>615</v>
      </c>
      <c r="B98" t="s">
        <v>18</v>
      </c>
      <c r="C98">
        <v>5</v>
      </c>
      <c r="D98" t="s">
        <v>1583</v>
      </c>
      <c r="E98" t="s">
        <v>1049</v>
      </c>
      <c r="F98" t="s">
        <v>1563</v>
      </c>
    </row>
    <row r="99" spans="1:6" x14ac:dyDescent="0.25">
      <c r="A99" s="19" t="s">
        <v>615</v>
      </c>
      <c r="B99" t="s">
        <v>1565</v>
      </c>
      <c r="C99">
        <v>5</v>
      </c>
      <c r="D99" t="s">
        <v>1566</v>
      </c>
      <c r="E99" t="s">
        <v>917</v>
      </c>
      <c r="F99" t="s">
        <v>1579</v>
      </c>
    </row>
    <row r="100" spans="1:6" x14ac:dyDescent="0.25">
      <c r="A100" s="19" t="s">
        <v>615</v>
      </c>
      <c r="B100" t="s">
        <v>698</v>
      </c>
      <c r="C100">
        <v>4</v>
      </c>
      <c r="D100" t="s">
        <v>1463</v>
      </c>
      <c r="E100" t="s">
        <v>968</v>
      </c>
      <c r="F100" t="s">
        <v>1572</v>
      </c>
    </row>
    <row r="101" spans="1:6" x14ac:dyDescent="0.25">
      <c r="A101" s="19" t="s">
        <v>615</v>
      </c>
      <c r="B101" t="s">
        <v>916</v>
      </c>
      <c r="C101">
        <v>2</v>
      </c>
      <c r="D101" t="s">
        <v>1551</v>
      </c>
      <c r="E101" t="s">
        <v>1049</v>
      </c>
      <c r="F101" t="s">
        <v>1569</v>
      </c>
    </row>
    <row r="102" spans="1:6" x14ac:dyDescent="0.25">
      <c r="A102" s="19" t="s">
        <v>615</v>
      </c>
      <c r="B102" t="s">
        <v>23</v>
      </c>
      <c r="C102">
        <v>2</v>
      </c>
      <c r="D102" t="s">
        <v>1573</v>
      </c>
      <c r="E102" t="s">
        <v>1049</v>
      </c>
      <c r="F102" t="s">
        <v>1574</v>
      </c>
    </row>
    <row r="103" spans="1:6" x14ac:dyDescent="0.25">
      <c r="A103" s="19" t="s">
        <v>718</v>
      </c>
      <c r="B103" t="s">
        <v>941</v>
      </c>
      <c r="C103">
        <v>82</v>
      </c>
      <c r="D103" t="s">
        <v>1584</v>
      </c>
      <c r="E103" t="s">
        <v>901</v>
      </c>
      <c r="F103" t="s">
        <v>946</v>
      </c>
    </row>
    <row r="104" spans="1:6" x14ac:dyDescent="0.25">
      <c r="A104" s="19" t="s">
        <v>718</v>
      </c>
      <c r="B104" t="s">
        <v>1483</v>
      </c>
      <c r="C104">
        <v>10</v>
      </c>
      <c r="D104" t="s">
        <v>1585</v>
      </c>
      <c r="E104" t="s">
        <v>1044</v>
      </c>
      <c r="F104" t="s">
        <v>1586</v>
      </c>
    </row>
    <row r="105" spans="1:6" x14ac:dyDescent="0.25">
      <c r="A105" s="19" t="s">
        <v>718</v>
      </c>
      <c r="B105" t="s">
        <v>1033</v>
      </c>
      <c r="C105">
        <v>4</v>
      </c>
      <c r="D105" t="s">
        <v>1587</v>
      </c>
      <c r="E105" t="s">
        <v>1049</v>
      </c>
      <c r="F105" t="s">
        <v>1588</v>
      </c>
    </row>
    <row r="106" spans="1:6" x14ac:dyDescent="0.25">
      <c r="A106" s="19" t="s">
        <v>718</v>
      </c>
      <c r="B106" t="s">
        <v>961</v>
      </c>
      <c r="C106">
        <v>2</v>
      </c>
      <c r="D106" t="s">
        <v>1589</v>
      </c>
      <c r="E106" t="s">
        <v>968</v>
      </c>
      <c r="F106" t="s">
        <v>1590</v>
      </c>
    </row>
    <row r="107" spans="1:6" x14ac:dyDescent="0.25">
      <c r="A107" s="19" t="s">
        <v>718</v>
      </c>
      <c r="B107" t="s">
        <v>941</v>
      </c>
      <c r="C107">
        <v>2</v>
      </c>
      <c r="D107" t="s">
        <v>1593</v>
      </c>
      <c r="E107" t="s">
        <v>1594</v>
      </c>
      <c r="F107" t="s">
        <v>1595</v>
      </c>
    </row>
    <row r="108" spans="1:6" x14ac:dyDescent="0.25">
      <c r="A108" s="19" t="s">
        <v>702</v>
      </c>
      <c r="B108" t="s">
        <v>941</v>
      </c>
      <c r="C108">
        <v>88</v>
      </c>
      <c r="D108" t="s">
        <v>1596</v>
      </c>
      <c r="E108" t="s">
        <v>901</v>
      </c>
      <c r="F108" t="s">
        <v>956</v>
      </c>
    </row>
    <row r="109" spans="1:6" x14ac:dyDescent="0.25">
      <c r="A109" s="19" t="s">
        <v>702</v>
      </c>
      <c r="B109" t="s">
        <v>1483</v>
      </c>
      <c r="C109">
        <v>6</v>
      </c>
      <c r="D109" t="s">
        <v>1597</v>
      </c>
      <c r="E109" t="s">
        <v>1044</v>
      </c>
      <c r="F109" t="s">
        <v>1598</v>
      </c>
    </row>
    <row r="110" spans="1:6" x14ac:dyDescent="0.25">
      <c r="A110" s="19" t="s">
        <v>702</v>
      </c>
      <c r="B110" t="s">
        <v>1033</v>
      </c>
      <c r="C110">
        <v>4</v>
      </c>
      <c r="D110" t="s">
        <v>1587</v>
      </c>
      <c r="E110" t="s">
        <v>1049</v>
      </c>
      <c r="F110" t="s">
        <v>1588</v>
      </c>
    </row>
    <row r="111" spans="1:6" x14ac:dyDescent="0.25">
      <c r="A111" s="19" t="s">
        <v>702</v>
      </c>
      <c r="B111" t="s">
        <v>941</v>
      </c>
      <c r="C111">
        <v>2</v>
      </c>
      <c r="D111" t="s">
        <v>1600</v>
      </c>
      <c r="E111" t="s">
        <v>1594</v>
      </c>
      <c r="F111" t="s">
        <v>1601</v>
      </c>
    </row>
    <row r="112" spans="1:6" x14ac:dyDescent="0.25">
      <c r="A112" s="19" t="s">
        <v>724</v>
      </c>
      <c r="B112" t="s">
        <v>941</v>
      </c>
      <c r="C112">
        <v>82</v>
      </c>
      <c r="D112" t="s">
        <v>1602</v>
      </c>
      <c r="E112" t="s">
        <v>901</v>
      </c>
      <c r="F112" t="s">
        <v>956</v>
      </c>
    </row>
    <row r="113" spans="1:6" x14ac:dyDescent="0.25">
      <c r="A113" s="19" t="s">
        <v>724</v>
      </c>
      <c r="B113" t="s">
        <v>1483</v>
      </c>
      <c r="C113">
        <v>9</v>
      </c>
      <c r="D113" t="s">
        <v>1603</v>
      </c>
      <c r="E113" t="s">
        <v>1044</v>
      </c>
      <c r="F113" t="s">
        <v>1604</v>
      </c>
    </row>
    <row r="114" spans="1:6" x14ac:dyDescent="0.25">
      <c r="A114" s="19" t="s">
        <v>724</v>
      </c>
      <c r="B114" t="s">
        <v>961</v>
      </c>
      <c r="C114">
        <v>5</v>
      </c>
      <c r="D114" t="s">
        <v>1589</v>
      </c>
      <c r="E114" t="s">
        <v>968</v>
      </c>
      <c r="F114" t="s">
        <v>1590</v>
      </c>
    </row>
    <row r="115" spans="1:6" x14ac:dyDescent="0.25">
      <c r="A115" s="19" t="s">
        <v>724</v>
      </c>
      <c r="B115" t="s">
        <v>1033</v>
      </c>
      <c r="C115">
        <v>4</v>
      </c>
      <c r="D115" t="s">
        <v>1587</v>
      </c>
      <c r="E115" t="s">
        <v>1049</v>
      </c>
      <c r="F115" t="s">
        <v>1588</v>
      </c>
    </row>
    <row r="116" spans="1:6" x14ac:dyDescent="0.25">
      <c r="A116" s="19" t="s">
        <v>714</v>
      </c>
      <c r="B116" t="s">
        <v>1483</v>
      </c>
      <c r="C116">
        <v>46</v>
      </c>
      <c r="D116" t="s">
        <v>1605</v>
      </c>
      <c r="E116" t="s">
        <v>901</v>
      </c>
      <c r="F116" t="s">
        <v>1606</v>
      </c>
    </row>
    <row r="117" spans="1:6" x14ac:dyDescent="0.25">
      <c r="A117" s="19" t="s">
        <v>714</v>
      </c>
      <c r="B117" t="s">
        <v>941</v>
      </c>
      <c r="C117">
        <v>40</v>
      </c>
      <c r="D117" t="s">
        <v>1607</v>
      </c>
      <c r="E117" t="s">
        <v>1198</v>
      </c>
      <c r="F117" t="s">
        <v>1608</v>
      </c>
    </row>
    <row r="118" spans="1:6" x14ac:dyDescent="0.25">
      <c r="A118" s="19" t="s">
        <v>714</v>
      </c>
      <c r="B118" t="s">
        <v>961</v>
      </c>
      <c r="C118">
        <v>8</v>
      </c>
      <c r="D118" t="s">
        <v>1609</v>
      </c>
      <c r="E118" t="s">
        <v>968</v>
      </c>
      <c r="F118" t="s">
        <v>1610</v>
      </c>
    </row>
    <row r="119" spans="1:6" x14ac:dyDescent="0.25">
      <c r="A119" s="19" t="s">
        <v>714</v>
      </c>
      <c r="B119" t="s">
        <v>1033</v>
      </c>
      <c r="C119">
        <v>4</v>
      </c>
      <c r="D119" t="s">
        <v>1611</v>
      </c>
      <c r="E119" t="s">
        <v>1049</v>
      </c>
      <c r="F119" t="s">
        <v>1612</v>
      </c>
    </row>
    <row r="120" spans="1:6" x14ac:dyDescent="0.25">
      <c r="A120" s="19" t="s">
        <v>714</v>
      </c>
      <c r="B120" t="s">
        <v>941</v>
      </c>
      <c r="C120">
        <v>2</v>
      </c>
      <c r="D120" t="s">
        <v>1613</v>
      </c>
      <c r="E120" t="s">
        <v>1594</v>
      </c>
      <c r="F120" t="s">
        <v>1614</v>
      </c>
    </row>
    <row r="121" spans="1:6" x14ac:dyDescent="0.25">
      <c r="A121" s="19" t="s">
        <v>704</v>
      </c>
      <c r="B121" t="s">
        <v>941</v>
      </c>
      <c r="C121">
        <v>88</v>
      </c>
      <c r="D121" t="s">
        <v>1615</v>
      </c>
      <c r="E121" t="s">
        <v>901</v>
      </c>
      <c r="F121" t="s">
        <v>956</v>
      </c>
    </row>
    <row r="122" spans="1:6" x14ac:dyDescent="0.25">
      <c r="A122" s="19" t="s">
        <v>704</v>
      </c>
      <c r="B122" t="s">
        <v>1483</v>
      </c>
      <c r="C122">
        <v>5</v>
      </c>
      <c r="D122" t="s">
        <v>1616</v>
      </c>
      <c r="E122" t="s">
        <v>1044</v>
      </c>
      <c r="F122" t="s">
        <v>1507</v>
      </c>
    </row>
    <row r="123" spans="1:6" x14ac:dyDescent="0.25">
      <c r="A123" s="19" t="s">
        <v>704</v>
      </c>
      <c r="B123" t="s">
        <v>1033</v>
      </c>
      <c r="C123">
        <v>3</v>
      </c>
      <c r="D123" t="s">
        <v>1587</v>
      </c>
      <c r="E123" t="s">
        <v>1049</v>
      </c>
      <c r="F123" t="s">
        <v>1588</v>
      </c>
    </row>
    <row r="124" spans="1:6" x14ac:dyDescent="0.25">
      <c r="A124" s="19" t="s">
        <v>704</v>
      </c>
      <c r="B124" t="s">
        <v>961</v>
      </c>
      <c r="C124">
        <v>2</v>
      </c>
      <c r="D124" t="s">
        <v>1589</v>
      </c>
      <c r="E124" t="s">
        <v>968</v>
      </c>
      <c r="F124" t="s">
        <v>1590</v>
      </c>
    </row>
    <row r="125" spans="1:6" x14ac:dyDescent="0.25">
      <c r="A125" s="19" t="s">
        <v>704</v>
      </c>
      <c r="B125" t="s">
        <v>941</v>
      </c>
      <c r="C125">
        <v>2</v>
      </c>
      <c r="D125" t="s">
        <v>1618</v>
      </c>
      <c r="E125" t="s">
        <v>1594</v>
      </c>
      <c r="F125" t="s">
        <v>1614</v>
      </c>
    </row>
    <row r="126" spans="1:6" x14ac:dyDescent="0.25">
      <c r="A126" s="19" t="s">
        <v>824</v>
      </c>
      <c r="B126" t="s">
        <v>941</v>
      </c>
      <c r="C126">
        <v>77</v>
      </c>
      <c r="D126" t="s">
        <v>1619</v>
      </c>
      <c r="E126" t="s">
        <v>901</v>
      </c>
      <c r="F126" t="s">
        <v>1620</v>
      </c>
    </row>
    <row r="127" spans="1:6" x14ac:dyDescent="0.25">
      <c r="A127" s="19" t="s">
        <v>824</v>
      </c>
      <c r="B127" t="s">
        <v>1483</v>
      </c>
      <c r="C127">
        <v>8</v>
      </c>
      <c r="D127" t="s">
        <v>1621</v>
      </c>
      <c r="E127" t="s">
        <v>1044</v>
      </c>
      <c r="F127" t="s">
        <v>1507</v>
      </c>
    </row>
    <row r="128" spans="1:6" x14ac:dyDescent="0.25">
      <c r="A128" s="19" t="s">
        <v>824</v>
      </c>
      <c r="B128" t="s">
        <v>1033</v>
      </c>
      <c r="C128">
        <v>5</v>
      </c>
      <c r="D128" t="s">
        <v>1587</v>
      </c>
      <c r="E128" t="s">
        <v>1049</v>
      </c>
      <c r="F128" t="s">
        <v>1588</v>
      </c>
    </row>
    <row r="129" spans="1:6" x14ac:dyDescent="0.25">
      <c r="A129" s="19" t="s">
        <v>824</v>
      </c>
      <c r="B129" t="s">
        <v>961</v>
      </c>
      <c r="C129">
        <v>5</v>
      </c>
      <c r="D129" t="s">
        <v>1589</v>
      </c>
      <c r="E129" t="s">
        <v>968</v>
      </c>
      <c r="F129" t="s">
        <v>1590</v>
      </c>
    </row>
    <row r="130" spans="1:6" x14ac:dyDescent="0.25">
      <c r="A130" s="19" t="s">
        <v>824</v>
      </c>
      <c r="B130" t="s">
        <v>941</v>
      </c>
      <c r="C130">
        <v>5</v>
      </c>
      <c r="D130" t="s">
        <v>1622</v>
      </c>
      <c r="E130" t="s">
        <v>1594</v>
      </c>
      <c r="F130" t="s">
        <v>1623</v>
      </c>
    </row>
    <row r="131" spans="1:6" x14ac:dyDescent="0.25">
      <c r="A131" s="19" t="s">
        <v>690</v>
      </c>
      <c r="B131" t="s">
        <v>941</v>
      </c>
      <c r="C131">
        <v>84</v>
      </c>
      <c r="D131" t="s">
        <v>1624</v>
      </c>
      <c r="E131" t="s">
        <v>901</v>
      </c>
      <c r="F131" t="s">
        <v>956</v>
      </c>
    </row>
    <row r="132" spans="1:6" x14ac:dyDescent="0.25">
      <c r="A132" s="19" t="s">
        <v>690</v>
      </c>
      <c r="B132" t="s">
        <v>1483</v>
      </c>
      <c r="C132">
        <v>7</v>
      </c>
      <c r="D132" t="s">
        <v>1625</v>
      </c>
      <c r="E132" t="s">
        <v>1044</v>
      </c>
      <c r="F132" t="s">
        <v>1598</v>
      </c>
    </row>
    <row r="133" spans="1:6" x14ac:dyDescent="0.25">
      <c r="A133" s="19" t="s">
        <v>690</v>
      </c>
      <c r="B133" t="s">
        <v>1033</v>
      </c>
      <c r="C133">
        <v>5</v>
      </c>
      <c r="D133" t="s">
        <v>1587</v>
      </c>
      <c r="E133" t="s">
        <v>1049</v>
      </c>
      <c r="F133" t="s">
        <v>1588</v>
      </c>
    </row>
    <row r="134" spans="1:6" x14ac:dyDescent="0.25">
      <c r="A134" s="19" t="s">
        <v>690</v>
      </c>
      <c r="B134" t="s">
        <v>941</v>
      </c>
      <c r="C134">
        <v>4</v>
      </c>
      <c r="D134" t="s">
        <v>1626</v>
      </c>
      <c r="E134" t="s">
        <v>1594</v>
      </c>
      <c r="F134" t="s">
        <v>1614</v>
      </c>
    </row>
    <row r="135" spans="1:6" x14ac:dyDescent="0.25">
      <c r="A135" s="19" t="s">
        <v>682</v>
      </c>
      <c r="B135" t="s">
        <v>1483</v>
      </c>
      <c r="C135">
        <v>50</v>
      </c>
      <c r="D135" t="s">
        <v>1627</v>
      </c>
      <c r="E135" t="s">
        <v>901</v>
      </c>
      <c r="F135" t="s">
        <v>1606</v>
      </c>
    </row>
    <row r="136" spans="1:6" x14ac:dyDescent="0.25">
      <c r="A136" s="19" t="s">
        <v>682</v>
      </c>
      <c r="B136" t="s">
        <v>941</v>
      </c>
      <c r="C136">
        <v>38</v>
      </c>
      <c r="D136" t="s">
        <v>1628</v>
      </c>
      <c r="E136" t="s">
        <v>1198</v>
      </c>
      <c r="F136" t="s">
        <v>1608</v>
      </c>
    </row>
    <row r="137" spans="1:6" x14ac:dyDescent="0.25">
      <c r="A137" s="19" t="s">
        <v>682</v>
      </c>
      <c r="B137" t="s">
        <v>961</v>
      </c>
      <c r="C137">
        <v>6</v>
      </c>
      <c r="D137" t="s">
        <v>1629</v>
      </c>
      <c r="E137" t="s">
        <v>968</v>
      </c>
      <c r="F137" t="s">
        <v>1590</v>
      </c>
    </row>
    <row r="138" spans="1:6" x14ac:dyDescent="0.25">
      <c r="A138" s="19" t="s">
        <v>682</v>
      </c>
      <c r="B138" t="s">
        <v>1033</v>
      </c>
      <c r="C138">
        <v>4</v>
      </c>
      <c r="D138" t="s">
        <v>1611</v>
      </c>
      <c r="E138" t="s">
        <v>1049</v>
      </c>
      <c r="F138" t="s">
        <v>1630</v>
      </c>
    </row>
    <row r="139" spans="1:6" x14ac:dyDescent="0.25">
      <c r="A139" s="19" t="s">
        <v>682</v>
      </c>
      <c r="B139" t="s">
        <v>941</v>
      </c>
      <c r="C139">
        <v>2</v>
      </c>
      <c r="D139" t="s">
        <v>1631</v>
      </c>
      <c r="E139" t="s">
        <v>1594</v>
      </c>
      <c r="F139" t="s">
        <v>1632</v>
      </c>
    </row>
    <row r="140" spans="1:6" x14ac:dyDescent="0.25">
      <c r="A140" s="19" t="s">
        <v>827</v>
      </c>
      <c r="B140" t="s">
        <v>1483</v>
      </c>
      <c r="C140">
        <v>54</v>
      </c>
      <c r="D140" t="s">
        <v>1633</v>
      </c>
      <c r="E140" t="s">
        <v>901</v>
      </c>
      <c r="F140" t="s">
        <v>1634</v>
      </c>
    </row>
    <row r="141" spans="1:6" x14ac:dyDescent="0.25">
      <c r="A141" s="19" t="s">
        <v>827</v>
      </c>
      <c r="B141" t="s">
        <v>961</v>
      </c>
      <c r="C141">
        <v>22</v>
      </c>
      <c r="D141" t="s">
        <v>1097</v>
      </c>
      <c r="E141" t="s">
        <v>1198</v>
      </c>
      <c r="F141" t="s">
        <v>1635</v>
      </c>
    </row>
    <row r="142" spans="1:6" x14ac:dyDescent="0.25">
      <c r="A142" s="19" t="s">
        <v>827</v>
      </c>
      <c r="B142" t="s">
        <v>941</v>
      </c>
      <c r="C142">
        <v>16</v>
      </c>
      <c r="D142" t="s">
        <v>1636</v>
      </c>
      <c r="E142" t="s">
        <v>1198</v>
      </c>
      <c r="F142" t="s">
        <v>1637</v>
      </c>
    </row>
    <row r="143" spans="1:6" x14ac:dyDescent="0.25">
      <c r="A143" s="19" t="s">
        <v>827</v>
      </c>
      <c r="B143" t="s">
        <v>1033</v>
      </c>
      <c r="C143">
        <v>4</v>
      </c>
      <c r="D143" t="s">
        <v>1638</v>
      </c>
      <c r="E143" t="s">
        <v>1049</v>
      </c>
      <c r="F143" t="s">
        <v>1639</v>
      </c>
    </row>
    <row r="144" spans="1:6" x14ac:dyDescent="0.25">
      <c r="A144" s="19" t="s">
        <v>827</v>
      </c>
      <c r="B144" t="s">
        <v>1483</v>
      </c>
      <c r="C144">
        <v>4</v>
      </c>
      <c r="D144" t="s">
        <v>1640</v>
      </c>
      <c r="E144" t="s">
        <v>1594</v>
      </c>
      <c r="F144" t="s">
        <v>1641</v>
      </c>
    </row>
    <row r="145" spans="1:6" x14ac:dyDescent="0.25">
      <c r="A145" s="19" t="s">
        <v>830</v>
      </c>
      <c r="B145" t="s">
        <v>941</v>
      </c>
      <c r="C145">
        <v>85</v>
      </c>
      <c r="D145" t="s">
        <v>1642</v>
      </c>
      <c r="E145" t="s">
        <v>901</v>
      </c>
      <c r="F145" t="s">
        <v>1643</v>
      </c>
    </row>
    <row r="146" spans="1:6" x14ac:dyDescent="0.25">
      <c r="A146" s="19" t="s">
        <v>830</v>
      </c>
      <c r="B146" t="s">
        <v>1483</v>
      </c>
      <c r="C146">
        <v>7</v>
      </c>
      <c r="D146" t="s">
        <v>1621</v>
      </c>
      <c r="E146" t="s">
        <v>1044</v>
      </c>
      <c r="F146" t="s">
        <v>1507</v>
      </c>
    </row>
    <row r="147" spans="1:6" x14ac:dyDescent="0.25">
      <c r="A147" s="19" t="s">
        <v>830</v>
      </c>
      <c r="B147" t="s">
        <v>961</v>
      </c>
      <c r="C147">
        <v>5</v>
      </c>
      <c r="D147" t="s">
        <v>1589</v>
      </c>
      <c r="E147" t="s">
        <v>968</v>
      </c>
      <c r="F147" t="s">
        <v>1590</v>
      </c>
    </row>
    <row r="148" spans="1:6" x14ac:dyDescent="0.25">
      <c r="A148" s="19" t="s">
        <v>830</v>
      </c>
      <c r="B148" t="s">
        <v>1033</v>
      </c>
      <c r="C148">
        <v>3</v>
      </c>
      <c r="D148" t="s">
        <v>1587</v>
      </c>
      <c r="E148" t="s">
        <v>1049</v>
      </c>
      <c r="F148" t="s">
        <v>1588</v>
      </c>
    </row>
    <row r="149" spans="1:6" x14ac:dyDescent="0.25">
      <c r="A149" s="19" t="s">
        <v>832</v>
      </c>
      <c r="B149" t="s">
        <v>941</v>
      </c>
      <c r="C149">
        <v>88</v>
      </c>
      <c r="D149" t="s">
        <v>1644</v>
      </c>
      <c r="E149" t="s">
        <v>901</v>
      </c>
      <c r="F149" t="s">
        <v>1645</v>
      </c>
    </row>
    <row r="150" spans="1:6" x14ac:dyDescent="0.25">
      <c r="A150" s="19" t="s">
        <v>832</v>
      </c>
      <c r="B150" t="s">
        <v>1483</v>
      </c>
      <c r="C150">
        <v>6</v>
      </c>
      <c r="D150" t="s">
        <v>1646</v>
      </c>
      <c r="E150" t="s">
        <v>1044</v>
      </c>
      <c r="F150" t="s">
        <v>1507</v>
      </c>
    </row>
    <row r="151" spans="1:6" x14ac:dyDescent="0.25">
      <c r="A151" s="19" t="s">
        <v>832</v>
      </c>
      <c r="B151" t="s">
        <v>1033</v>
      </c>
      <c r="C151">
        <v>6</v>
      </c>
      <c r="D151" t="s">
        <v>1587</v>
      </c>
      <c r="E151" t="s">
        <v>1049</v>
      </c>
      <c r="F151" t="s">
        <v>1588</v>
      </c>
    </row>
    <row r="152" spans="1:6" x14ac:dyDescent="0.25">
      <c r="A152" s="19" t="s">
        <v>708</v>
      </c>
      <c r="B152" t="s">
        <v>941</v>
      </c>
      <c r="C152">
        <v>88</v>
      </c>
      <c r="D152" t="s">
        <v>1647</v>
      </c>
      <c r="E152" t="s">
        <v>901</v>
      </c>
      <c r="F152" t="s">
        <v>956</v>
      </c>
    </row>
    <row r="153" spans="1:6" x14ac:dyDescent="0.25">
      <c r="A153" s="19" t="s">
        <v>708</v>
      </c>
      <c r="B153" t="s">
        <v>1483</v>
      </c>
      <c r="C153">
        <v>6</v>
      </c>
      <c r="D153" t="s">
        <v>1646</v>
      </c>
      <c r="E153" t="s">
        <v>1044</v>
      </c>
      <c r="F153" t="s">
        <v>1507</v>
      </c>
    </row>
    <row r="154" spans="1:6" x14ac:dyDescent="0.25">
      <c r="A154" s="19" t="s">
        <v>708</v>
      </c>
      <c r="B154" t="s">
        <v>1033</v>
      </c>
      <c r="C154">
        <v>6</v>
      </c>
      <c r="D154" t="s">
        <v>1587</v>
      </c>
      <c r="E154" t="s">
        <v>1049</v>
      </c>
      <c r="F154" t="s">
        <v>1588</v>
      </c>
    </row>
    <row r="155" spans="1:6" x14ac:dyDescent="0.25">
      <c r="A155" s="19" t="s">
        <v>835</v>
      </c>
      <c r="B155" t="s">
        <v>941</v>
      </c>
      <c r="C155">
        <v>88</v>
      </c>
      <c r="D155" t="s">
        <v>1648</v>
      </c>
      <c r="E155" t="s">
        <v>901</v>
      </c>
      <c r="F155" t="s">
        <v>956</v>
      </c>
    </row>
    <row r="156" spans="1:6" x14ac:dyDescent="0.25">
      <c r="A156" s="19" t="s">
        <v>835</v>
      </c>
      <c r="B156" t="s">
        <v>1483</v>
      </c>
      <c r="C156">
        <v>6</v>
      </c>
      <c r="D156" t="s">
        <v>1625</v>
      </c>
      <c r="E156" t="s">
        <v>1044</v>
      </c>
      <c r="F156" t="s">
        <v>1507</v>
      </c>
    </row>
    <row r="157" spans="1:6" x14ac:dyDescent="0.25">
      <c r="A157" s="19" t="s">
        <v>835</v>
      </c>
      <c r="B157" t="s">
        <v>1033</v>
      </c>
      <c r="C157">
        <v>4</v>
      </c>
      <c r="D157" t="s">
        <v>1587</v>
      </c>
      <c r="E157" t="s">
        <v>1049</v>
      </c>
      <c r="F157" t="s">
        <v>1588</v>
      </c>
    </row>
    <row r="158" spans="1:6" x14ac:dyDescent="0.25">
      <c r="A158" s="19" t="s">
        <v>835</v>
      </c>
      <c r="B158" t="s">
        <v>941</v>
      </c>
      <c r="C158">
        <v>2</v>
      </c>
      <c r="D158" t="s">
        <v>1649</v>
      </c>
      <c r="E158" t="s">
        <v>1594</v>
      </c>
      <c r="F158" t="s">
        <v>1650</v>
      </c>
    </row>
    <row r="159" spans="1:6" x14ac:dyDescent="0.25">
      <c r="A159" s="19" t="s">
        <v>684</v>
      </c>
      <c r="B159" t="s">
        <v>941</v>
      </c>
      <c r="C159">
        <v>87</v>
      </c>
      <c r="D159" t="s">
        <v>1651</v>
      </c>
      <c r="E159" t="s">
        <v>901</v>
      </c>
      <c r="F159" t="s">
        <v>956</v>
      </c>
    </row>
    <row r="160" spans="1:6" x14ac:dyDescent="0.25">
      <c r="A160" s="19" t="s">
        <v>684</v>
      </c>
      <c r="B160" t="s">
        <v>1483</v>
      </c>
      <c r="C160">
        <v>7</v>
      </c>
      <c r="D160" t="s">
        <v>1652</v>
      </c>
      <c r="E160" t="s">
        <v>1044</v>
      </c>
      <c r="F160" t="s">
        <v>1507</v>
      </c>
    </row>
    <row r="161" spans="1:6" x14ac:dyDescent="0.25">
      <c r="A161" s="19" t="s">
        <v>684</v>
      </c>
      <c r="B161" t="s">
        <v>1033</v>
      </c>
      <c r="C161">
        <v>4</v>
      </c>
      <c r="D161" t="s">
        <v>1587</v>
      </c>
      <c r="E161" t="s">
        <v>1049</v>
      </c>
      <c r="F161" t="s">
        <v>1588</v>
      </c>
    </row>
    <row r="162" spans="1:6" x14ac:dyDescent="0.25">
      <c r="A162" s="19" t="s">
        <v>684</v>
      </c>
      <c r="B162" t="s">
        <v>941</v>
      </c>
      <c r="C162">
        <v>2</v>
      </c>
      <c r="D162" t="s">
        <v>1653</v>
      </c>
      <c r="E162" t="s">
        <v>1594</v>
      </c>
      <c r="F162" t="s">
        <v>1650</v>
      </c>
    </row>
    <row r="163" spans="1:6" x14ac:dyDescent="0.25">
      <c r="A163" s="19" t="s">
        <v>692</v>
      </c>
      <c r="B163" t="s">
        <v>1033</v>
      </c>
      <c r="C163">
        <v>54</v>
      </c>
      <c r="D163" t="s">
        <v>1654</v>
      </c>
      <c r="E163" t="s">
        <v>901</v>
      </c>
      <c r="F163" t="s">
        <v>946</v>
      </c>
    </row>
    <row r="164" spans="1:6" x14ac:dyDescent="0.25">
      <c r="A164" s="19" t="s">
        <v>692</v>
      </c>
      <c r="B164" t="s">
        <v>941</v>
      </c>
      <c r="C164">
        <v>22</v>
      </c>
      <c r="D164" t="s">
        <v>1655</v>
      </c>
      <c r="E164" t="s">
        <v>1198</v>
      </c>
      <c r="F164" t="s">
        <v>1656</v>
      </c>
    </row>
    <row r="165" spans="1:6" x14ac:dyDescent="0.25">
      <c r="A165" s="19" t="s">
        <v>692</v>
      </c>
      <c r="B165" t="s">
        <v>1483</v>
      </c>
      <c r="C165">
        <v>10</v>
      </c>
      <c r="D165" t="s">
        <v>1657</v>
      </c>
      <c r="E165" t="s">
        <v>1198</v>
      </c>
      <c r="F165" t="s">
        <v>1658</v>
      </c>
    </row>
    <row r="166" spans="1:6" x14ac:dyDescent="0.25">
      <c r="A166" s="19" t="s">
        <v>692</v>
      </c>
      <c r="B166" t="s">
        <v>1557</v>
      </c>
      <c r="C166">
        <v>6</v>
      </c>
      <c r="D166" t="s">
        <v>1659</v>
      </c>
      <c r="E166" t="s">
        <v>911</v>
      </c>
      <c r="F166" t="s">
        <v>1660</v>
      </c>
    </row>
    <row r="167" spans="1:6" x14ac:dyDescent="0.25">
      <c r="A167" s="19" t="s">
        <v>692</v>
      </c>
      <c r="B167" t="s">
        <v>1138</v>
      </c>
      <c r="C167">
        <v>4</v>
      </c>
      <c r="D167" t="s">
        <v>1661</v>
      </c>
      <c r="E167" t="s">
        <v>911</v>
      </c>
      <c r="F167" t="s">
        <v>1662</v>
      </c>
    </row>
    <row r="168" spans="1:6" x14ac:dyDescent="0.25">
      <c r="A168" s="19" t="s">
        <v>692</v>
      </c>
      <c r="B168" t="s">
        <v>1033</v>
      </c>
      <c r="C168">
        <v>4</v>
      </c>
      <c r="D168" t="s">
        <v>1663</v>
      </c>
      <c r="E168" t="s">
        <v>1594</v>
      </c>
      <c r="F168" t="s">
        <v>1664</v>
      </c>
    </row>
    <row r="169" spans="1:6" x14ac:dyDescent="0.25">
      <c r="A169" s="19" t="s">
        <v>1665</v>
      </c>
      <c r="B169" t="s">
        <v>1033</v>
      </c>
      <c r="C169">
        <v>80</v>
      </c>
      <c r="D169" t="s">
        <v>1666</v>
      </c>
      <c r="E169" t="s">
        <v>901</v>
      </c>
      <c r="F169" t="s">
        <v>956</v>
      </c>
    </row>
    <row r="170" spans="1:6" x14ac:dyDescent="0.25">
      <c r="A170" s="19" t="s">
        <v>1665</v>
      </c>
      <c r="B170" t="s">
        <v>1557</v>
      </c>
      <c r="C170">
        <v>6</v>
      </c>
      <c r="D170" t="s">
        <v>1667</v>
      </c>
      <c r="E170" t="s">
        <v>911</v>
      </c>
      <c r="F170" t="s">
        <v>1501</v>
      </c>
    </row>
    <row r="171" spans="1:6" x14ac:dyDescent="0.25">
      <c r="A171" s="19" t="s">
        <v>1665</v>
      </c>
      <c r="B171" t="s">
        <v>1138</v>
      </c>
      <c r="C171">
        <v>4</v>
      </c>
      <c r="D171" t="s">
        <v>1668</v>
      </c>
      <c r="E171" t="s">
        <v>911</v>
      </c>
      <c r="F171" t="s">
        <v>1669</v>
      </c>
    </row>
    <row r="172" spans="1:6" x14ac:dyDescent="0.25">
      <c r="A172" s="19" t="s">
        <v>1665</v>
      </c>
      <c r="B172" t="s">
        <v>941</v>
      </c>
      <c r="C172">
        <v>4</v>
      </c>
      <c r="D172" t="s">
        <v>1670</v>
      </c>
      <c r="E172" t="s">
        <v>911</v>
      </c>
      <c r="F172" t="s">
        <v>1671</v>
      </c>
    </row>
    <row r="173" spans="1:6" x14ac:dyDescent="0.25">
      <c r="A173" s="19" t="s">
        <v>1665</v>
      </c>
      <c r="B173" t="s">
        <v>916</v>
      </c>
      <c r="C173">
        <v>2</v>
      </c>
      <c r="D173" t="s">
        <v>1672</v>
      </c>
      <c r="E173" t="s">
        <v>911</v>
      </c>
      <c r="F173" t="s">
        <v>1673</v>
      </c>
    </row>
    <row r="174" spans="1:6" x14ac:dyDescent="0.25">
      <c r="A174" s="19" t="s">
        <v>1665</v>
      </c>
      <c r="B174" t="s">
        <v>1033</v>
      </c>
      <c r="C174">
        <v>4</v>
      </c>
      <c r="D174" t="s">
        <v>1674</v>
      </c>
      <c r="E174" t="s">
        <v>1594</v>
      </c>
      <c r="F174" t="s">
        <v>1675</v>
      </c>
    </row>
    <row r="175" spans="1:6" x14ac:dyDescent="0.25">
      <c r="A175" s="19" t="s">
        <v>686</v>
      </c>
      <c r="B175" t="s">
        <v>1033</v>
      </c>
      <c r="C175">
        <v>84</v>
      </c>
      <c r="D175" t="s">
        <v>1676</v>
      </c>
      <c r="E175" t="s">
        <v>901</v>
      </c>
      <c r="F175" t="s">
        <v>956</v>
      </c>
    </row>
    <row r="176" spans="1:6" x14ac:dyDescent="0.25">
      <c r="A176" s="19" t="s">
        <v>686</v>
      </c>
      <c r="B176" t="s">
        <v>941</v>
      </c>
      <c r="C176">
        <v>4</v>
      </c>
      <c r="D176" t="s">
        <v>1677</v>
      </c>
      <c r="E176" t="s">
        <v>911</v>
      </c>
      <c r="F176" t="s">
        <v>1671</v>
      </c>
    </row>
    <row r="177" spans="1:6" x14ac:dyDescent="0.25">
      <c r="A177" s="19" t="s">
        <v>686</v>
      </c>
      <c r="B177" t="s">
        <v>1557</v>
      </c>
      <c r="C177">
        <v>4</v>
      </c>
      <c r="D177" t="s">
        <v>1667</v>
      </c>
      <c r="E177" t="s">
        <v>911</v>
      </c>
      <c r="F177" t="s">
        <v>1501</v>
      </c>
    </row>
    <row r="178" spans="1:6" x14ac:dyDescent="0.25">
      <c r="A178" s="19" t="s">
        <v>686</v>
      </c>
      <c r="B178" t="s">
        <v>1138</v>
      </c>
      <c r="C178">
        <v>2</v>
      </c>
      <c r="D178" t="s">
        <v>1668</v>
      </c>
      <c r="E178" t="s">
        <v>911</v>
      </c>
      <c r="F178" t="s">
        <v>1669</v>
      </c>
    </row>
    <row r="179" spans="1:6" x14ac:dyDescent="0.25">
      <c r="A179" s="19" t="s">
        <v>686</v>
      </c>
      <c r="B179" t="s">
        <v>1033</v>
      </c>
      <c r="C179">
        <v>6</v>
      </c>
      <c r="D179" t="s">
        <v>1678</v>
      </c>
      <c r="E179" t="s">
        <v>1594</v>
      </c>
      <c r="F179" t="s">
        <v>1675</v>
      </c>
    </row>
    <row r="180" spans="1:6" x14ac:dyDescent="0.25">
      <c r="A180" s="19" t="s">
        <v>838</v>
      </c>
      <c r="B180" t="s">
        <v>1033</v>
      </c>
      <c r="C180">
        <v>68</v>
      </c>
      <c r="D180" t="s">
        <v>1679</v>
      </c>
      <c r="E180" t="s">
        <v>901</v>
      </c>
      <c r="F180" t="s">
        <v>1680</v>
      </c>
    </row>
    <row r="181" spans="1:6" x14ac:dyDescent="0.25">
      <c r="A181" s="19" t="s">
        <v>838</v>
      </c>
      <c r="B181" t="s">
        <v>1483</v>
      </c>
      <c r="C181">
        <v>12</v>
      </c>
      <c r="D181" t="s">
        <v>1681</v>
      </c>
      <c r="E181" t="s">
        <v>1044</v>
      </c>
      <c r="F181" t="s">
        <v>1507</v>
      </c>
    </row>
    <row r="182" spans="1:6" x14ac:dyDescent="0.25">
      <c r="A182" s="19" t="s">
        <v>838</v>
      </c>
      <c r="B182" t="s">
        <v>1557</v>
      </c>
      <c r="C182">
        <v>8</v>
      </c>
      <c r="D182" t="s">
        <v>1682</v>
      </c>
      <c r="E182" t="s">
        <v>911</v>
      </c>
      <c r="F182" t="s">
        <v>1501</v>
      </c>
    </row>
    <row r="183" spans="1:6" x14ac:dyDescent="0.25">
      <c r="A183" s="19" t="s">
        <v>838</v>
      </c>
      <c r="B183" t="s">
        <v>941</v>
      </c>
      <c r="C183">
        <v>6</v>
      </c>
      <c r="D183" t="s">
        <v>1670</v>
      </c>
      <c r="E183" t="s">
        <v>911</v>
      </c>
      <c r="F183" t="s">
        <v>1671</v>
      </c>
    </row>
    <row r="184" spans="1:6" x14ac:dyDescent="0.25">
      <c r="A184" s="19" t="s">
        <v>838</v>
      </c>
      <c r="B184" t="s">
        <v>1138</v>
      </c>
      <c r="C184">
        <v>4</v>
      </c>
      <c r="D184" t="s">
        <v>1683</v>
      </c>
      <c r="E184" t="s">
        <v>911</v>
      </c>
      <c r="F184" t="s">
        <v>1669</v>
      </c>
    </row>
    <row r="185" spans="1:6" x14ac:dyDescent="0.25">
      <c r="A185" s="19" t="s">
        <v>838</v>
      </c>
      <c r="B185" t="s">
        <v>1033</v>
      </c>
      <c r="C185">
        <v>2</v>
      </c>
      <c r="D185" t="s">
        <v>1684</v>
      </c>
      <c r="E185" t="s">
        <v>1594</v>
      </c>
      <c r="F185" t="s">
        <v>1685</v>
      </c>
    </row>
    <row r="186" spans="1:6" x14ac:dyDescent="0.25">
      <c r="A186" s="19" t="s">
        <v>841</v>
      </c>
      <c r="B186" t="s">
        <v>1033</v>
      </c>
      <c r="C186">
        <v>84</v>
      </c>
      <c r="D186" t="s">
        <v>1686</v>
      </c>
      <c r="E186" t="s">
        <v>901</v>
      </c>
      <c r="F186" t="s">
        <v>1687</v>
      </c>
    </row>
    <row r="187" spans="1:6" x14ac:dyDescent="0.25">
      <c r="A187" s="19" t="s">
        <v>841</v>
      </c>
      <c r="B187" t="s">
        <v>941</v>
      </c>
      <c r="C187">
        <v>4</v>
      </c>
      <c r="D187" t="s">
        <v>1677</v>
      </c>
      <c r="E187" t="s">
        <v>911</v>
      </c>
      <c r="F187" t="s">
        <v>1671</v>
      </c>
    </row>
    <row r="188" spans="1:6" x14ac:dyDescent="0.25">
      <c r="A188" s="19" t="s">
        <v>841</v>
      </c>
      <c r="B188" t="s">
        <v>1557</v>
      </c>
      <c r="C188">
        <v>4</v>
      </c>
      <c r="D188" t="s">
        <v>1667</v>
      </c>
      <c r="E188" t="s">
        <v>911</v>
      </c>
      <c r="F188" t="s">
        <v>1501</v>
      </c>
    </row>
    <row r="189" spans="1:6" x14ac:dyDescent="0.25">
      <c r="A189" s="19" t="s">
        <v>841</v>
      </c>
      <c r="B189" t="s">
        <v>1138</v>
      </c>
      <c r="C189">
        <v>2</v>
      </c>
      <c r="D189" t="s">
        <v>1668</v>
      </c>
      <c r="E189" t="s">
        <v>911</v>
      </c>
      <c r="F189" t="s">
        <v>1669</v>
      </c>
    </row>
    <row r="190" spans="1:6" x14ac:dyDescent="0.25">
      <c r="A190" s="19" t="s">
        <v>841</v>
      </c>
      <c r="B190" t="s">
        <v>1033</v>
      </c>
      <c r="C190">
        <v>6</v>
      </c>
      <c r="D190" t="s">
        <v>1688</v>
      </c>
      <c r="E190" t="s">
        <v>1594</v>
      </c>
      <c r="F190" t="s">
        <v>1689</v>
      </c>
    </row>
    <row r="191" spans="1:6" x14ac:dyDescent="0.25">
      <c r="A191" s="19" t="s">
        <v>844</v>
      </c>
      <c r="B191" t="s">
        <v>1033</v>
      </c>
      <c r="C191">
        <v>62</v>
      </c>
      <c r="D191" t="s">
        <v>1690</v>
      </c>
      <c r="E191" t="s">
        <v>901</v>
      </c>
      <c r="F191" t="s">
        <v>1691</v>
      </c>
    </row>
    <row r="192" spans="1:6" x14ac:dyDescent="0.25">
      <c r="A192" s="19" t="s">
        <v>844</v>
      </c>
      <c r="B192" t="s">
        <v>941</v>
      </c>
      <c r="C192">
        <v>18</v>
      </c>
      <c r="D192" t="s">
        <v>1692</v>
      </c>
      <c r="E192" t="s">
        <v>911</v>
      </c>
      <c r="F192" t="s">
        <v>1671</v>
      </c>
    </row>
    <row r="193" spans="1:6" x14ac:dyDescent="0.25">
      <c r="A193" s="19" t="s">
        <v>844</v>
      </c>
      <c r="B193" t="s">
        <v>1042</v>
      </c>
      <c r="C193">
        <v>8</v>
      </c>
      <c r="D193" t="s">
        <v>1693</v>
      </c>
      <c r="E193" t="s">
        <v>909</v>
      </c>
      <c r="F193" t="s">
        <v>1694</v>
      </c>
    </row>
    <row r="194" spans="1:6" x14ac:dyDescent="0.25">
      <c r="A194" s="19" t="s">
        <v>844</v>
      </c>
      <c r="B194" t="s">
        <v>1138</v>
      </c>
      <c r="C194">
        <v>4</v>
      </c>
      <c r="D194" t="s">
        <v>1668</v>
      </c>
      <c r="E194" t="s">
        <v>911</v>
      </c>
      <c r="F194" t="s">
        <v>1669</v>
      </c>
    </row>
    <row r="195" spans="1:6" x14ac:dyDescent="0.25">
      <c r="A195" s="19" t="s">
        <v>844</v>
      </c>
      <c r="B195" t="s">
        <v>1557</v>
      </c>
      <c r="C195">
        <v>4</v>
      </c>
      <c r="D195" t="s">
        <v>1667</v>
      </c>
      <c r="E195" t="s">
        <v>911</v>
      </c>
      <c r="F195" t="s">
        <v>1501</v>
      </c>
    </row>
    <row r="196" spans="1:6" x14ac:dyDescent="0.25">
      <c r="A196" s="19" t="s">
        <v>844</v>
      </c>
      <c r="B196" t="s">
        <v>1033</v>
      </c>
      <c r="C196">
        <v>4</v>
      </c>
      <c r="D196" t="s">
        <v>1690</v>
      </c>
      <c r="E196" t="s">
        <v>1594</v>
      </c>
      <c r="F196" t="s">
        <v>1695</v>
      </c>
    </row>
    <row r="197" spans="1:6" x14ac:dyDescent="0.25">
      <c r="A197" s="19" t="s">
        <v>680</v>
      </c>
      <c r="B197" t="s">
        <v>1033</v>
      </c>
      <c r="C197">
        <v>57</v>
      </c>
      <c r="D197" t="s">
        <v>1696</v>
      </c>
      <c r="E197" t="s">
        <v>901</v>
      </c>
      <c r="F197" t="s">
        <v>1697</v>
      </c>
    </row>
    <row r="198" spans="1:6" x14ac:dyDescent="0.25">
      <c r="A198" s="19" t="s">
        <v>680</v>
      </c>
      <c r="B198" t="s">
        <v>1138</v>
      </c>
      <c r="C198">
        <v>22</v>
      </c>
      <c r="D198" t="s">
        <v>1698</v>
      </c>
      <c r="E198" t="s">
        <v>1198</v>
      </c>
      <c r="F198" t="s">
        <v>1699</v>
      </c>
    </row>
    <row r="199" spans="1:6" x14ac:dyDescent="0.25">
      <c r="A199" s="19" t="s">
        <v>680</v>
      </c>
      <c r="B199" t="s">
        <v>1557</v>
      </c>
      <c r="C199">
        <v>5</v>
      </c>
      <c r="D199" t="s">
        <v>1700</v>
      </c>
      <c r="E199" t="s">
        <v>911</v>
      </c>
      <c r="F199" t="s">
        <v>1501</v>
      </c>
    </row>
    <row r="200" spans="1:6" x14ac:dyDescent="0.25">
      <c r="A200" s="19" t="s">
        <v>680</v>
      </c>
      <c r="B200" t="s">
        <v>941</v>
      </c>
      <c r="C200">
        <v>3</v>
      </c>
      <c r="D200" t="s">
        <v>1670</v>
      </c>
      <c r="E200" t="s">
        <v>911</v>
      </c>
      <c r="F200" t="s">
        <v>1671</v>
      </c>
    </row>
    <row r="201" spans="1:6" x14ac:dyDescent="0.25">
      <c r="A201" s="19" t="s">
        <v>680</v>
      </c>
      <c r="B201" t="s">
        <v>1033</v>
      </c>
      <c r="C201">
        <v>13</v>
      </c>
      <c r="D201" t="s">
        <v>1701</v>
      </c>
      <c r="E201" t="s">
        <v>1594</v>
      </c>
      <c r="F201" t="s">
        <v>1702</v>
      </c>
    </row>
    <row r="202" spans="1:6" x14ac:dyDescent="0.25">
      <c r="A202" s="19" t="s">
        <v>716</v>
      </c>
      <c r="B202" t="s">
        <v>1138</v>
      </c>
      <c r="C202">
        <v>68</v>
      </c>
      <c r="D202" t="s">
        <v>1703</v>
      </c>
      <c r="E202" t="s">
        <v>901</v>
      </c>
      <c r="F202" t="s">
        <v>956</v>
      </c>
    </row>
    <row r="203" spans="1:6" x14ac:dyDescent="0.25">
      <c r="A203" s="19" t="s">
        <v>716</v>
      </c>
      <c r="B203" t="s">
        <v>1557</v>
      </c>
      <c r="C203">
        <v>14</v>
      </c>
      <c r="D203" t="s">
        <v>1704</v>
      </c>
      <c r="E203" t="s">
        <v>911</v>
      </c>
      <c r="F203" t="s">
        <v>1501</v>
      </c>
    </row>
    <row r="204" spans="1:6" x14ac:dyDescent="0.25">
      <c r="A204" s="19" t="s">
        <v>716</v>
      </c>
      <c r="B204" t="s">
        <v>1033</v>
      </c>
      <c r="C204">
        <v>7</v>
      </c>
      <c r="D204" t="s">
        <v>1705</v>
      </c>
      <c r="E204" t="s">
        <v>911</v>
      </c>
      <c r="F204" t="s">
        <v>1706</v>
      </c>
    </row>
    <row r="205" spans="1:6" x14ac:dyDescent="0.25">
      <c r="A205" s="19" t="s">
        <v>716</v>
      </c>
      <c r="B205" t="s">
        <v>916</v>
      </c>
      <c r="C205">
        <v>5</v>
      </c>
      <c r="D205" t="s">
        <v>1672</v>
      </c>
      <c r="E205" t="s">
        <v>911</v>
      </c>
      <c r="F205" t="s">
        <v>1707</v>
      </c>
    </row>
    <row r="206" spans="1:6" x14ac:dyDescent="0.25">
      <c r="A206" s="19" t="s">
        <v>716</v>
      </c>
      <c r="B206" t="s">
        <v>1565</v>
      </c>
      <c r="C206">
        <v>3</v>
      </c>
      <c r="D206" t="s">
        <v>1708</v>
      </c>
      <c r="E206" t="s">
        <v>911</v>
      </c>
      <c r="F206" t="s">
        <v>1707</v>
      </c>
    </row>
    <row r="207" spans="1:6" x14ac:dyDescent="0.25">
      <c r="A207" s="19" t="s">
        <v>716</v>
      </c>
      <c r="B207" t="s">
        <v>1138</v>
      </c>
      <c r="C207">
        <v>3</v>
      </c>
      <c r="D207" t="s">
        <v>1709</v>
      </c>
      <c r="E207" t="s">
        <v>1594</v>
      </c>
      <c r="F207" t="s">
        <v>1710</v>
      </c>
    </row>
    <row r="208" spans="1:6" x14ac:dyDescent="0.25">
      <c r="A208" s="19" t="s">
        <v>694</v>
      </c>
      <c r="B208" t="s">
        <v>960</v>
      </c>
      <c r="C208">
        <v>45</v>
      </c>
      <c r="D208" t="s">
        <v>1711</v>
      </c>
      <c r="E208" t="s">
        <v>901</v>
      </c>
      <c r="F208" t="s">
        <v>1712</v>
      </c>
    </row>
    <row r="209" spans="1:6" x14ac:dyDescent="0.25">
      <c r="A209" s="19" t="s">
        <v>694</v>
      </c>
      <c r="B209" t="s">
        <v>941</v>
      </c>
      <c r="C209">
        <v>45</v>
      </c>
      <c r="D209" t="s">
        <v>1713</v>
      </c>
      <c r="E209" t="s">
        <v>1198</v>
      </c>
      <c r="F209" t="s">
        <v>1714</v>
      </c>
    </row>
    <row r="210" spans="1:6" x14ac:dyDescent="0.25">
      <c r="A210" s="19" t="s">
        <v>694</v>
      </c>
      <c r="B210" t="s">
        <v>961</v>
      </c>
      <c r="C210">
        <v>4</v>
      </c>
      <c r="D210" t="s">
        <v>1589</v>
      </c>
      <c r="E210" t="s">
        <v>968</v>
      </c>
      <c r="F210" t="s">
        <v>1507</v>
      </c>
    </row>
    <row r="211" spans="1:6" x14ac:dyDescent="0.25">
      <c r="A211" s="19" t="s">
        <v>694</v>
      </c>
      <c r="B211" t="s">
        <v>1033</v>
      </c>
      <c r="C211">
        <v>3</v>
      </c>
      <c r="D211" t="s">
        <v>1587</v>
      </c>
      <c r="E211" t="s">
        <v>1049</v>
      </c>
      <c r="F211" t="s">
        <v>1574</v>
      </c>
    </row>
    <row r="212" spans="1:6" x14ac:dyDescent="0.25">
      <c r="A212" s="19" t="s">
        <v>694</v>
      </c>
      <c r="B212" t="s">
        <v>941</v>
      </c>
      <c r="C212">
        <v>3</v>
      </c>
      <c r="D212" t="s">
        <v>1715</v>
      </c>
      <c r="E212" t="s">
        <v>1594</v>
      </c>
      <c r="F212" t="s">
        <v>1716</v>
      </c>
    </row>
    <row r="213" spans="1:6" x14ac:dyDescent="0.25">
      <c r="A213" s="19" t="s">
        <v>847</v>
      </c>
      <c r="B213" t="s">
        <v>960</v>
      </c>
      <c r="C213">
        <v>46</v>
      </c>
      <c r="D213" t="s">
        <v>1717</v>
      </c>
      <c r="E213" t="s">
        <v>901</v>
      </c>
      <c r="F213" t="s">
        <v>1718</v>
      </c>
    </row>
    <row r="214" spans="1:6" x14ac:dyDescent="0.25">
      <c r="A214" s="19" t="s">
        <v>847</v>
      </c>
      <c r="B214" t="s">
        <v>1033</v>
      </c>
      <c r="C214">
        <v>40</v>
      </c>
      <c r="D214" t="s">
        <v>1719</v>
      </c>
      <c r="E214" t="s">
        <v>1198</v>
      </c>
      <c r="F214" t="s">
        <v>1720</v>
      </c>
    </row>
    <row r="215" spans="1:6" x14ac:dyDescent="0.25">
      <c r="A215" s="19" t="s">
        <v>847</v>
      </c>
      <c r="B215" t="s">
        <v>941</v>
      </c>
      <c r="C215">
        <v>10</v>
      </c>
      <c r="D215" t="s">
        <v>1721</v>
      </c>
      <c r="E215" t="s">
        <v>911</v>
      </c>
      <c r="F215" t="s">
        <v>1671</v>
      </c>
    </row>
    <row r="216" spans="1:6" x14ac:dyDescent="0.25">
      <c r="A216" s="19" t="s">
        <v>847</v>
      </c>
      <c r="B216" t="s">
        <v>1138</v>
      </c>
      <c r="C216">
        <v>2</v>
      </c>
      <c r="D216" t="s">
        <v>1722</v>
      </c>
      <c r="E216" t="s">
        <v>911</v>
      </c>
      <c r="F216" t="s">
        <v>1669</v>
      </c>
    </row>
    <row r="217" spans="1:6" x14ac:dyDescent="0.25">
      <c r="A217" s="19" t="s">
        <v>847</v>
      </c>
      <c r="B217" t="s">
        <v>1033</v>
      </c>
      <c r="C217">
        <v>2</v>
      </c>
      <c r="D217" t="s">
        <v>1723</v>
      </c>
      <c r="E217" t="s">
        <v>1594</v>
      </c>
      <c r="F217" t="s">
        <v>1724</v>
      </c>
    </row>
    <row r="218" spans="1:6" x14ac:dyDescent="0.25">
      <c r="A218" s="19" t="s">
        <v>854</v>
      </c>
      <c r="B218" t="s">
        <v>1138</v>
      </c>
      <c r="C218">
        <v>75</v>
      </c>
      <c r="D218" t="s">
        <v>1725</v>
      </c>
      <c r="E218" t="s">
        <v>901</v>
      </c>
      <c r="F218" t="s">
        <v>946</v>
      </c>
    </row>
    <row r="219" spans="1:6" x14ac:dyDescent="0.25">
      <c r="A219" s="19" t="s">
        <v>854</v>
      </c>
      <c r="B219" t="s">
        <v>1557</v>
      </c>
      <c r="C219">
        <v>8</v>
      </c>
      <c r="D219" t="s">
        <v>1726</v>
      </c>
      <c r="E219" t="s">
        <v>911</v>
      </c>
      <c r="F219" t="s">
        <v>1501</v>
      </c>
    </row>
    <row r="220" spans="1:6" x14ac:dyDescent="0.25">
      <c r="A220" s="19" t="s">
        <v>854</v>
      </c>
      <c r="B220" t="s">
        <v>941</v>
      </c>
      <c r="C220">
        <v>4</v>
      </c>
      <c r="D220" t="s">
        <v>1727</v>
      </c>
      <c r="E220" t="s">
        <v>911</v>
      </c>
      <c r="F220" t="s">
        <v>1728</v>
      </c>
    </row>
    <row r="221" spans="1:6" x14ac:dyDescent="0.25">
      <c r="A221" s="19" t="s">
        <v>854</v>
      </c>
      <c r="B221" t="s">
        <v>916</v>
      </c>
      <c r="C221">
        <v>3</v>
      </c>
      <c r="D221" t="s">
        <v>1672</v>
      </c>
      <c r="E221" t="s">
        <v>911</v>
      </c>
      <c r="F221" t="s">
        <v>1729</v>
      </c>
    </row>
    <row r="222" spans="1:6" x14ac:dyDescent="0.25">
      <c r="A222" s="19" t="s">
        <v>854</v>
      </c>
      <c r="B222" t="s">
        <v>1565</v>
      </c>
      <c r="C222">
        <v>2</v>
      </c>
      <c r="D222" t="s">
        <v>1730</v>
      </c>
      <c r="E222" t="s">
        <v>911</v>
      </c>
      <c r="F222" t="s">
        <v>1731</v>
      </c>
    </row>
    <row r="223" spans="1:6" x14ac:dyDescent="0.25">
      <c r="A223" s="19" t="s">
        <v>854</v>
      </c>
      <c r="B223" t="s">
        <v>1025</v>
      </c>
      <c r="C223">
        <v>6</v>
      </c>
      <c r="D223" t="s">
        <v>1732</v>
      </c>
      <c r="E223" t="s">
        <v>909</v>
      </c>
      <c r="F223" t="s">
        <v>1733</v>
      </c>
    </row>
    <row r="224" spans="1:6" x14ac:dyDescent="0.25">
      <c r="A224" s="19" t="s">
        <v>854</v>
      </c>
      <c r="B224" t="s">
        <v>1138</v>
      </c>
      <c r="C224">
        <v>2</v>
      </c>
      <c r="D224" t="s">
        <v>1734</v>
      </c>
      <c r="E224" t="s">
        <v>1594</v>
      </c>
      <c r="F224" t="s">
        <v>1735</v>
      </c>
    </row>
    <row r="225" spans="1:6" x14ac:dyDescent="0.25">
      <c r="A225" s="19" t="s">
        <v>850</v>
      </c>
      <c r="B225" t="s">
        <v>1138</v>
      </c>
      <c r="C225">
        <v>74</v>
      </c>
      <c r="D225" t="s">
        <v>1736</v>
      </c>
      <c r="E225" t="s">
        <v>901</v>
      </c>
      <c r="F225" t="s">
        <v>1737</v>
      </c>
    </row>
    <row r="226" spans="1:6" x14ac:dyDescent="0.25">
      <c r="A226" s="19" t="s">
        <v>850</v>
      </c>
      <c r="B226" t="s">
        <v>1033</v>
      </c>
      <c r="C226">
        <v>12</v>
      </c>
      <c r="D226" t="s">
        <v>1738</v>
      </c>
      <c r="E226" t="s">
        <v>911</v>
      </c>
      <c r="F226" t="s">
        <v>1507</v>
      </c>
    </row>
    <row r="227" spans="1:6" x14ac:dyDescent="0.25">
      <c r="A227" s="19" t="s">
        <v>850</v>
      </c>
      <c r="B227" t="s">
        <v>1557</v>
      </c>
      <c r="C227">
        <v>6</v>
      </c>
      <c r="D227" t="s">
        <v>1739</v>
      </c>
      <c r="E227" t="s">
        <v>911</v>
      </c>
      <c r="F227" t="s">
        <v>1501</v>
      </c>
    </row>
    <row r="228" spans="1:6" x14ac:dyDescent="0.25">
      <c r="A228" s="19" t="s">
        <v>850</v>
      </c>
      <c r="B228" t="s">
        <v>1025</v>
      </c>
      <c r="C228">
        <v>2</v>
      </c>
      <c r="D228" t="s">
        <v>1740</v>
      </c>
      <c r="E228" t="s">
        <v>909</v>
      </c>
      <c r="F228" t="s">
        <v>1733</v>
      </c>
    </row>
    <row r="229" spans="1:6" x14ac:dyDescent="0.25">
      <c r="A229" s="19" t="s">
        <v>850</v>
      </c>
      <c r="B229" t="s">
        <v>941</v>
      </c>
      <c r="C229">
        <v>2</v>
      </c>
      <c r="D229" t="s">
        <v>1727</v>
      </c>
      <c r="E229" t="s">
        <v>911</v>
      </c>
      <c r="F229" t="s">
        <v>1728</v>
      </c>
    </row>
    <row r="230" spans="1:6" x14ac:dyDescent="0.25">
      <c r="A230" s="19" t="s">
        <v>850</v>
      </c>
      <c r="B230" t="s">
        <v>1138</v>
      </c>
      <c r="C230">
        <v>4</v>
      </c>
      <c r="D230" t="s">
        <v>1741</v>
      </c>
      <c r="E230" t="s">
        <v>1594</v>
      </c>
      <c r="F230" t="s">
        <v>1695</v>
      </c>
    </row>
    <row r="231" spans="1:6" x14ac:dyDescent="0.25">
      <c r="A231" s="19" t="s">
        <v>853</v>
      </c>
      <c r="B231" t="s">
        <v>1138</v>
      </c>
      <c r="C231">
        <v>88</v>
      </c>
      <c r="D231" t="s">
        <v>1742</v>
      </c>
      <c r="E231" t="s">
        <v>901</v>
      </c>
      <c r="F231" t="s">
        <v>1743</v>
      </c>
    </row>
    <row r="232" spans="1:6" x14ac:dyDescent="0.25">
      <c r="A232" s="19" t="s">
        <v>853</v>
      </c>
      <c r="B232" t="s">
        <v>1557</v>
      </c>
      <c r="C232">
        <v>6</v>
      </c>
      <c r="D232" t="s">
        <v>1739</v>
      </c>
      <c r="E232" t="s">
        <v>911</v>
      </c>
      <c r="F232" t="s">
        <v>1501</v>
      </c>
    </row>
    <row r="233" spans="1:6" x14ac:dyDescent="0.25">
      <c r="A233" s="19" t="s">
        <v>853</v>
      </c>
      <c r="B233" t="s">
        <v>1033</v>
      </c>
      <c r="C233">
        <v>4</v>
      </c>
      <c r="D233" t="s">
        <v>1744</v>
      </c>
      <c r="E233" t="s">
        <v>911</v>
      </c>
      <c r="F233" t="s">
        <v>1507</v>
      </c>
    </row>
    <row r="234" spans="1:6" x14ac:dyDescent="0.25">
      <c r="A234" s="19" t="s">
        <v>853</v>
      </c>
      <c r="B234" t="s">
        <v>1138</v>
      </c>
      <c r="C234">
        <v>2</v>
      </c>
      <c r="D234" t="s">
        <v>1745</v>
      </c>
      <c r="E234" t="s">
        <v>1594</v>
      </c>
      <c r="F234" t="s">
        <v>1710</v>
      </c>
    </row>
    <row r="235" spans="1:6" x14ac:dyDescent="0.25">
      <c r="A235" s="19" t="s">
        <v>738</v>
      </c>
      <c r="B235" t="s">
        <v>1138</v>
      </c>
      <c r="C235">
        <v>73</v>
      </c>
      <c r="D235" t="s">
        <v>1746</v>
      </c>
      <c r="E235" t="s">
        <v>901</v>
      </c>
      <c r="F235" t="s">
        <v>946</v>
      </c>
    </row>
    <row r="236" spans="1:6" x14ac:dyDescent="0.25">
      <c r="A236" s="19" t="s">
        <v>738</v>
      </c>
      <c r="B236" t="s">
        <v>1557</v>
      </c>
      <c r="C236">
        <v>17</v>
      </c>
      <c r="D236" t="s">
        <v>1747</v>
      </c>
      <c r="E236" t="s">
        <v>911</v>
      </c>
      <c r="F236" t="s">
        <v>1501</v>
      </c>
    </row>
    <row r="237" spans="1:6" x14ac:dyDescent="0.25">
      <c r="A237" s="19" t="s">
        <v>738</v>
      </c>
      <c r="B237" t="s">
        <v>1033</v>
      </c>
      <c r="C237">
        <v>8</v>
      </c>
      <c r="D237" t="s">
        <v>1744</v>
      </c>
      <c r="E237" t="s">
        <v>911</v>
      </c>
      <c r="F237" t="s">
        <v>1507</v>
      </c>
    </row>
    <row r="238" spans="1:6" x14ac:dyDescent="0.25">
      <c r="A238" s="19" t="s">
        <v>738</v>
      </c>
      <c r="B238" t="s">
        <v>941</v>
      </c>
      <c r="C238">
        <v>2</v>
      </c>
      <c r="D238" t="s">
        <v>1727</v>
      </c>
      <c r="E238" t="s">
        <v>911</v>
      </c>
      <c r="F238" t="s">
        <v>1728</v>
      </c>
    </row>
    <row r="239" spans="1:6" x14ac:dyDescent="0.25">
      <c r="A239" s="19" t="s">
        <v>736</v>
      </c>
      <c r="B239" t="s">
        <v>1138</v>
      </c>
      <c r="C239">
        <v>68</v>
      </c>
      <c r="D239" t="s">
        <v>1748</v>
      </c>
      <c r="E239" t="s">
        <v>901</v>
      </c>
      <c r="F239" t="s">
        <v>946</v>
      </c>
    </row>
    <row r="240" spans="1:6" x14ac:dyDescent="0.25">
      <c r="A240" s="19" t="s">
        <v>736</v>
      </c>
      <c r="B240" t="s">
        <v>1557</v>
      </c>
      <c r="C240">
        <v>10</v>
      </c>
      <c r="D240" t="s">
        <v>1704</v>
      </c>
      <c r="E240" t="s">
        <v>911</v>
      </c>
      <c r="F240" t="s">
        <v>1501</v>
      </c>
    </row>
    <row r="241" spans="1:6" x14ac:dyDescent="0.25">
      <c r="A241" s="19" t="s">
        <v>736</v>
      </c>
      <c r="B241" t="s">
        <v>1033</v>
      </c>
      <c r="C241">
        <v>10</v>
      </c>
      <c r="D241" t="s">
        <v>1749</v>
      </c>
      <c r="E241" t="s">
        <v>911</v>
      </c>
      <c r="F241" t="s">
        <v>1507</v>
      </c>
    </row>
    <row r="242" spans="1:6" x14ac:dyDescent="0.25">
      <c r="A242" s="19" t="s">
        <v>736</v>
      </c>
      <c r="B242" t="s">
        <v>941</v>
      </c>
      <c r="C242">
        <v>2</v>
      </c>
      <c r="D242" t="s">
        <v>1727</v>
      </c>
      <c r="E242" t="s">
        <v>911</v>
      </c>
      <c r="F242" t="s">
        <v>1728</v>
      </c>
    </row>
    <row r="243" spans="1:6" x14ac:dyDescent="0.25">
      <c r="A243" s="19" t="s">
        <v>736</v>
      </c>
      <c r="B243" t="s">
        <v>1138</v>
      </c>
      <c r="C243">
        <v>10</v>
      </c>
      <c r="D243" t="s">
        <v>1750</v>
      </c>
      <c r="E243" t="s">
        <v>1594</v>
      </c>
      <c r="F243" t="s">
        <v>1710</v>
      </c>
    </row>
    <row r="244" spans="1:6" x14ac:dyDescent="0.25">
      <c r="A244" s="19" t="s">
        <v>856</v>
      </c>
      <c r="B244" t="s">
        <v>1557</v>
      </c>
      <c r="C244">
        <v>52</v>
      </c>
      <c r="D244" t="s">
        <v>1751</v>
      </c>
      <c r="E244" t="s">
        <v>901</v>
      </c>
      <c r="F244" t="s">
        <v>1752</v>
      </c>
    </row>
    <row r="245" spans="1:6" x14ac:dyDescent="0.25">
      <c r="A245" s="19" t="s">
        <v>856</v>
      </c>
      <c r="B245" t="s">
        <v>1138</v>
      </c>
      <c r="C245">
        <v>36</v>
      </c>
      <c r="D245" t="s">
        <v>1753</v>
      </c>
      <c r="E245" t="s">
        <v>1198</v>
      </c>
      <c r="F245" t="s">
        <v>1754</v>
      </c>
    </row>
    <row r="246" spans="1:6" x14ac:dyDescent="0.25">
      <c r="A246" s="19" t="s">
        <v>856</v>
      </c>
      <c r="B246" t="s">
        <v>1033</v>
      </c>
      <c r="C246">
        <v>10</v>
      </c>
      <c r="D246" t="s">
        <v>1755</v>
      </c>
      <c r="E246" t="s">
        <v>911</v>
      </c>
      <c r="F246" t="s">
        <v>1507</v>
      </c>
    </row>
    <row r="247" spans="1:6" x14ac:dyDescent="0.25">
      <c r="A247" s="19" t="s">
        <v>856</v>
      </c>
      <c r="B247" t="s">
        <v>1557</v>
      </c>
      <c r="C247">
        <v>2</v>
      </c>
      <c r="D247" t="s">
        <v>1756</v>
      </c>
      <c r="E247" t="s">
        <v>1594</v>
      </c>
      <c r="F247" t="s">
        <v>1757</v>
      </c>
    </row>
    <row r="248" spans="1:6" x14ac:dyDescent="0.25">
      <c r="A248" s="19" t="s">
        <v>706</v>
      </c>
      <c r="B248" t="s">
        <v>1557</v>
      </c>
      <c r="C248">
        <v>80</v>
      </c>
      <c r="D248" t="s">
        <v>1758</v>
      </c>
      <c r="E248" t="s">
        <v>901</v>
      </c>
      <c r="F248" t="s">
        <v>956</v>
      </c>
    </row>
    <row r="249" spans="1:6" x14ac:dyDescent="0.25">
      <c r="A249" s="19" t="s">
        <v>706</v>
      </c>
      <c r="B249" t="s">
        <v>916</v>
      </c>
      <c r="C249">
        <v>8</v>
      </c>
      <c r="D249" t="s">
        <v>1759</v>
      </c>
      <c r="E249" t="s">
        <v>911</v>
      </c>
      <c r="F249" t="s">
        <v>1507</v>
      </c>
    </row>
    <row r="250" spans="1:6" x14ac:dyDescent="0.25">
      <c r="A250" s="19" t="s">
        <v>706</v>
      </c>
      <c r="B250" t="s">
        <v>1138</v>
      </c>
      <c r="C250">
        <v>6</v>
      </c>
      <c r="D250" t="s">
        <v>1760</v>
      </c>
      <c r="E250" t="s">
        <v>911</v>
      </c>
      <c r="F250" t="s">
        <v>1669</v>
      </c>
    </row>
    <row r="251" spans="1:6" x14ac:dyDescent="0.25">
      <c r="A251" s="19" t="s">
        <v>706</v>
      </c>
      <c r="B251" t="s">
        <v>22</v>
      </c>
      <c r="C251">
        <v>2</v>
      </c>
      <c r="D251" t="s">
        <v>1761</v>
      </c>
      <c r="E251" t="s">
        <v>1049</v>
      </c>
      <c r="F251" t="s">
        <v>1561</v>
      </c>
    </row>
    <row r="252" spans="1:6" x14ac:dyDescent="0.25">
      <c r="A252" s="19" t="s">
        <v>706</v>
      </c>
      <c r="B252" t="s">
        <v>941</v>
      </c>
      <c r="C252">
        <v>2</v>
      </c>
      <c r="D252" t="s">
        <v>1727</v>
      </c>
      <c r="E252" t="s">
        <v>911</v>
      </c>
      <c r="F252" t="s">
        <v>1728</v>
      </c>
    </row>
    <row r="253" spans="1:6" x14ac:dyDescent="0.25">
      <c r="A253" s="19" t="s">
        <v>706</v>
      </c>
      <c r="B253" t="s">
        <v>1565</v>
      </c>
      <c r="C253">
        <v>2</v>
      </c>
      <c r="D253" t="s">
        <v>1566</v>
      </c>
      <c r="E253" t="s">
        <v>911</v>
      </c>
      <c r="F253" t="s">
        <v>1707</v>
      </c>
    </row>
    <row r="254" spans="1:6" x14ac:dyDescent="0.25">
      <c r="A254" s="19" t="s">
        <v>730</v>
      </c>
      <c r="B254" t="s">
        <v>1557</v>
      </c>
      <c r="C254">
        <v>80</v>
      </c>
      <c r="D254" t="s">
        <v>1762</v>
      </c>
      <c r="E254" t="s">
        <v>901</v>
      </c>
      <c r="F254" t="s">
        <v>956</v>
      </c>
    </row>
    <row r="255" spans="1:6" x14ac:dyDescent="0.25">
      <c r="A255" s="19" t="s">
        <v>730</v>
      </c>
      <c r="B255" t="s">
        <v>916</v>
      </c>
      <c r="C255">
        <v>4</v>
      </c>
      <c r="D255" t="s">
        <v>1759</v>
      </c>
      <c r="E255" t="s">
        <v>911</v>
      </c>
      <c r="F255" t="s">
        <v>1507</v>
      </c>
    </row>
    <row r="256" spans="1:6" x14ac:dyDescent="0.25">
      <c r="A256" s="19" t="s">
        <v>730</v>
      </c>
      <c r="B256" t="s">
        <v>1138</v>
      </c>
      <c r="C256">
        <v>11</v>
      </c>
      <c r="D256" t="s">
        <v>1763</v>
      </c>
      <c r="E256" t="s">
        <v>911</v>
      </c>
      <c r="F256" t="s">
        <v>1669</v>
      </c>
    </row>
    <row r="257" spans="1:6" x14ac:dyDescent="0.25">
      <c r="A257" s="19" t="s">
        <v>730</v>
      </c>
      <c r="B257" t="s">
        <v>22</v>
      </c>
      <c r="C257">
        <v>2</v>
      </c>
      <c r="D257" t="s">
        <v>1761</v>
      </c>
      <c r="E257" t="s">
        <v>1049</v>
      </c>
      <c r="F257" t="s">
        <v>1561</v>
      </c>
    </row>
    <row r="258" spans="1:6" x14ac:dyDescent="0.25">
      <c r="A258" s="19" t="s">
        <v>730</v>
      </c>
      <c r="B258" t="s">
        <v>1565</v>
      </c>
      <c r="C258">
        <v>3</v>
      </c>
      <c r="D258" t="s">
        <v>1566</v>
      </c>
      <c r="E258" t="s">
        <v>911</v>
      </c>
      <c r="F258" t="s">
        <v>1707</v>
      </c>
    </row>
    <row r="259" spans="1:6" x14ac:dyDescent="0.25">
      <c r="A259" s="19" t="s">
        <v>732</v>
      </c>
      <c r="B259" t="s">
        <v>1557</v>
      </c>
      <c r="C259">
        <v>76</v>
      </c>
      <c r="D259" t="s">
        <v>1764</v>
      </c>
      <c r="E259" t="s">
        <v>901</v>
      </c>
      <c r="F259" t="s">
        <v>956</v>
      </c>
    </row>
    <row r="260" spans="1:6" x14ac:dyDescent="0.25">
      <c r="A260" s="19" t="s">
        <v>732</v>
      </c>
      <c r="B260" t="s">
        <v>916</v>
      </c>
      <c r="C260">
        <v>6</v>
      </c>
      <c r="D260" t="s">
        <v>1759</v>
      </c>
      <c r="E260" t="s">
        <v>911</v>
      </c>
      <c r="F260" t="s">
        <v>1507</v>
      </c>
    </row>
    <row r="261" spans="1:6" x14ac:dyDescent="0.25">
      <c r="A261" s="19" t="s">
        <v>732</v>
      </c>
      <c r="B261" t="s">
        <v>1033</v>
      </c>
      <c r="C261">
        <v>10</v>
      </c>
      <c r="D261" t="s">
        <v>1765</v>
      </c>
      <c r="E261" t="s">
        <v>911</v>
      </c>
      <c r="F261" t="s">
        <v>1671</v>
      </c>
    </row>
    <row r="262" spans="1:6" x14ac:dyDescent="0.25">
      <c r="A262" s="19" t="s">
        <v>732</v>
      </c>
      <c r="B262" t="s">
        <v>1138</v>
      </c>
      <c r="C262">
        <v>4</v>
      </c>
      <c r="D262" t="s">
        <v>1766</v>
      </c>
      <c r="E262" t="s">
        <v>911</v>
      </c>
      <c r="F262" t="s">
        <v>1669</v>
      </c>
    </row>
    <row r="263" spans="1:6" x14ac:dyDescent="0.25">
      <c r="A263" s="19" t="s">
        <v>732</v>
      </c>
      <c r="B263" t="s">
        <v>22</v>
      </c>
      <c r="C263">
        <v>2</v>
      </c>
      <c r="D263" t="s">
        <v>1761</v>
      </c>
      <c r="E263" t="s">
        <v>1049</v>
      </c>
      <c r="F263" t="s">
        <v>1561</v>
      </c>
    </row>
    <row r="264" spans="1:6" x14ac:dyDescent="0.25">
      <c r="A264" s="19" t="s">
        <v>732</v>
      </c>
      <c r="B264" t="s">
        <v>1565</v>
      </c>
      <c r="C264">
        <v>2</v>
      </c>
      <c r="D264" t="s">
        <v>1566</v>
      </c>
      <c r="E264" t="s">
        <v>911</v>
      </c>
      <c r="F264" t="s">
        <v>1707</v>
      </c>
    </row>
    <row r="265" spans="1:6" x14ac:dyDescent="0.25">
      <c r="A265" s="19" t="s">
        <v>720</v>
      </c>
      <c r="B265" t="s">
        <v>1033</v>
      </c>
      <c r="C265">
        <v>46</v>
      </c>
      <c r="D265" t="s">
        <v>1767</v>
      </c>
      <c r="E265" t="s">
        <v>901</v>
      </c>
      <c r="F265" t="s">
        <v>946</v>
      </c>
    </row>
    <row r="266" spans="1:6" x14ac:dyDescent="0.25">
      <c r="A266" s="19" t="s">
        <v>720</v>
      </c>
      <c r="B266" t="s">
        <v>1557</v>
      </c>
      <c r="C266">
        <v>40</v>
      </c>
      <c r="D266" t="s">
        <v>1768</v>
      </c>
      <c r="E266" t="s">
        <v>1198</v>
      </c>
      <c r="F266" t="s">
        <v>1769</v>
      </c>
    </row>
    <row r="267" spans="1:6" x14ac:dyDescent="0.25">
      <c r="A267" s="19" t="s">
        <v>720</v>
      </c>
      <c r="B267" t="s">
        <v>916</v>
      </c>
      <c r="C267">
        <v>4</v>
      </c>
      <c r="D267" t="s">
        <v>1759</v>
      </c>
      <c r="E267" t="s">
        <v>911</v>
      </c>
      <c r="F267" t="s">
        <v>1507</v>
      </c>
    </row>
    <row r="268" spans="1:6" x14ac:dyDescent="0.25">
      <c r="A268" s="19" t="s">
        <v>720</v>
      </c>
      <c r="B268" t="s">
        <v>1138</v>
      </c>
      <c r="C268">
        <v>4</v>
      </c>
      <c r="D268" t="s">
        <v>1766</v>
      </c>
      <c r="E268" t="s">
        <v>911</v>
      </c>
      <c r="F268" t="s">
        <v>1669</v>
      </c>
    </row>
    <row r="269" spans="1:6" x14ac:dyDescent="0.25">
      <c r="A269" s="19" t="s">
        <v>720</v>
      </c>
      <c r="B269" t="s">
        <v>941</v>
      </c>
      <c r="C269">
        <v>2</v>
      </c>
      <c r="D269" t="s">
        <v>1670</v>
      </c>
      <c r="E269" t="s">
        <v>911</v>
      </c>
      <c r="F269" t="s">
        <v>1671</v>
      </c>
    </row>
    <row r="270" spans="1:6" x14ac:dyDescent="0.25">
      <c r="A270" s="19" t="s">
        <v>720</v>
      </c>
      <c r="B270" t="s">
        <v>1033</v>
      </c>
      <c r="C270">
        <v>4</v>
      </c>
      <c r="D270" t="s">
        <v>1770</v>
      </c>
      <c r="E270" t="s">
        <v>1594</v>
      </c>
      <c r="F270" t="s">
        <v>1771</v>
      </c>
    </row>
    <row r="271" spans="1:6" x14ac:dyDescent="0.25">
      <c r="A271" s="19" t="s">
        <v>859</v>
      </c>
      <c r="B271" t="s">
        <v>1033</v>
      </c>
      <c r="C271">
        <v>46</v>
      </c>
      <c r="D271" t="s">
        <v>1772</v>
      </c>
      <c r="E271" t="s">
        <v>901</v>
      </c>
      <c r="F271" t="s">
        <v>1773</v>
      </c>
    </row>
    <row r="272" spans="1:6" x14ac:dyDescent="0.25">
      <c r="A272" s="19" t="s">
        <v>859</v>
      </c>
      <c r="B272" t="s">
        <v>1557</v>
      </c>
      <c r="C272">
        <v>40</v>
      </c>
      <c r="D272" t="s">
        <v>1774</v>
      </c>
      <c r="E272" t="s">
        <v>1198</v>
      </c>
      <c r="F272" t="s">
        <v>1769</v>
      </c>
    </row>
    <row r="273" spans="1:6" x14ac:dyDescent="0.25">
      <c r="A273" s="19" t="s">
        <v>859</v>
      </c>
      <c r="B273" t="s">
        <v>916</v>
      </c>
      <c r="C273">
        <v>4</v>
      </c>
      <c r="D273" t="s">
        <v>1759</v>
      </c>
      <c r="E273" t="s">
        <v>911</v>
      </c>
      <c r="F273" t="s">
        <v>1507</v>
      </c>
    </row>
    <row r="274" spans="1:6" x14ac:dyDescent="0.25">
      <c r="A274" s="19" t="s">
        <v>859</v>
      </c>
      <c r="B274" t="s">
        <v>1138</v>
      </c>
      <c r="C274">
        <v>4</v>
      </c>
      <c r="D274" t="s">
        <v>1766</v>
      </c>
      <c r="E274" t="s">
        <v>911</v>
      </c>
      <c r="F274" t="s">
        <v>1669</v>
      </c>
    </row>
    <row r="275" spans="1:6" x14ac:dyDescent="0.25">
      <c r="A275" s="19" t="s">
        <v>859</v>
      </c>
      <c r="B275" t="s">
        <v>941</v>
      </c>
      <c r="C275">
        <v>2</v>
      </c>
      <c r="D275" t="s">
        <v>1670</v>
      </c>
      <c r="E275" t="s">
        <v>911</v>
      </c>
      <c r="F275" t="s">
        <v>1671</v>
      </c>
    </row>
    <row r="276" spans="1:6" x14ac:dyDescent="0.25">
      <c r="A276" s="19" t="s">
        <v>859</v>
      </c>
      <c r="B276" t="s">
        <v>1033</v>
      </c>
      <c r="C276">
        <v>4</v>
      </c>
      <c r="D276" t="s">
        <v>1772</v>
      </c>
      <c r="E276" t="s">
        <v>1594</v>
      </c>
      <c r="F276" t="s">
        <v>1771</v>
      </c>
    </row>
    <row r="277" spans="1:6" x14ac:dyDescent="0.25">
      <c r="A277" s="19" t="s">
        <v>700</v>
      </c>
      <c r="B277" t="s">
        <v>916</v>
      </c>
      <c r="C277">
        <v>72</v>
      </c>
      <c r="D277" t="s">
        <v>1775</v>
      </c>
      <c r="E277" t="s">
        <v>901</v>
      </c>
      <c r="F277" t="s">
        <v>946</v>
      </c>
    </row>
    <row r="278" spans="1:6" x14ac:dyDescent="0.25">
      <c r="A278" s="19" t="s">
        <v>700</v>
      </c>
      <c r="B278" t="s">
        <v>1557</v>
      </c>
      <c r="C278">
        <v>12</v>
      </c>
      <c r="D278" t="s">
        <v>1776</v>
      </c>
      <c r="E278" t="s">
        <v>911</v>
      </c>
      <c r="F278" t="s">
        <v>1669</v>
      </c>
    </row>
    <row r="279" spans="1:6" x14ac:dyDescent="0.25">
      <c r="A279" s="19" t="s">
        <v>700</v>
      </c>
      <c r="B279" t="s">
        <v>22</v>
      </c>
      <c r="C279">
        <v>6</v>
      </c>
      <c r="D279" t="s">
        <v>1777</v>
      </c>
      <c r="E279" t="s">
        <v>1049</v>
      </c>
      <c r="F279" t="s">
        <v>1569</v>
      </c>
    </row>
    <row r="280" spans="1:6" x14ac:dyDescent="0.25">
      <c r="A280" s="19" t="s">
        <v>700</v>
      </c>
      <c r="B280" t="s">
        <v>1483</v>
      </c>
      <c r="C280">
        <v>4</v>
      </c>
      <c r="D280" t="s">
        <v>1778</v>
      </c>
      <c r="E280" t="s">
        <v>968</v>
      </c>
      <c r="F280" t="s">
        <v>1671</v>
      </c>
    </row>
    <row r="281" spans="1:6" x14ac:dyDescent="0.25">
      <c r="A281" s="19" t="s">
        <v>700</v>
      </c>
      <c r="B281" t="s">
        <v>1033</v>
      </c>
      <c r="C281">
        <v>4</v>
      </c>
      <c r="D281" t="s">
        <v>1779</v>
      </c>
      <c r="E281" t="s">
        <v>911</v>
      </c>
      <c r="F281" t="s">
        <v>1780</v>
      </c>
    </row>
    <row r="282" spans="1:6" x14ac:dyDescent="0.25">
      <c r="A282" s="19" t="s">
        <v>700</v>
      </c>
      <c r="B282" t="s">
        <v>916</v>
      </c>
      <c r="C282">
        <v>2</v>
      </c>
      <c r="D282" t="s">
        <v>1781</v>
      </c>
      <c r="E282" t="s">
        <v>1594</v>
      </c>
      <c r="F282" t="s">
        <v>1782</v>
      </c>
    </row>
    <row r="283" spans="1:6" x14ac:dyDescent="0.25">
      <c r="A283" s="19" t="s">
        <v>862</v>
      </c>
      <c r="B283" t="s">
        <v>916</v>
      </c>
      <c r="C283">
        <v>86</v>
      </c>
      <c r="D283" t="s">
        <v>1783</v>
      </c>
      <c r="E283" t="s">
        <v>901</v>
      </c>
      <c r="F283" t="s">
        <v>1784</v>
      </c>
    </row>
    <row r="284" spans="1:6" x14ac:dyDescent="0.25">
      <c r="A284" s="19" t="s">
        <v>862</v>
      </c>
      <c r="B284" t="s">
        <v>1557</v>
      </c>
      <c r="C284">
        <v>4</v>
      </c>
      <c r="D284" t="s">
        <v>1785</v>
      </c>
      <c r="E284" t="s">
        <v>911</v>
      </c>
      <c r="F284" t="s">
        <v>1669</v>
      </c>
    </row>
    <row r="285" spans="1:6" x14ac:dyDescent="0.25">
      <c r="A285" s="19" t="s">
        <v>862</v>
      </c>
      <c r="B285" t="s">
        <v>22</v>
      </c>
      <c r="C285">
        <v>4</v>
      </c>
      <c r="D285" t="s">
        <v>1777</v>
      </c>
      <c r="E285" t="s">
        <v>1049</v>
      </c>
      <c r="F285" t="s">
        <v>1569</v>
      </c>
    </row>
    <row r="286" spans="1:6" x14ac:dyDescent="0.25">
      <c r="A286" s="19" t="s">
        <v>862</v>
      </c>
      <c r="B286" t="s">
        <v>1483</v>
      </c>
      <c r="C286">
        <v>4</v>
      </c>
      <c r="D286" t="s">
        <v>1778</v>
      </c>
      <c r="E286" t="s">
        <v>968</v>
      </c>
      <c r="F286" t="s">
        <v>1671</v>
      </c>
    </row>
    <row r="287" spans="1:6" x14ac:dyDescent="0.25">
      <c r="A287" s="19" t="s">
        <v>862</v>
      </c>
      <c r="B287" t="s">
        <v>916</v>
      </c>
      <c r="C287">
        <v>2</v>
      </c>
      <c r="D287" t="s">
        <v>1786</v>
      </c>
      <c r="E287" t="s">
        <v>1594</v>
      </c>
      <c r="F287" t="s">
        <v>1782</v>
      </c>
    </row>
    <row r="288" spans="1:6" x14ac:dyDescent="0.25">
      <c r="A288" s="19" t="s">
        <v>726</v>
      </c>
      <c r="B288" t="s">
        <v>916</v>
      </c>
      <c r="C288">
        <v>88</v>
      </c>
      <c r="D288" t="s">
        <v>1787</v>
      </c>
      <c r="E288" t="s">
        <v>901</v>
      </c>
      <c r="F288" t="s">
        <v>956</v>
      </c>
    </row>
    <row r="289" spans="1:6" x14ac:dyDescent="0.25">
      <c r="A289" s="19" t="s">
        <v>726</v>
      </c>
      <c r="B289" t="s">
        <v>1557</v>
      </c>
      <c r="C289">
        <v>4</v>
      </c>
      <c r="D289" t="s">
        <v>1788</v>
      </c>
      <c r="E289" t="s">
        <v>911</v>
      </c>
      <c r="F289" t="s">
        <v>1669</v>
      </c>
    </row>
    <row r="290" spans="1:6" x14ac:dyDescent="0.25">
      <c r="A290" s="19" t="s">
        <v>726</v>
      </c>
      <c r="B290" t="s">
        <v>22</v>
      </c>
      <c r="C290">
        <v>4</v>
      </c>
      <c r="D290" t="s">
        <v>1777</v>
      </c>
      <c r="E290" t="s">
        <v>1049</v>
      </c>
      <c r="F290" t="s">
        <v>1789</v>
      </c>
    </row>
    <row r="291" spans="1:6" x14ac:dyDescent="0.25">
      <c r="A291" s="19" t="s">
        <v>726</v>
      </c>
      <c r="B291" t="s">
        <v>1483</v>
      </c>
      <c r="C291">
        <v>2</v>
      </c>
      <c r="D291" t="s">
        <v>1790</v>
      </c>
      <c r="E291" t="s">
        <v>968</v>
      </c>
      <c r="F291" t="s">
        <v>1791</v>
      </c>
    </row>
    <row r="292" spans="1:6" x14ac:dyDescent="0.25">
      <c r="A292" s="19" t="s">
        <v>865</v>
      </c>
      <c r="B292" t="s">
        <v>916</v>
      </c>
      <c r="C292">
        <v>74</v>
      </c>
      <c r="D292" t="s">
        <v>1792</v>
      </c>
      <c r="E292" t="s">
        <v>901</v>
      </c>
      <c r="F292" t="s">
        <v>1793</v>
      </c>
    </row>
    <row r="293" spans="1:6" x14ac:dyDescent="0.25">
      <c r="A293" s="19" t="s">
        <v>865</v>
      </c>
      <c r="B293" t="s">
        <v>22</v>
      </c>
      <c r="C293">
        <v>10</v>
      </c>
      <c r="D293" t="s">
        <v>1777</v>
      </c>
      <c r="E293" t="s">
        <v>1049</v>
      </c>
      <c r="F293" t="s">
        <v>1794</v>
      </c>
    </row>
    <row r="294" spans="1:6" x14ac:dyDescent="0.25">
      <c r="A294" s="19" t="s">
        <v>865</v>
      </c>
      <c r="B294" t="s">
        <v>1557</v>
      </c>
      <c r="C294">
        <v>8</v>
      </c>
      <c r="D294" t="s">
        <v>1788</v>
      </c>
      <c r="E294" t="s">
        <v>911</v>
      </c>
      <c r="F294" t="s">
        <v>1669</v>
      </c>
    </row>
    <row r="295" spans="1:6" x14ac:dyDescent="0.25">
      <c r="A295" s="19" t="s">
        <v>865</v>
      </c>
      <c r="B295" t="s">
        <v>698</v>
      </c>
      <c r="C295">
        <v>4</v>
      </c>
      <c r="D295" t="s">
        <v>1463</v>
      </c>
      <c r="E295" t="s">
        <v>968</v>
      </c>
      <c r="F295" t="s">
        <v>1507</v>
      </c>
    </row>
    <row r="296" spans="1:6" x14ac:dyDescent="0.25">
      <c r="A296" s="19" t="s">
        <v>865</v>
      </c>
      <c r="B296" t="s">
        <v>1565</v>
      </c>
      <c r="C296">
        <v>2</v>
      </c>
      <c r="D296" t="s">
        <v>1566</v>
      </c>
      <c r="E296" t="s">
        <v>911</v>
      </c>
      <c r="F296" t="s">
        <v>1707</v>
      </c>
    </row>
    <row r="297" spans="1:6" x14ac:dyDescent="0.25">
      <c r="A297" s="19" t="s">
        <v>865</v>
      </c>
      <c r="B297" t="s">
        <v>1483</v>
      </c>
      <c r="C297">
        <v>2</v>
      </c>
      <c r="D297" t="s">
        <v>1778</v>
      </c>
      <c r="E297" t="s">
        <v>968</v>
      </c>
      <c r="F297" t="s">
        <v>1671</v>
      </c>
    </row>
    <row r="298" spans="1:6" x14ac:dyDescent="0.25">
      <c r="A298" s="19" t="s">
        <v>722</v>
      </c>
      <c r="B298" t="s">
        <v>1483</v>
      </c>
      <c r="C298">
        <v>48</v>
      </c>
      <c r="D298" t="s">
        <v>1795</v>
      </c>
      <c r="E298" t="s">
        <v>901</v>
      </c>
      <c r="F298" t="s">
        <v>1606</v>
      </c>
    </row>
    <row r="299" spans="1:6" x14ac:dyDescent="0.25">
      <c r="A299" s="19" t="s">
        <v>722</v>
      </c>
      <c r="B299" t="s">
        <v>916</v>
      </c>
      <c r="C299">
        <v>24</v>
      </c>
      <c r="D299" t="s">
        <v>1796</v>
      </c>
      <c r="E299" t="s">
        <v>1198</v>
      </c>
      <c r="F299" t="s">
        <v>1797</v>
      </c>
    </row>
    <row r="300" spans="1:6" x14ac:dyDescent="0.25">
      <c r="A300" s="19" t="s">
        <v>722</v>
      </c>
      <c r="B300" t="s">
        <v>698</v>
      </c>
      <c r="C300">
        <v>10</v>
      </c>
      <c r="D300" t="s">
        <v>1463</v>
      </c>
      <c r="E300" t="s">
        <v>1198</v>
      </c>
      <c r="F300" t="s">
        <v>1798</v>
      </c>
    </row>
    <row r="301" spans="1:6" x14ac:dyDescent="0.25">
      <c r="A301" s="19" t="s">
        <v>722</v>
      </c>
      <c r="B301" t="s">
        <v>1557</v>
      </c>
      <c r="C301">
        <v>8</v>
      </c>
      <c r="D301" t="s">
        <v>1776</v>
      </c>
      <c r="E301" t="s">
        <v>911</v>
      </c>
      <c r="F301" t="s">
        <v>1669</v>
      </c>
    </row>
    <row r="302" spans="1:6" x14ac:dyDescent="0.25">
      <c r="A302" s="19" t="s">
        <v>722</v>
      </c>
      <c r="B302" t="s">
        <v>22</v>
      </c>
      <c r="C302">
        <v>4</v>
      </c>
      <c r="D302" t="s">
        <v>1777</v>
      </c>
      <c r="E302" t="s">
        <v>1049</v>
      </c>
      <c r="F302" t="s">
        <v>1569</v>
      </c>
    </row>
    <row r="303" spans="1:6" x14ac:dyDescent="0.25">
      <c r="A303" s="19" t="s">
        <v>722</v>
      </c>
      <c r="B303" t="s">
        <v>1033</v>
      </c>
      <c r="C303">
        <v>4</v>
      </c>
      <c r="D303" t="s">
        <v>1799</v>
      </c>
      <c r="E303" t="s">
        <v>911</v>
      </c>
      <c r="F303" t="s">
        <v>1800</v>
      </c>
    </row>
    <row r="304" spans="1:6" x14ac:dyDescent="0.25">
      <c r="A304" s="19" t="s">
        <v>722</v>
      </c>
      <c r="B304" t="s">
        <v>1483</v>
      </c>
      <c r="C304">
        <v>2</v>
      </c>
      <c r="D304" t="s">
        <v>1801</v>
      </c>
      <c r="E304" t="s">
        <v>1594</v>
      </c>
      <c r="F304" t="s">
        <v>1802</v>
      </c>
    </row>
    <row r="305" spans="1:6" x14ac:dyDescent="0.25">
      <c r="A305" s="19" t="s">
        <v>868</v>
      </c>
      <c r="B305" t="s">
        <v>1557</v>
      </c>
      <c r="C305">
        <v>44</v>
      </c>
      <c r="D305" t="s">
        <v>1803</v>
      </c>
      <c r="E305" t="s">
        <v>901</v>
      </c>
      <c r="F305" t="s">
        <v>1804</v>
      </c>
    </row>
    <row r="306" spans="1:6" x14ac:dyDescent="0.25">
      <c r="A306" s="19" t="s">
        <v>868</v>
      </c>
      <c r="B306" t="s">
        <v>1483</v>
      </c>
      <c r="C306">
        <v>20</v>
      </c>
      <c r="D306" t="s">
        <v>1805</v>
      </c>
      <c r="E306" t="s">
        <v>1198</v>
      </c>
      <c r="F306" t="s">
        <v>1806</v>
      </c>
    </row>
    <row r="307" spans="1:6" x14ac:dyDescent="0.25">
      <c r="A307" s="19" t="s">
        <v>868</v>
      </c>
      <c r="B307" t="s">
        <v>916</v>
      </c>
      <c r="C307">
        <v>14</v>
      </c>
      <c r="D307" t="s">
        <v>1807</v>
      </c>
      <c r="E307" t="s">
        <v>1198</v>
      </c>
      <c r="F307" t="s">
        <v>1808</v>
      </c>
    </row>
    <row r="308" spans="1:6" x14ac:dyDescent="0.25">
      <c r="A308" s="19" t="s">
        <v>868</v>
      </c>
      <c r="B308" t="s">
        <v>1033</v>
      </c>
      <c r="C308">
        <v>10</v>
      </c>
      <c r="D308" t="s">
        <v>1809</v>
      </c>
      <c r="E308" t="s">
        <v>911</v>
      </c>
      <c r="F308" t="s">
        <v>1671</v>
      </c>
    </row>
    <row r="309" spans="1:6" x14ac:dyDescent="0.25">
      <c r="A309" s="19" t="s">
        <v>868</v>
      </c>
      <c r="B309" t="s">
        <v>1138</v>
      </c>
      <c r="C309">
        <v>6</v>
      </c>
      <c r="D309" t="s">
        <v>1739</v>
      </c>
      <c r="E309" t="s">
        <v>911</v>
      </c>
      <c r="F309" t="s">
        <v>1669</v>
      </c>
    </row>
    <row r="310" spans="1:6" x14ac:dyDescent="0.25">
      <c r="A310" s="19" t="s">
        <v>868</v>
      </c>
      <c r="B310" t="s">
        <v>22</v>
      </c>
      <c r="C310">
        <v>4</v>
      </c>
      <c r="D310" t="s">
        <v>1777</v>
      </c>
      <c r="E310" t="s">
        <v>1049</v>
      </c>
      <c r="F310" t="s">
        <v>1569</v>
      </c>
    </row>
    <row r="311" spans="1:6" x14ac:dyDescent="0.25">
      <c r="A311" s="19" t="s">
        <v>868</v>
      </c>
      <c r="B311" t="s">
        <v>1557</v>
      </c>
      <c r="C311">
        <v>2</v>
      </c>
      <c r="D311" t="s">
        <v>1810</v>
      </c>
      <c r="E311" t="s">
        <v>1594</v>
      </c>
      <c r="F311" t="s">
        <v>1771</v>
      </c>
    </row>
    <row r="312" spans="1:6" x14ac:dyDescent="0.25">
      <c r="A312" s="19" t="s">
        <v>871</v>
      </c>
      <c r="B312" t="s">
        <v>1483</v>
      </c>
      <c r="C312">
        <v>66</v>
      </c>
      <c r="D312" t="s">
        <v>1811</v>
      </c>
      <c r="E312" t="s">
        <v>901</v>
      </c>
      <c r="F312" t="s">
        <v>1812</v>
      </c>
    </row>
    <row r="313" spans="1:6" x14ac:dyDescent="0.25">
      <c r="A313" s="19" t="s">
        <v>871</v>
      </c>
      <c r="B313" t="s">
        <v>941</v>
      </c>
      <c r="C313">
        <v>16</v>
      </c>
      <c r="D313" t="s">
        <v>1813</v>
      </c>
      <c r="E313" t="s">
        <v>1198</v>
      </c>
      <c r="F313" t="s">
        <v>1656</v>
      </c>
    </row>
    <row r="314" spans="1:6" x14ac:dyDescent="0.25">
      <c r="A314" s="19" t="s">
        <v>871</v>
      </c>
      <c r="B314" t="s">
        <v>961</v>
      </c>
      <c r="C314">
        <v>8</v>
      </c>
      <c r="D314" t="s">
        <v>1814</v>
      </c>
      <c r="E314" t="s">
        <v>968</v>
      </c>
      <c r="F314" t="s">
        <v>1507</v>
      </c>
    </row>
    <row r="315" spans="1:6" x14ac:dyDescent="0.25">
      <c r="A315" s="19" t="s">
        <v>871</v>
      </c>
      <c r="B315" t="s">
        <v>1033</v>
      </c>
      <c r="C315">
        <v>6</v>
      </c>
      <c r="D315" t="s">
        <v>1815</v>
      </c>
      <c r="E315" t="s">
        <v>1049</v>
      </c>
      <c r="F315" t="s">
        <v>1501</v>
      </c>
    </row>
    <row r="316" spans="1:6" x14ac:dyDescent="0.25">
      <c r="A316" s="19" t="s">
        <v>871</v>
      </c>
      <c r="B316" t="s">
        <v>916</v>
      </c>
      <c r="C316">
        <v>2</v>
      </c>
      <c r="D316" t="s">
        <v>1493</v>
      </c>
      <c r="E316" t="s">
        <v>911</v>
      </c>
      <c r="F316" t="s">
        <v>1791</v>
      </c>
    </row>
    <row r="317" spans="1:6" x14ac:dyDescent="0.25">
      <c r="A317" s="19" t="s">
        <v>871</v>
      </c>
      <c r="B317" t="s">
        <v>1483</v>
      </c>
      <c r="C317">
        <v>2</v>
      </c>
      <c r="D317" t="s">
        <v>1811</v>
      </c>
      <c r="E317" t="s">
        <v>1594</v>
      </c>
      <c r="F317" t="s">
        <v>1816</v>
      </c>
    </row>
    <row r="318" spans="1:6" x14ac:dyDescent="0.25">
      <c r="A318" s="19" t="s">
        <v>874</v>
      </c>
      <c r="B318" t="s">
        <v>1483</v>
      </c>
      <c r="C318">
        <v>48</v>
      </c>
      <c r="D318" t="s">
        <v>1817</v>
      </c>
      <c r="E318" t="s">
        <v>901</v>
      </c>
      <c r="F318" t="s">
        <v>1818</v>
      </c>
    </row>
    <row r="319" spans="1:6" x14ac:dyDescent="0.25">
      <c r="A319" s="19" t="s">
        <v>874</v>
      </c>
      <c r="B319" t="s">
        <v>1033</v>
      </c>
      <c r="C319">
        <v>26</v>
      </c>
      <c r="D319" t="s">
        <v>1819</v>
      </c>
      <c r="E319" t="s">
        <v>1198</v>
      </c>
      <c r="F319" t="s">
        <v>1820</v>
      </c>
    </row>
    <row r="320" spans="1:6" x14ac:dyDescent="0.25">
      <c r="A320" s="19" t="s">
        <v>874</v>
      </c>
      <c r="B320" t="s">
        <v>961</v>
      </c>
      <c r="C320">
        <v>8</v>
      </c>
      <c r="D320" t="s">
        <v>1821</v>
      </c>
      <c r="E320" t="s">
        <v>968</v>
      </c>
      <c r="F320" t="s">
        <v>1507</v>
      </c>
    </row>
    <row r="321" spans="1:6" x14ac:dyDescent="0.25">
      <c r="A321" s="19" t="s">
        <v>874</v>
      </c>
      <c r="B321" t="s">
        <v>916</v>
      </c>
      <c r="C321">
        <v>6</v>
      </c>
      <c r="D321" t="s">
        <v>1822</v>
      </c>
      <c r="E321" t="s">
        <v>911</v>
      </c>
      <c r="F321" t="s">
        <v>1501</v>
      </c>
    </row>
    <row r="322" spans="1:6" x14ac:dyDescent="0.25">
      <c r="A322" s="19" t="s">
        <v>874</v>
      </c>
      <c r="B322" t="s">
        <v>941</v>
      </c>
      <c r="C322">
        <v>6</v>
      </c>
      <c r="D322" t="s">
        <v>1813</v>
      </c>
      <c r="E322" t="s">
        <v>1044</v>
      </c>
      <c r="F322" t="s">
        <v>1671</v>
      </c>
    </row>
    <row r="323" spans="1:6" x14ac:dyDescent="0.25">
      <c r="A323" s="19" t="s">
        <v>874</v>
      </c>
      <c r="B323" t="s">
        <v>1557</v>
      </c>
      <c r="C323">
        <v>4</v>
      </c>
      <c r="D323" t="s">
        <v>1823</v>
      </c>
      <c r="E323" t="s">
        <v>911</v>
      </c>
      <c r="F323" t="s">
        <v>1824</v>
      </c>
    </row>
    <row r="324" spans="1:6" x14ac:dyDescent="0.25">
      <c r="A324" s="19" t="s">
        <v>874</v>
      </c>
      <c r="B324" t="s">
        <v>1483</v>
      </c>
      <c r="C324">
        <v>2</v>
      </c>
      <c r="D324" t="s">
        <v>1825</v>
      </c>
      <c r="E324" t="s">
        <v>1594</v>
      </c>
      <c r="F324" t="s">
        <v>1826</v>
      </c>
    </row>
  </sheetData>
  <autoFilter ref="A1:F324" xr:uid="{FD4BD1D1-E03F-48F3-B0BC-78346A72A44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6B6B-8292-4582-8626-B94341620F01}">
  <sheetPr>
    <tabColor rgb="FFC00000"/>
  </sheetPr>
  <dimension ref="A1:F197"/>
  <sheetViews>
    <sheetView topLeftCell="A143" workbookViewId="0">
      <selection activeCell="A168" sqref="A54:A168"/>
    </sheetView>
  </sheetViews>
  <sheetFormatPr defaultRowHeight="15" x14ac:dyDescent="0.25"/>
  <cols>
    <col min="2" max="2" width="16.28515625" customWidth="1"/>
    <col min="4" max="4" width="95.7109375" customWidth="1"/>
    <col min="5" max="5" width="51.140625" customWidth="1"/>
  </cols>
  <sheetData>
    <row r="1" spans="1:6" x14ac:dyDescent="0.25">
      <c r="A1" t="s">
        <v>740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25">
      <c r="A2" s="19" t="s">
        <v>627</v>
      </c>
      <c r="B2" t="s">
        <v>970</v>
      </c>
      <c r="C2">
        <v>32</v>
      </c>
      <c r="D2" t="s">
        <v>2120</v>
      </c>
      <c r="E2" t="s">
        <v>901</v>
      </c>
      <c r="F2" t="s">
        <v>2121</v>
      </c>
    </row>
    <row r="3" spans="1:6" x14ac:dyDescent="0.25">
      <c r="A3" s="19" t="s">
        <v>627</v>
      </c>
      <c r="B3" t="s">
        <v>1565</v>
      </c>
      <c r="C3">
        <v>26</v>
      </c>
      <c r="D3" t="s">
        <v>2122</v>
      </c>
      <c r="E3" t="s">
        <v>901</v>
      </c>
      <c r="F3" t="s">
        <v>2123</v>
      </c>
    </row>
    <row r="4" spans="1:6" x14ac:dyDescent="0.25">
      <c r="A4" s="19" t="s">
        <v>627</v>
      </c>
      <c r="B4" t="s">
        <v>966</v>
      </c>
      <c r="C4">
        <v>18</v>
      </c>
      <c r="D4" t="s">
        <v>2124</v>
      </c>
      <c r="E4" t="s">
        <v>901</v>
      </c>
      <c r="F4" t="s">
        <v>2125</v>
      </c>
    </row>
    <row r="5" spans="1:6" x14ac:dyDescent="0.25">
      <c r="A5" s="19" t="s">
        <v>627</v>
      </c>
      <c r="B5" t="s">
        <v>2126</v>
      </c>
      <c r="C5">
        <v>12</v>
      </c>
      <c r="D5" t="s">
        <v>2127</v>
      </c>
      <c r="E5" t="s">
        <v>901</v>
      </c>
      <c r="F5" t="s">
        <v>2128</v>
      </c>
    </row>
    <row r="6" spans="1:6" x14ac:dyDescent="0.25">
      <c r="A6" s="19" t="s">
        <v>627</v>
      </c>
      <c r="B6" t="s">
        <v>2129</v>
      </c>
      <c r="C6">
        <v>2</v>
      </c>
      <c r="D6" t="s">
        <v>2130</v>
      </c>
      <c r="E6" t="s">
        <v>921</v>
      </c>
      <c r="F6" t="s">
        <v>2131</v>
      </c>
    </row>
    <row r="7" spans="1:6" x14ac:dyDescent="0.25">
      <c r="A7" s="19" t="s">
        <v>627</v>
      </c>
      <c r="B7" t="s">
        <v>21</v>
      </c>
      <c r="C7">
        <v>2</v>
      </c>
      <c r="D7" t="s">
        <v>2132</v>
      </c>
      <c r="E7" t="s">
        <v>1049</v>
      </c>
      <c r="F7" t="s">
        <v>2133</v>
      </c>
    </row>
    <row r="8" spans="1:6" x14ac:dyDescent="0.25">
      <c r="A8" s="19" t="s">
        <v>627</v>
      </c>
      <c r="B8" t="s">
        <v>22</v>
      </c>
      <c r="C8">
        <v>2</v>
      </c>
      <c r="D8" t="s">
        <v>2134</v>
      </c>
      <c r="E8" t="s">
        <v>1049</v>
      </c>
      <c r="F8" t="s">
        <v>2135</v>
      </c>
    </row>
    <row r="9" spans="1:6" x14ac:dyDescent="0.25">
      <c r="A9" s="19" t="s">
        <v>627</v>
      </c>
      <c r="B9" t="s">
        <v>1557</v>
      </c>
      <c r="C9">
        <v>2</v>
      </c>
      <c r="D9" t="s">
        <v>2136</v>
      </c>
      <c r="E9" t="s">
        <v>911</v>
      </c>
      <c r="F9" t="s">
        <v>1707</v>
      </c>
    </row>
    <row r="10" spans="1:6" x14ac:dyDescent="0.25">
      <c r="A10" s="19" t="s">
        <v>627</v>
      </c>
      <c r="B10" t="s">
        <v>1565</v>
      </c>
      <c r="C10">
        <v>4</v>
      </c>
      <c r="D10" t="s">
        <v>2137</v>
      </c>
      <c r="E10" t="s">
        <v>1594</v>
      </c>
      <c r="F10" t="s">
        <v>2138</v>
      </c>
    </row>
    <row r="11" spans="1:6" x14ac:dyDescent="0.25">
      <c r="A11" s="19" t="s">
        <v>657</v>
      </c>
      <c r="B11" t="s">
        <v>966</v>
      </c>
      <c r="C11">
        <v>48</v>
      </c>
      <c r="D11" t="s">
        <v>2139</v>
      </c>
      <c r="E11" t="s">
        <v>901</v>
      </c>
      <c r="F11" t="s">
        <v>946</v>
      </c>
    </row>
    <row r="12" spans="1:6" x14ac:dyDescent="0.25">
      <c r="A12" s="19" t="s">
        <v>657</v>
      </c>
      <c r="B12" t="s">
        <v>21</v>
      </c>
      <c r="C12">
        <v>16</v>
      </c>
      <c r="D12" t="s">
        <v>2140</v>
      </c>
      <c r="E12" t="s">
        <v>1049</v>
      </c>
      <c r="F12" t="s">
        <v>2141</v>
      </c>
    </row>
    <row r="13" spans="1:6" x14ac:dyDescent="0.25">
      <c r="A13" s="19" t="s">
        <v>657</v>
      </c>
      <c r="B13" t="s">
        <v>970</v>
      </c>
      <c r="C13">
        <v>8</v>
      </c>
      <c r="D13" t="s">
        <v>2142</v>
      </c>
      <c r="E13" t="s">
        <v>968</v>
      </c>
      <c r="F13" t="s">
        <v>2143</v>
      </c>
    </row>
    <row r="14" spans="1:6" x14ac:dyDescent="0.25">
      <c r="A14" s="19" t="s">
        <v>657</v>
      </c>
      <c r="B14" t="s">
        <v>1565</v>
      </c>
      <c r="C14">
        <v>4</v>
      </c>
      <c r="D14" t="s">
        <v>2144</v>
      </c>
      <c r="E14" t="s">
        <v>968</v>
      </c>
      <c r="F14" t="s">
        <v>2145</v>
      </c>
    </row>
    <row r="15" spans="1:6" x14ac:dyDescent="0.25">
      <c r="A15" s="19" t="s">
        <v>657</v>
      </c>
      <c r="B15" t="s">
        <v>22</v>
      </c>
      <c r="C15">
        <v>8</v>
      </c>
      <c r="D15" t="s">
        <v>1761</v>
      </c>
      <c r="E15" t="s">
        <v>1049</v>
      </c>
      <c r="F15" t="s">
        <v>2135</v>
      </c>
    </row>
    <row r="16" spans="1:6" x14ac:dyDescent="0.25">
      <c r="A16" s="19" t="s">
        <v>657</v>
      </c>
      <c r="B16" t="s">
        <v>1455</v>
      </c>
      <c r="C16">
        <v>6</v>
      </c>
      <c r="D16" t="s">
        <v>2146</v>
      </c>
      <c r="E16" t="s">
        <v>911</v>
      </c>
      <c r="F16" t="s">
        <v>2147</v>
      </c>
    </row>
    <row r="17" spans="1:6" x14ac:dyDescent="0.25">
      <c r="A17" s="19" t="s">
        <v>657</v>
      </c>
      <c r="B17" t="s">
        <v>1452</v>
      </c>
      <c r="C17">
        <v>4</v>
      </c>
      <c r="D17" t="s">
        <v>2148</v>
      </c>
      <c r="E17" t="s">
        <v>911</v>
      </c>
      <c r="F17" t="s">
        <v>2149</v>
      </c>
    </row>
    <row r="18" spans="1:6" x14ac:dyDescent="0.25">
      <c r="A18" s="19" t="s">
        <v>657</v>
      </c>
      <c r="B18" t="s">
        <v>1557</v>
      </c>
      <c r="C18">
        <v>2</v>
      </c>
      <c r="D18" t="s">
        <v>2136</v>
      </c>
      <c r="E18" t="s">
        <v>911</v>
      </c>
      <c r="F18" t="s">
        <v>1707</v>
      </c>
    </row>
    <row r="19" spans="1:6" x14ac:dyDescent="0.25">
      <c r="A19" s="19" t="s">
        <v>657</v>
      </c>
      <c r="B19" t="s">
        <v>966</v>
      </c>
      <c r="C19">
        <v>4</v>
      </c>
      <c r="D19" t="s">
        <v>2150</v>
      </c>
      <c r="E19" t="s">
        <v>1594</v>
      </c>
      <c r="F19" t="s">
        <v>2151</v>
      </c>
    </row>
    <row r="20" spans="1:6" x14ac:dyDescent="0.25">
      <c r="A20" s="19" t="s">
        <v>613</v>
      </c>
      <c r="B20" t="s">
        <v>2126</v>
      </c>
      <c r="C20">
        <v>60</v>
      </c>
      <c r="D20" t="s">
        <v>2152</v>
      </c>
      <c r="E20" t="s">
        <v>901</v>
      </c>
      <c r="F20" t="s">
        <v>946</v>
      </c>
    </row>
    <row r="21" spans="1:6" x14ac:dyDescent="0.25">
      <c r="A21" s="19" t="s">
        <v>613</v>
      </c>
      <c r="B21" t="s">
        <v>970</v>
      </c>
      <c r="C21">
        <v>30</v>
      </c>
      <c r="D21" t="s">
        <v>2335</v>
      </c>
      <c r="E21" t="s">
        <v>1044</v>
      </c>
      <c r="F21" t="s">
        <v>2153</v>
      </c>
    </row>
    <row r="22" spans="1:6" x14ac:dyDescent="0.25">
      <c r="A22" s="19" t="s">
        <v>613</v>
      </c>
      <c r="B22" t="s">
        <v>22</v>
      </c>
      <c r="C22">
        <v>4</v>
      </c>
      <c r="D22" t="s">
        <v>1761</v>
      </c>
      <c r="E22" t="s">
        <v>1049</v>
      </c>
      <c r="F22" t="s">
        <v>2135</v>
      </c>
    </row>
    <row r="23" spans="1:6" x14ac:dyDescent="0.25">
      <c r="A23" s="19" t="s">
        <v>613</v>
      </c>
      <c r="B23" t="s">
        <v>1565</v>
      </c>
      <c r="C23">
        <v>2</v>
      </c>
      <c r="D23" t="s">
        <v>2154</v>
      </c>
      <c r="E23" t="s">
        <v>968</v>
      </c>
      <c r="F23" t="s">
        <v>2155</v>
      </c>
    </row>
    <row r="24" spans="1:6" x14ac:dyDescent="0.25">
      <c r="A24" s="19" t="s">
        <v>613</v>
      </c>
      <c r="B24" t="s">
        <v>2129</v>
      </c>
      <c r="C24">
        <v>2</v>
      </c>
      <c r="D24" t="s">
        <v>2156</v>
      </c>
      <c r="E24" t="s">
        <v>968</v>
      </c>
      <c r="F24" t="s">
        <v>2157</v>
      </c>
    </row>
    <row r="25" spans="1:6" x14ac:dyDescent="0.25">
      <c r="A25" s="19" t="s">
        <v>613</v>
      </c>
      <c r="B25" t="s">
        <v>1557</v>
      </c>
      <c r="C25">
        <v>2</v>
      </c>
      <c r="D25" t="s">
        <v>2136</v>
      </c>
      <c r="E25" t="s">
        <v>911</v>
      </c>
      <c r="F25" t="s">
        <v>1707</v>
      </c>
    </row>
    <row r="26" spans="1:6" x14ac:dyDescent="0.25">
      <c r="A26" s="19" t="s">
        <v>645</v>
      </c>
      <c r="B26" t="s">
        <v>2129</v>
      </c>
      <c r="C26">
        <v>56</v>
      </c>
      <c r="D26" t="s">
        <v>2158</v>
      </c>
      <c r="E26" t="s">
        <v>901</v>
      </c>
      <c r="F26" t="s">
        <v>946</v>
      </c>
    </row>
    <row r="27" spans="1:6" x14ac:dyDescent="0.25">
      <c r="A27" s="19" t="s">
        <v>645</v>
      </c>
      <c r="B27" t="s">
        <v>1565</v>
      </c>
      <c r="C27">
        <v>22</v>
      </c>
      <c r="D27" t="s">
        <v>2159</v>
      </c>
      <c r="E27" t="s">
        <v>1044</v>
      </c>
      <c r="F27" t="s">
        <v>2160</v>
      </c>
    </row>
    <row r="28" spans="1:6" x14ac:dyDescent="0.25">
      <c r="A28" s="19" t="s">
        <v>645</v>
      </c>
      <c r="B28" t="s">
        <v>22</v>
      </c>
      <c r="C28">
        <v>6</v>
      </c>
      <c r="D28" t="s">
        <v>1761</v>
      </c>
      <c r="E28" t="s">
        <v>1049</v>
      </c>
      <c r="F28" t="s">
        <v>2135</v>
      </c>
    </row>
    <row r="29" spans="1:6" x14ac:dyDescent="0.25">
      <c r="A29" s="19" t="s">
        <v>645</v>
      </c>
      <c r="B29" t="s">
        <v>1557</v>
      </c>
      <c r="C29">
        <v>6</v>
      </c>
      <c r="D29" t="s">
        <v>2136</v>
      </c>
      <c r="E29" t="s">
        <v>911</v>
      </c>
      <c r="F29" t="s">
        <v>1707</v>
      </c>
    </row>
    <row r="30" spans="1:6" x14ac:dyDescent="0.25">
      <c r="A30" s="19" t="s">
        <v>645</v>
      </c>
      <c r="B30" t="s">
        <v>970</v>
      </c>
      <c r="C30">
        <v>2</v>
      </c>
      <c r="D30" t="s">
        <v>2161</v>
      </c>
      <c r="E30" t="s">
        <v>968</v>
      </c>
      <c r="F30" t="s">
        <v>2162</v>
      </c>
    </row>
    <row r="31" spans="1:6" x14ac:dyDescent="0.25">
      <c r="A31" s="19" t="s">
        <v>645</v>
      </c>
      <c r="B31" t="s">
        <v>2126</v>
      </c>
      <c r="C31">
        <v>2</v>
      </c>
      <c r="D31" t="s">
        <v>2163</v>
      </c>
      <c r="E31" t="s">
        <v>968</v>
      </c>
      <c r="F31" t="s">
        <v>1526</v>
      </c>
    </row>
    <row r="32" spans="1:6" x14ac:dyDescent="0.25">
      <c r="A32" s="19" t="s">
        <v>645</v>
      </c>
      <c r="B32" t="s">
        <v>21</v>
      </c>
      <c r="C32">
        <v>2</v>
      </c>
      <c r="D32" t="s">
        <v>2164</v>
      </c>
      <c r="E32" t="s">
        <v>1049</v>
      </c>
      <c r="F32" t="s">
        <v>2165</v>
      </c>
    </row>
    <row r="33" spans="1:6" x14ac:dyDescent="0.25">
      <c r="A33" s="19" t="s">
        <v>645</v>
      </c>
      <c r="B33" t="s">
        <v>2129</v>
      </c>
      <c r="C33">
        <v>4</v>
      </c>
      <c r="D33" t="s">
        <v>2166</v>
      </c>
      <c r="E33" t="s">
        <v>1594</v>
      </c>
      <c r="F33" t="s">
        <v>2167</v>
      </c>
    </row>
    <row r="34" spans="1:6" x14ac:dyDescent="0.25">
      <c r="A34" s="19" t="s">
        <v>651</v>
      </c>
      <c r="B34" t="s">
        <v>970</v>
      </c>
      <c r="C34">
        <v>50</v>
      </c>
      <c r="D34" t="s">
        <v>2168</v>
      </c>
      <c r="E34" t="s">
        <v>901</v>
      </c>
      <c r="F34" t="s">
        <v>946</v>
      </c>
    </row>
    <row r="35" spans="1:6" x14ac:dyDescent="0.25">
      <c r="A35" s="19" t="s">
        <v>651</v>
      </c>
      <c r="B35" t="s">
        <v>617</v>
      </c>
      <c r="C35">
        <v>16</v>
      </c>
      <c r="D35" t="s">
        <v>2169</v>
      </c>
      <c r="E35" t="s">
        <v>911</v>
      </c>
      <c r="F35" t="s">
        <v>2170</v>
      </c>
    </row>
    <row r="36" spans="1:6" x14ac:dyDescent="0.25">
      <c r="A36" s="19" t="s">
        <v>651</v>
      </c>
      <c r="B36" t="s">
        <v>1455</v>
      </c>
      <c r="C36">
        <v>10</v>
      </c>
      <c r="D36" t="s">
        <v>2171</v>
      </c>
      <c r="E36" t="s">
        <v>911</v>
      </c>
      <c r="F36" t="s">
        <v>2172</v>
      </c>
    </row>
    <row r="37" spans="1:6" x14ac:dyDescent="0.25">
      <c r="A37" s="19" t="s">
        <v>651</v>
      </c>
      <c r="B37" t="s">
        <v>970</v>
      </c>
      <c r="C37">
        <v>12</v>
      </c>
      <c r="D37" t="s">
        <v>2173</v>
      </c>
      <c r="E37" t="s">
        <v>1594</v>
      </c>
      <c r="F37" t="s">
        <v>2174</v>
      </c>
    </row>
    <row r="38" spans="1:6" x14ac:dyDescent="0.25">
      <c r="A38" s="19" t="s">
        <v>651</v>
      </c>
      <c r="B38" t="s">
        <v>966</v>
      </c>
      <c r="C38">
        <v>4</v>
      </c>
      <c r="D38" t="s">
        <v>2175</v>
      </c>
      <c r="E38" t="s">
        <v>968</v>
      </c>
      <c r="F38" t="s">
        <v>1539</v>
      </c>
    </row>
    <row r="39" spans="1:6" x14ac:dyDescent="0.25">
      <c r="A39" s="19" t="s">
        <v>651</v>
      </c>
      <c r="B39" t="s">
        <v>2126</v>
      </c>
      <c r="C39">
        <v>4</v>
      </c>
      <c r="D39" t="s">
        <v>2176</v>
      </c>
      <c r="E39" t="s">
        <v>968</v>
      </c>
      <c r="F39" t="s">
        <v>1501</v>
      </c>
    </row>
    <row r="40" spans="1:6" x14ac:dyDescent="0.25">
      <c r="A40" s="19" t="s">
        <v>651</v>
      </c>
      <c r="B40" t="s">
        <v>1565</v>
      </c>
      <c r="C40">
        <v>4</v>
      </c>
      <c r="D40" t="s">
        <v>2154</v>
      </c>
      <c r="E40" t="s">
        <v>968</v>
      </c>
      <c r="F40" t="s">
        <v>2177</v>
      </c>
    </row>
    <row r="41" spans="1:6" x14ac:dyDescent="0.25">
      <c r="A41" s="19" t="s">
        <v>800</v>
      </c>
      <c r="B41" t="s">
        <v>617</v>
      </c>
      <c r="C41">
        <v>70</v>
      </c>
      <c r="D41" t="s">
        <v>2178</v>
      </c>
      <c r="E41" t="s">
        <v>901</v>
      </c>
      <c r="F41" t="s">
        <v>2179</v>
      </c>
    </row>
    <row r="42" spans="1:6" x14ac:dyDescent="0.25">
      <c r="A42" s="19" t="s">
        <v>800</v>
      </c>
      <c r="B42" t="s">
        <v>970</v>
      </c>
      <c r="C42">
        <v>16</v>
      </c>
      <c r="D42" t="s">
        <v>2180</v>
      </c>
      <c r="E42" t="s">
        <v>968</v>
      </c>
      <c r="F42" t="s">
        <v>1731</v>
      </c>
    </row>
    <row r="43" spans="1:6" x14ac:dyDescent="0.25">
      <c r="A43" s="19" t="s">
        <v>800</v>
      </c>
      <c r="B43" t="s">
        <v>1455</v>
      </c>
      <c r="C43">
        <v>4</v>
      </c>
      <c r="D43" t="s">
        <v>2181</v>
      </c>
      <c r="E43" t="s">
        <v>911</v>
      </c>
      <c r="F43" t="s">
        <v>2182</v>
      </c>
    </row>
    <row r="44" spans="1:6" x14ac:dyDescent="0.25">
      <c r="A44" s="19" t="s">
        <v>800</v>
      </c>
      <c r="B44" t="s">
        <v>2126</v>
      </c>
      <c r="C44">
        <v>4</v>
      </c>
      <c r="D44" t="s">
        <v>2176</v>
      </c>
      <c r="E44" t="s">
        <v>968</v>
      </c>
      <c r="F44" t="s">
        <v>1501</v>
      </c>
    </row>
    <row r="45" spans="1:6" x14ac:dyDescent="0.25">
      <c r="A45" s="19" t="s">
        <v>800</v>
      </c>
      <c r="B45" t="s">
        <v>970</v>
      </c>
      <c r="C45">
        <v>4</v>
      </c>
      <c r="D45" t="s">
        <v>2183</v>
      </c>
      <c r="E45" t="s">
        <v>1594</v>
      </c>
      <c r="F45" t="s">
        <v>2184</v>
      </c>
    </row>
    <row r="46" spans="1:6" x14ac:dyDescent="0.25">
      <c r="A46" s="19" t="s">
        <v>800</v>
      </c>
      <c r="B46" t="s">
        <v>1565</v>
      </c>
      <c r="C46">
        <v>2</v>
      </c>
      <c r="D46" t="s">
        <v>2154</v>
      </c>
      <c r="E46" t="s">
        <v>968</v>
      </c>
      <c r="F46" t="s">
        <v>2177</v>
      </c>
    </row>
    <row r="47" spans="1:6" x14ac:dyDescent="0.25">
      <c r="A47" s="19" t="s">
        <v>804</v>
      </c>
      <c r="B47" t="s">
        <v>2129</v>
      </c>
      <c r="C47">
        <v>44</v>
      </c>
      <c r="D47" t="s">
        <v>2185</v>
      </c>
      <c r="E47" t="s">
        <v>901</v>
      </c>
      <c r="F47" t="s">
        <v>2186</v>
      </c>
    </row>
    <row r="48" spans="1:6" x14ac:dyDescent="0.25">
      <c r="A48" s="19" t="s">
        <v>804</v>
      </c>
      <c r="B48" t="s">
        <v>1565</v>
      </c>
      <c r="C48">
        <v>24</v>
      </c>
      <c r="D48" t="s">
        <v>2187</v>
      </c>
      <c r="E48" t="s">
        <v>1044</v>
      </c>
      <c r="F48" t="s">
        <v>2188</v>
      </c>
    </row>
    <row r="49" spans="1:6" x14ac:dyDescent="0.25">
      <c r="A49" s="19" t="s">
        <v>804</v>
      </c>
      <c r="B49" t="s">
        <v>22</v>
      </c>
      <c r="C49">
        <v>12</v>
      </c>
      <c r="D49" t="s">
        <v>2189</v>
      </c>
      <c r="E49" t="s">
        <v>1049</v>
      </c>
      <c r="F49" t="s">
        <v>2190</v>
      </c>
    </row>
    <row r="50" spans="1:6" x14ac:dyDescent="0.25">
      <c r="A50" s="19" t="s">
        <v>804</v>
      </c>
      <c r="B50" t="s">
        <v>1557</v>
      </c>
      <c r="C50">
        <v>8</v>
      </c>
      <c r="D50" t="s">
        <v>2136</v>
      </c>
      <c r="E50" t="s">
        <v>911</v>
      </c>
      <c r="F50" t="s">
        <v>1707</v>
      </c>
    </row>
    <row r="51" spans="1:6" x14ac:dyDescent="0.25">
      <c r="A51" s="19" t="s">
        <v>804</v>
      </c>
      <c r="B51" t="s">
        <v>18</v>
      </c>
      <c r="C51">
        <v>4</v>
      </c>
      <c r="D51" t="s">
        <v>1474</v>
      </c>
      <c r="E51" t="s">
        <v>911</v>
      </c>
      <c r="F51" t="s">
        <v>2191</v>
      </c>
    </row>
    <row r="52" spans="1:6" x14ac:dyDescent="0.25">
      <c r="A52" s="19" t="s">
        <v>804</v>
      </c>
      <c r="B52" t="s">
        <v>21</v>
      </c>
      <c r="C52">
        <v>4</v>
      </c>
      <c r="D52" t="s">
        <v>2192</v>
      </c>
      <c r="E52" t="s">
        <v>1049</v>
      </c>
      <c r="F52" t="s">
        <v>2193</v>
      </c>
    </row>
    <row r="53" spans="1:6" x14ac:dyDescent="0.25">
      <c r="A53" s="19" t="s">
        <v>804</v>
      </c>
      <c r="B53" t="s">
        <v>970</v>
      </c>
      <c r="C53">
        <v>4</v>
      </c>
      <c r="D53" t="s">
        <v>2194</v>
      </c>
      <c r="E53" t="s">
        <v>968</v>
      </c>
      <c r="F53" t="s">
        <v>2195</v>
      </c>
    </row>
    <row r="54" spans="1:6" x14ac:dyDescent="0.25">
      <c r="A54" s="19" t="s">
        <v>607</v>
      </c>
      <c r="B54" t="s">
        <v>21</v>
      </c>
      <c r="C54">
        <v>36</v>
      </c>
      <c r="D54" t="s">
        <v>2196</v>
      </c>
      <c r="E54" t="s">
        <v>901</v>
      </c>
      <c r="F54" t="s">
        <v>2197</v>
      </c>
    </row>
    <row r="55" spans="1:6" x14ac:dyDescent="0.25">
      <c r="A55" s="19" t="s">
        <v>607</v>
      </c>
      <c r="B55" t="s">
        <v>1455</v>
      </c>
      <c r="C55">
        <v>18</v>
      </c>
      <c r="D55" t="s">
        <v>2198</v>
      </c>
      <c r="E55" t="s">
        <v>1044</v>
      </c>
      <c r="F55" t="s">
        <v>2199</v>
      </c>
    </row>
    <row r="56" spans="1:6" x14ac:dyDescent="0.25">
      <c r="A56" s="19" t="s">
        <v>607</v>
      </c>
      <c r="B56" t="s">
        <v>1452</v>
      </c>
      <c r="C56">
        <v>12</v>
      </c>
      <c r="D56" t="s">
        <v>2200</v>
      </c>
      <c r="E56" t="s">
        <v>911</v>
      </c>
      <c r="F56" t="s">
        <v>2201</v>
      </c>
    </row>
    <row r="57" spans="1:6" x14ac:dyDescent="0.25">
      <c r="A57" s="19" t="s">
        <v>607</v>
      </c>
      <c r="B57" t="s">
        <v>966</v>
      </c>
      <c r="C57">
        <v>10</v>
      </c>
      <c r="D57" t="s">
        <v>2202</v>
      </c>
      <c r="E57" t="s">
        <v>968</v>
      </c>
      <c r="F57" t="s">
        <v>2203</v>
      </c>
    </row>
    <row r="58" spans="1:6" x14ac:dyDescent="0.25">
      <c r="A58" s="19" t="s">
        <v>607</v>
      </c>
      <c r="B58" t="s">
        <v>970</v>
      </c>
      <c r="C58">
        <v>4</v>
      </c>
      <c r="D58" t="s">
        <v>2204</v>
      </c>
      <c r="E58" t="s">
        <v>968</v>
      </c>
      <c r="F58" t="s">
        <v>2205</v>
      </c>
    </row>
    <row r="59" spans="1:6" x14ac:dyDescent="0.25">
      <c r="A59" s="19" t="s">
        <v>607</v>
      </c>
      <c r="B59" t="s">
        <v>22</v>
      </c>
      <c r="C59">
        <v>4</v>
      </c>
      <c r="D59" t="s">
        <v>2206</v>
      </c>
      <c r="E59" t="s">
        <v>1049</v>
      </c>
      <c r="F59" t="s">
        <v>2207</v>
      </c>
    </row>
    <row r="60" spans="1:6" x14ac:dyDescent="0.25">
      <c r="A60" s="19" t="s">
        <v>607</v>
      </c>
      <c r="B60" t="s">
        <v>19</v>
      </c>
      <c r="C60">
        <v>4</v>
      </c>
      <c r="D60" t="s">
        <v>1573</v>
      </c>
      <c r="E60" t="s">
        <v>1049</v>
      </c>
      <c r="F60" t="s">
        <v>1534</v>
      </c>
    </row>
    <row r="61" spans="1:6" x14ac:dyDescent="0.25">
      <c r="A61" s="19" t="s">
        <v>607</v>
      </c>
      <c r="B61" t="s">
        <v>21</v>
      </c>
      <c r="C61">
        <v>8</v>
      </c>
      <c r="D61" t="s">
        <v>2132</v>
      </c>
      <c r="E61" t="s">
        <v>1594</v>
      </c>
      <c r="F61" t="s">
        <v>2208</v>
      </c>
    </row>
    <row r="62" spans="1:6" x14ac:dyDescent="0.25">
      <c r="A62" s="19" t="s">
        <v>607</v>
      </c>
      <c r="B62" t="s">
        <v>18</v>
      </c>
      <c r="C62">
        <v>2</v>
      </c>
      <c r="D62" t="s">
        <v>2209</v>
      </c>
      <c r="E62" t="s">
        <v>911</v>
      </c>
      <c r="F62" t="s">
        <v>1671</v>
      </c>
    </row>
    <row r="63" spans="1:6" x14ac:dyDescent="0.25">
      <c r="A63" s="19" t="s">
        <v>607</v>
      </c>
      <c r="B63" t="s">
        <v>617</v>
      </c>
      <c r="C63">
        <v>2</v>
      </c>
      <c r="D63" t="s">
        <v>2210</v>
      </c>
      <c r="E63" t="s">
        <v>911</v>
      </c>
      <c r="F63" t="s">
        <v>1509</v>
      </c>
    </row>
    <row r="64" spans="1:6" x14ac:dyDescent="0.25">
      <c r="A64" s="19" t="s">
        <v>807</v>
      </c>
      <c r="B64" t="s">
        <v>617</v>
      </c>
      <c r="C64">
        <v>58</v>
      </c>
      <c r="D64" t="s">
        <v>2211</v>
      </c>
      <c r="E64" t="s">
        <v>901</v>
      </c>
      <c r="F64" t="s">
        <v>2212</v>
      </c>
    </row>
    <row r="65" spans="1:6" x14ac:dyDescent="0.25">
      <c r="A65" s="19" t="s">
        <v>807</v>
      </c>
      <c r="B65" t="s">
        <v>1452</v>
      </c>
      <c r="C65">
        <v>24</v>
      </c>
      <c r="D65" t="s">
        <v>2213</v>
      </c>
      <c r="E65" t="s">
        <v>911</v>
      </c>
      <c r="F65" t="s">
        <v>2214</v>
      </c>
    </row>
    <row r="66" spans="1:6" x14ac:dyDescent="0.25">
      <c r="A66" s="19" t="s">
        <v>807</v>
      </c>
      <c r="B66" t="s">
        <v>2087</v>
      </c>
      <c r="C66">
        <v>4</v>
      </c>
      <c r="D66" t="s">
        <v>2215</v>
      </c>
      <c r="E66" t="s">
        <v>1049</v>
      </c>
      <c r="F66" t="s">
        <v>1660</v>
      </c>
    </row>
    <row r="67" spans="1:6" x14ac:dyDescent="0.25">
      <c r="A67" s="19" t="s">
        <v>807</v>
      </c>
      <c r="B67" t="s">
        <v>635</v>
      </c>
      <c r="C67">
        <v>2</v>
      </c>
      <c r="D67" t="s">
        <v>2216</v>
      </c>
      <c r="E67" t="s">
        <v>1049</v>
      </c>
      <c r="F67" t="s">
        <v>1574</v>
      </c>
    </row>
    <row r="68" spans="1:6" x14ac:dyDescent="0.25">
      <c r="A68" s="19" t="s">
        <v>807</v>
      </c>
      <c r="B68" t="s">
        <v>2012</v>
      </c>
      <c r="C68">
        <v>2</v>
      </c>
      <c r="D68" t="s">
        <v>2217</v>
      </c>
      <c r="E68" t="s">
        <v>1049</v>
      </c>
      <c r="F68" t="s">
        <v>1574</v>
      </c>
    </row>
    <row r="69" spans="1:6" x14ac:dyDescent="0.25">
      <c r="A69" s="19" t="s">
        <v>807</v>
      </c>
      <c r="B69" t="s">
        <v>617</v>
      </c>
      <c r="C69">
        <v>4</v>
      </c>
      <c r="D69" t="s">
        <v>2218</v>
      </c>
      <c r="E69" t="s">
        <v>1594</v>
      </c>
      <c r="F69" t="s">
        <v>2219</v>
      </c>
    </row>
    <row r="70" spans="1:6" x14ac:dyDescent="0.25">
      <c r="A70" s="19" t="s">
        <v>807</v>
      </c>
      <c r="B70" t="s">
        <v>1452</v>
      </c>
      <c r="C70">
        <v>6</v>
      </c>
      <c r="D70" t="s">
        <v>2220</v>
      </c>
      <c r="E70" t="s">
        <v>1594</v>
      </c>
      <c r="F70" t="s">
        <v>2221</v>
      </c>
    </row>
    <row r="71" spans="1:6" x14ac:dyDescent="0.25">
      <c r="A71" s="19" t="s">
        <v>641</v>
      </c>
      <c r="B71" t="s">
        <v>1452</v>
      </c>
      <c r="C71">
        <v>52</v>
      </c>
      <c r="D71" t="s">
        <v>2222</v>
      </c>
      <c r="E71" t="s">
        <v>901</v>
      </c>
      <c r="F71" t="s">
        <v>946</v>
      </c>
    </row>
    <row r="72" spans="1:6" x14ac:dyDescent="0.25">
      <c r="A72" s="19" t="s">
        <v>641</v>
      </c>
      <c r="B72" t="s">
        <v>1455</v>
      </c>
      <c r="C72">
        <v>10</v>
      </c>
      <c r="D72" t="s">
        <v>2223</v>
      </c>
      <c r="E72" t="s">
        <v>911</v>
      </c>
      <c r="F72" t="s">
        <v>2224</v>
      </c>
    </row>
    <row r="73" spans="1:6" x14ac:dyDescent="0.25">
      <c r="A73" s="19" t="s">
        <v>641</v>
      </c>
      <c r="B73" t="s">
        <v>617</v>
      </c>
      <c r="C73">
        <v>8</v>
      </c>
      <c r="D73" t="s">
        <v>2225</v>
      </c>
      <c r="E73" t="s">
        <v>911</v>
      </c>
      <c r="F73" t="s">
        <v>1660</v>
      </c>
    </row>
    <row r="74" spans="1:6" x14ac:dyDescent="0.25">
      <c r="A74" s="19" t="s">
        <v>641</v>
      </c>
      <c r="B74" t="s">
        <v>950</v>
      </c>
      <c r="C74">
        <v>8</v>
      </c>
      <c r="D74" t="s">
        <v>2226</v>
      </c>
      <c r="E74" t="s">
        <v>911</v>
      </c>
      <c r="F74" t="s">
        <v>1590</v>
      </c>
    </row>
    <row r="75" spans="1:6" x14ac:dyDescent="0.25">
      <c r="A75" s="19" t="s">
        <v>641</v>
      </c>
      <c r="B75" t="s">
        <v>23</v>
      </c>
      <c r="C75">
        <v>6</v>
      </c>
      <c r="D75" t="s">
        <v>2227</v>
      </c>
      <c r="E75" t="s">
        <v>911</v>
      </c>
      <c r="F75" t="s">
        <v>2228</v>
      </c>
    </row>
    <row r="76" spans="1:6" x14ac:dyDescent="0.25">
      <c r="A76" s="19" t="s">
        <v>641</v>
      </c>
      <c r="B76" t="s">
        <v>2087</v>
      </c>
      <c r="C76">
        <v>2</v>
      </c>
      <c r="D76" t="s">
        <v>2215</v>
      </c>
      <c r="E76" t="s">
        <v>1049</v>
      </c>
      <c r="F76" t="s">
        <v>1574</v>
      </c>
    </row>
    <row r="77" spans="1:6" x14ac:dyDescent="0.25">
      <c r="A77" s="19" t="s">
        <v>641</v>
      </c>
      <c r="B77" t="s">
        <v>617</v>
      </c>
      <c r="C77">
        <v>4</v>
      </c>
      <c r="D77" t="s">
        <v>2229</v>
      </c>
      <c r="E77" t="s">
        <v>1594</v>
      </c>
      <c r="F77" t="s">
        <v>2230</v>
      </c>
    </row>
    <row r="78" spans="1:6" x14ac:dyDescent="0.25">
      <c r="A78" s="19" t="s">
        <v>641</v>
      </c>
      <c r="B78" t="s">
        <v>1452</v>
      </c>
      <c r="C78">
        <v>10</v>
      </c>
      <c r="D78" t="s">
        <v>2231</v>
      </c>
      <c r="E78" t="s">
        <v>1594</v>
      </c>
      <c r="F78" t="s">
        <v>2232</v>
      </c>
    </row>
    <row r="79" spans="1:6" x14ac:dyDescent="0.25">
      <c r="A79" s="19" t="s">
        <v>674</v>
      </c>
      <c r="B79" t="s">
        <v>1452</v>
      </c>
      <c r="C79">
        <v>70</v>
      </c>
      <c r="D79" t="s">
        <v>2233</v>
      </c>
      <c r="E79" t="s">
        <v>901</v>
      </c>
      <c r="F79" t="s">
        <v>956</v>
      </c>
    </row>
    <row r="80" spans="1:6" x14ac:dyDescent="0.25">
      <c r="A80" s="19" t="s">
        <v>674</v>
      </c>
      <c r="B80" t="s">
        <v>1455</v>
      </c>
      <c r="C80">
        <v>18</v>
      </c>
      <c r="D80" t="s">
        <v>2234</v>
      </c>
      <c r="E80" t="s">
        <v>1044</v>
      </c>
      <c r="F80" t="s">
        <v>1513</v>
      </c>
    </row>
    <row r="81" spans="1:6" x14ac:dyDescent="0.25">
      <c r="A81" s="19" t="s">
        <v>674</v>
      </c>
      <c r="B81" t="s">
        <v>19</v>
      </c>
      <c r="C81">
        <v>4</v>
      </c>
      <c r="D81" t="s">
        <v>2227</v>
      </c>
      <c r="E81" t="s">
        <v>911</v>
      </c>
      <c r="F81" t="s">
        <v>2228</v>
      </c>
    </row>
    <row r="82" spans="1:6" x14ac:dyDescent="0.25">
      <c r="A82" s="19" t="s">
        <v>674</v>
      </c>
      <c r="B82" t="s">
        <v>21</v>
      </c>
      <c r="C82">
        <v>4</v>
      </c>
      <c r="D82" t="s">
        <v>2164</v>
      </c>
      <c r="E82" t="s">
        <v>1049</v>
      </c>
      <c r="F82" t="s">
        <v>2235</v>
      </c>
    </row>
    <row r="83" spans="1:6" x14ac:dyDescent="0.25">
      <c r="A83" s="19" t="s">
        <v>674</v>
      </c>
      <c r="B83" t="s">
        <v>617</v>
      </c>
      <c r="C83">
        <v>2</v>
      </c>
      <c r="D83" t="s">
        <v>2236</v>
      </c>
      <c r="E83" t="s">
        <v>911</v>
      </c>
      <c r="F83" t="s">
        <v>1501</v>
      </c>
    </row>
    <row r="84" spans="1:6" x14ac:dyDescent="0.25">
      <c r="A84" s="19" t="s">
        <v>674</v>
      </c>
      <c r="B84" t="s">
        <v>950</v>
      </c>
      <c r="C84">
        <v>2</v>
      </c>
      <c r="D84" t="s">
        <v>2237</v>
      </c>
      <c r="E84" t="s">
        <v>911</v>
      </c>
      <c r="F84" t="s">
        <v>1507</v>
      </c>
    </row>
    <row r="85" spans="1:6" x14ac:dyDescent="0.25">
      <c r="A85" s="19" t="s">
        <v>810</v>
      </c>
      <c r="B85" t="s">
        <v>1455</v>
      </c>
      <c r="C85">
        <v>68</v>
      </c>
      <c r="D85" t="s">
        <v>2238</v>
      </c>
      <c r="E85" t="s">
        <v>901</v>
      </c>
      <c r="F85" t="s">
        <v>956</v>
      </c>
    </row>
    <row r="86" spans="1:6" x14ac:dyDescent="0.25">
      <c r="A86" s="19" t="s">
        <v>810</v>
      </c>
      <c r="B86" t="s">
        <v>21</v>
      </c>
      <c r="C86">
        <v>13</v>
      </c>
      <c r="D86" t="s">
        <v>2192</v>
      </c>
      <c r="E86" t="s">
        <v>1044</v>
      </c>
      <c r="F86" t="s">
        <v>2239</v>
      </c>
    </row>
    <row r="87" spans="1:6" x14ac:dyDescent="0.25">
      <c r="A87" s="19" t="s">
        <v>810</v>
      </c>
      <c r="B87" t="s">
        <v>1452</v>
      </c>
      <c r="C87">
        <v>13</v>
      </c>
      <c r="D87" t="s">
        <v>2240</v>
      </c>
      <c r="E87" t="s">
        <v>911</v>
      </c>
      <c r="F87" t="s">
        <v>1507</v>
      </c>
    </row>
    <row r="88" spans="1:6" x14ac:dyDescent="0.25">
      <c r="A88" s="19" t="s">
        <v>810</v>
      </c>
      <c r="B88" t="s">
        <v>970</v>
      </c>
      <c r="C88">
        <v>2</v>
      </c>
      <c r="D88" t="s">
        <v>2241</v>
      </c>
      <c r="E88" t="s">
        <v>968</v>
      </c>
      <c r="F88" t="s">
        <v>2203</v>
      </c>
    </row>
    <row r="89" spans="1:6" x14ac:dyDescent="0.25">
      <c r="A89" s="19" t="s">
        <v>810</v>
      </c>
      <c r="B89" t="s">
        <v>19</v>
      </c>
      <c r="C89">
        <v>2</v>
      </c>
      <c r="D89" t="s">
        <v>2227</v>
      </c>
      <c r="E89" t="s">
        <v>911</v>
      </c>
      <c r="F89" t="s">
        <v>1534</v>
      </c>
    </row>
    <row r="90" spans="1:6" x14ac:dyDescent="0.25">
      <c r="A90" s="19" t="s">
        <v>810</v>
      </c>
      <c r="B90" t="s">
        <v>617</v>
      </c>
      <c r="C90">
        <v>2</v>
      </c>
      <c r="D90" t="s">
        <v>2242</v>
      </c>
      <c r="E90" t="s">
        <v>911</v>
      </c>
      <c r="F90" t="s">
        <v>1501</v>
      </c>
    </row>
    <row r="91" spans="1:6" x14ac:dyDescent="0.25">
      <c r="A91" s="19" t="s">
        <v>813</v>
      </c>
      <c r="B91" t="s">
        <v>1452</v>
      </c>
      <c r="C91">
        <v>64</v>
      </c>
      <c r="D91" t="s">
        <v>2243</v>
      </c>
      <c r="E91" t="s">
        <v>901</v>
      </c>
      <c r="F91" t="s">
        <v>946</v>
      </c>
    </row>
    <row r="92" spans="1:6" x14ac:dyDescent="0.25">
      <c r="A92" s="19" t="s">
        <v>813</v>
      </c>
      <c r="B92" t="s">
        <v>1455</v>
      </c>
      <c r="C92">
        <v>10</v>
      </c>
      <c r="D92" t="s">
        <v>2244</v>
      </c>
      <c r="E92" t="s">
        <v>911</v>
      </c>
      <c r="F92" t="s">
        <v>1669</v>
      </c>
    </row>
    <row r="93" spans="1:6" x14ac:dyDescent="0.25">
      <c r="A93" s="19" t="s">
        <v>813</v>
      </c>
      <c r="B93" t="s">
        <v>617</v>
      </c>
      <c r="C93">
        <v>10</v>
      </c>
      <c r="D93" t="s">
        <v>2245</v>
      </c>
      <c r="E93" t="s">
        <v>911</v>
      </c>
      <c r="F93" t="s">
        <v>1501</v>
      </c>
    </row>
    <row r="94" spans="1:6" x14ac:dyDescent="0.25">
      <c r="A94" s="19" t="s">
        <v>813</v>
      </c>
      <c r="B94" t="s">
        <v>19</v>
      </c>
      <c r="C94">
        <v>6</v>
      </c>
      <c r="D94" t="s">
        <v>2227</v>
      </c>
      <c r="E94" t="s">
        <v>911</v>
      </c>
      <c r="F94" t="s">
        <v>1534</v>
      </c>
    </row>
    <row r="95" spans="1:6" x14ac:dyDescent="0.25">
      <c r="A95" s="19" t="s">
        <v>813</v>
      </c>
      <c r="B95" t="s">
        <v>950</v>
      </c>
      <c r="C95">
        <v>4</v>
      </c>
      <c r="D95" t="s">
        <v>2246</v>
      </c>
      <c r="E95" t="s">
        <v>911</v>
      </c>
      <c r="F95" t="s">
        <v>1507</v>
      </c>
    </row>
    <row r="96" spans="1:6" x14ac:dyDescent="0.25">
      <c r="A96" s="19" t="s">
        <v>813</v>
      </c>
      <c r="B96" t="s">
        <v>2087</v>
      </c>
      <c r="C96">
        <v>2</v>
      </c>
      <c r="D96" t="s">
        <v>2215</v>
      </c>
      <c r="E96" t="s">
        <v>1049</v>
      </c>
      <c r="F96" t="s">
        <v>1574</v>
      </c>
    </row>
    <row r="97" spans="1:6" x14ac:dyDescent="0.25">
      <c r="A97" s="19" t="s">
        <v>813</v>
      </c>
      <c r="B97" t="s">
        <v>1452</v>
      </c>
      <c r="C97">
        <v>4</v>
      </c>
      <c r="D97" t="s">
        <v>2247</v>
      </c>
      <c r="E97" t="s">
        <v>1594</v>
      </c>
      <c r="F97" t="s">
        <v>2232</v>
      </c>
    </row>
    <row r="98" spans="1:6" x14ac:dyDescent="0.25">
      <c r="A98" s="19" t="s">
        <v>816</v>
      </c>
      <c r="B98" t="s">
        <v>1452</v>
      </c>
      <c r="C98">
        <v>70</v>
      </c>
      <c r="D98" t="s">
        <v>2248</v>
      </c>
      <c r="E98" t="s">
        <v>901</v>
      </c>
      <c r="F98" t="s">
        <v>946</v>
      </c>
    </row>
    <row r="99" spans="1:6" x14ac:dyDescent="0.25">
      <c r="A99" s="19" t="s">
        <v>816</v>
      </c>
      <c r="B99" t="s">
        <v>21</v>
      </c>
      <c r="C99">
        <v>10</v>
      </c>
      <c r="D99" t="s">
        <v>2192</v>
      </c>
      <c r="E99" t="s">
        <v>1044</v>
      </c>
      <c r="F99" t="s">
        <v>2249</v>
      </c>
    </row>
    <row r="100" spans="1:6" x14ac:dyDescent="0.25">
      <c r="A100" s="19" t="s">
        <v>816</v>
      </c>
      <c r="B100" t="s">
        <v>19</v>
      </c>
      <c r="C100">
        <v>8</v>
      </c>
      <c r="D100" t="s">
        <v>2227</v>
      </c>
      <c r="E100" t="s">
        <v>911</v>
      </c>
      <c r="F100" t="s">
        <v>1534</v>
      </c>
    </row>
    <row r="101" spans="1:6" x14ac:dyDescent="0.25">
      <c r="A101" s="19" t="s">
        <v>816</v>
      </c>
      <c r="B101" t="s">
        <v>1455</v>
      </c>
      <c r="C101">
        <v>4</v>
      </c>
      <c r="D101" t="s">
        <v>2181</v>
      </c>
      <c r="E101" t="s">
        <v>911</v>
      </c>
      <c r="F101" t="s">
        <v>1824</v>
      </c>
    </row>
    <row r="102" spans="1:6" x14ac:dyDescent="0.25">
      <c r="A102" s="19" t="s">
        <v>816</v>
      </c>
      <c r="B102" t="s">
        <v>950</v>
      </c>
      <c r="C102">
        <v>4</v>
      </c>
      <c r="D102" t="s">
        <v>2246</v>
      </c>
      <c r="E102" t="s">
        <v>911</v>
      </c>
      <c r="F102" t="s">
        <v>1507</v>
      </c>
    </row>
    <row r="103" spans="1:6" x14ac:dyDescent="0.25">
      <c r="A103" s="19" t="s">
        <v>816</v>
      </c>
      <c r="B103" t="s">
        <v>22</v>
      </c>
      <c r="C103">
        <v>2</v>
      </c>
      <c r="D103" t="s">
        <v>2250</v>
      </c>
      <c r="E103" t="s">
        <v>1049</v>
      </c>
      <c r="F103" t="s">
        <v>1671</v>
      </c>
    </row>
    <row r="104" spans="1:6" x14ac:dyDescent="0.25">
      <c r="A104" s="19" t="s">
        <v>816</v>
      </c>
      <c r="B104" t="s">
        <v>1452</v>
      </c>
      <c r="C104">
        <v>2</v>
      </c>
      <c r="D104" t="s">
        <v>2251</v>
      </c>
      <c r="E104" t="s">
        <v>1594</v>
      </c>
      <c r="F104" t="s">
        <v>2232</v>
      </c>
    </row>
    <row r="105" spans="1:6" x14ac:dyDescent="0.25">
      <c r="A105" s="19" t="s">
        <v>617</v>
      </c>
      <c r="B105" t="s">
        <v>617</v>
      </c>
      <c r="C105">
        <v>68</v>
      </c>
      <c r="D105" t="s">
        <v>2252</v>
      </c>
      <c r="E105" t="s">
        <v>901</v>
      </c>
      <c r="F105" t="s">
        <v>2253</v>
      </c>
    </row>
    <row r="106" spans="1:6" x14ac:dyDescent="0.25">
      <c r="A106" s="19" t="s">
        <v>617</v>
      </c>
      <c r="B106" t="s">
        <v>1202</v>
      </c>
      <c r="C106">
        <v>3</v>
      </c>
      <c r="D106" t="s">
        <v>2254</v>
      </c>
      <c r="E106" t="s">
        <v>1049</v>
      </c>
      <c r="F106" t="s">
        <v>2255</v>
      </c>
    </row>
    <row r="107" spans="1:6" x14ac:dyDescent="0.25">
      <c r="A107" s="19" t="s">
        <v>617</v>
      </c>
      <c r="B107" t="s">
        <v>2012</v>
      </c>
      <c r="C107">
        <v>3</v>
      </c>
      <c r="D107" t="s">
        <v>2256</v>
      </c>
      <c r="E107" t="s">
        <v>1049</v>
      </c>
      <c r="F107" t="s">
        <v>2257</v>
      </c>
    </row>
    <row r="108" spans="1:6" x14ac:dyDescent="0.25">
      <c r="A108" s="19" t="s">
        <v>617</v>
      </c>
      <c r="B108" t="s">
        <v>2059</v>
      </c>
      <c r="C108">
        <v>4</v>
      </c>
      <c r="D108" t="s">
        <v>2258</v>
      </c>
      <c r="E108" t="s">
        <v>1049</v>
      </c>
      <c r="F108" t="s">
        <v>2259</v>
      </c>
    </row>
    <row r="109" spans="1:6" x14ac:dyDescent="0.25">
      <c r="A109" s="19" t="s">
        <v>617</v>
      </c>
      <c r="B109" t="s">
        <v>2087</v>
      </c>
      <c r="C109">
        <v>4</v>
      </c>
      <c r="D109" t="s">
        <v>2215</v>
      </c>
      <c r="E109" t="s">
        <v>1049</v>
      </c>
      <c r="F109" t="s">
        <v>2260</v>
      </c>
    </row>
    <row r="110" spans="1:6" x14ac:dyDescent="0.25">
      <c r="A110" s="19" t="s">
        <v>617</v>
      </c>
      <c r="B110" t="s">
        <v>1452</v>
      </c>
      <c r="C110">
        <v>4</v>
      </c>
      <c r="D110" t="s">
        <v>2261</v>
      </c>
      <c r="E110" t="s">
        <v>911</v>
      </c>
      <c r="F110" t="s">
        <v>2262</v>
      </c>
    </row>
    <row r="111" spans="1:6" x14ac:dyDescent="0.25">
      <c r="A111" s="19" t="s">
        <v>617</v>
      </c>
      <c r="B111" t="s">
        <v>635</v>
      </c>
      <c r="C111">
        <v>2</v>
      </c>
      <c r="D111" t="s">
        <v>2216</v>
      </c>
      <c r="E111" t="s">
        <v>1049</v>
      </c>
      <c r="F111" t="s">
        <v>2263</v>
      </c>
    </row>
    <row r="112" spans="1:6" x14ac:dyDescent="0.25">
      <c r="A112" s="19" t="s">
        <v>617</v>
      </c>
      <c r="B112" t="s">
        <v>2009</v>
      </c>
      <c r="C112">
        <v>2</v>
      </c>
      <c r="D112" t="s">
        <v>2264</v>
      </c>
      <c r="E112" t="s">
        <v>1049</v>
      </c>
      <c r="F112" t="s">
        <v>1669</v>
      </c>
    </row>
    <row r="113" spans="1:6" x14ac:dyDescent="0.25">
      <c r="A113" s="19" t="s">
        <v>617</v>
      </c>
      <c r="B113" t="s">
        <v>970</v>
      </c>
      <c r="C113">
        <v>2</v>
      </c>
      <c r="D113" t="s">
        <v>2183</v>
      </c>
      <c r="E113" t="s">
        <v>911</v>
      </c>
      <c r="F113" t="s">
        <v>2265</v>
      </c>
    </row>
    <row r="114" spans="1:6" x14ac:dyDescent="0.25">
      <c r="A114" s="19" t="s">
        <v>617</v>
      </c>
      <c r="B114" t="s">
        <v>617</v>
      </c>
      <c r="C114">
        <v>8</v>
      </c>
      <c r="D114" t="s">
        <v>2266</v>
      </c>
      <c r="E114" t="s">
        <v>1594</v>
      </c>
      <c r="F114" t="s">
        <v>2267</v>
      </c>
    </row>
    <row r="115" spans="1:6" x14ac:dyDescent="0.25">
      <c r="A115" s="19" t="s">
        <v>635</v>
      </c>
      <c r="B115" t="s">
        <v>635</v>
      </c>
      <c r="C115">
        <v>83</v>
      </c>
      <c r="D115" t="s">
        <v>2268</v>
      </c>
      <c r="E115" t="s">
        <v>901</v>
      </c>
      <c r="F115" t="s">
        <v>956</v>
      </c>
    </row>
    <row r="116" spans="1:6" x14ac:dyDescent="0.25">
      <c r="A116" s="19" t="s">
        <v>635</v>
      </c>
      <c r="B116" t="s">
        <v>2087</v>
      </c>
      <c r="C116">
        <v>5</v>
      </c>
      <c r="D116" t="s">
        <v>2215</v>
      </c>
      <c r="E116" t="s">
        <v>1049</v>
      </c>
      <c r="F116" t="s">
        <v>2269</v>
      </c>
    </row>
    <row r="117" spans="1:6" x14ac:dyDescent="0.25">
      <c r="A117" s="19" t="s">
        <v>635</v>
      </c>
      <c r="B117" t="s">
        <v>617</v>
      </c>
      <c r="C117">
        <v>4</v>
      </c>
      <c r="D117" t="s">
        <v>2266</v>
      </c>
      <c r="E117" t="s">
        <v>1049</v>
      </c>
      <c r="F117" t="s">
        <v>2270</v>
      </c>
    </row>
    <row r="118" spans="1:6" x14ac:dyDescent="0.25">
      <c r="A118" s="19" t="s">
        <v>635</v>
      </c>
      <c r="B118" t="s">
        <v>2059</v>
      </c>
      <c r="C118">
        <v>4</v>
      </c>
      <c r="D118" t="s">
        <v>2271</v>
      </c>
      <c r="E118" t="s">
        <v>1049</v>
      </c>
      <c r="F118" t="s">
        <v>2272</v>
      </c>
    </row>
    <row r="119" spans="1:6" x14ac:dyDescent="0.25">
      <c r="A119" s="19" t="s">
        <v>635</v>
      </c>
      <c r="B119" t="s">
        <v>2009</v>
      </c>
      <c r="C119">
        <v>4</v>
      </c>
      <c r="D119" t="s">
        <v>2273</v>
      </c>
      <c r="E119" t="s">
        <v>1049</v>
      </c>
      <c r="F119" t="s">
        <v>2274</v>
      </c>
    </row>
    <row r="120" spans="1:6" x14ac:dyDescent="0.25">
      <c r="A120" s="19" t="s">
        <v>2087</v>
      </c>
      <c r="B120" t="s">
        <v>2087</v>
      </c>
      <c r="C120">
        <v>78</v>
      </c>
      <c r="D120" t="s">
        <v>2275</v>
      </c>
      <c r="E120" t="s">
        <v>901</v>
      </c>
      <c r="F120" t="s">
        <v>956</v>
      </c>
    </row>
    <row r="121" spans="1:6" x14ac:dyDescent="0.25">
      <c r="A121" s="19" t="s">
        <v>2087</v>
      </c>
      <c r="B121" t="s">
        <v>617</v>
      </c>
      <c r="C121">
        <v>6</v>
      </c>
      <c r="D121" t="s">
        <v>2276</v>
      </c>
      <c r="E121" t="s">
        <v>1049</v>
      </c>
      <c r="F121" t="s">
        <v>1507</v>
      </c>
    </row>
    <row r="122" spans="1:6" x14ac:dyDescent="0.25">
      <c r="A122" s="19" t="s">
        <v>2087</v>
      </c>
      <c r="B122" t="s">
        <v>635</v>
      </c>
      <c r="C122">
        <v>4</v>
      </c>
      <c r="D122" t="s">
        <v>2216</v>
      </c>
      <c r="E122" t="s">
        <v>1049</v>
      </c>
      <c r="F122" t="s">
        <v>2277</v>
      </c>
    </row>
    <row r="123" spans="1:6" x14ac:dyDescent="0.25">
      <c r="A123" s="19" t="s">
        <v>2087</v>
      </c>
      <c r="B123" t="s">
        <v>1452</v>
      </c>
      <c r="C123">
        <v>4</v>
      </c>
      <c r="D123" t="s">
        <v>2278</v>
      </c>
      <c r="E123" t="s">
        <v>911</v>
      </c>
      <c r="F123" t="s">
        <v>2279</v>
      </c>
    </row>
    <row r="124" spans="1:6" x14ac:dyDescent="0.25">
      <c r="A124" s="19" t="s">
        <v>2087</v>
      </c>
      <c r="B124" t="s">
        <v>2059</v>
      </c>
      <c r="C124">
        <v>4</v>
      </c>
      <c r="D124" t="s">
        <v>2280</v>
      </c>
      <c r="E124" t="s">
        <v>1049</v>
      </c>
      <c r="F124" t="s">
        <v>1574</v>
      </c>
    </row>
    <row r="125" spans="1:6" x14ac:dyDescent="0.25">
      <c r="A125" s="19" t="s">
        <v>2087</v>
      </c>
      <c r="B125" t="s">
        <v>2009</v>
      </c>
      <c r="C125">
        <v>4</v>
      </c>
      <c r="D125" t="s">
        <v>2273</v>
      </c>
      <c r="E125" t="s">
        <v>1049</v>
      </c>
      <c r="F125" t="s">
        <v>1574</v>
      </c>
    </row>
    <row r="126" spans="1:6" x14ac:dyDescent="0.25">
      <c r="A126" s="19" t="s">
        <v>672</v>
      </c>
      <c r="B126" t="s">
        <v>617</v>
      </c>
      <c r="C126">
        <v>78</v>
      </c>
      <c r="D126" t="s">
        <v>2281</v>
      </c>
      <c r="E126" t="s">
        <v>901</v>
      </c>
      <c r="F126" t="s">
        <v>2282</v>
      </c>
    </row>
    <row r="127" spans="1:6" x14ac:dyDescent="0.25">
      <c r="A127" s="19" t="s">
        <v>672</v>
      </c>
      <c r="B127" t="s">
        <v>635</v>
      </c>
      <c r="C127">
        <v>5</v>
      </c>
      <c r="D127" t="s">
        <v>2216</v>
      </c>
      <c r="E127" t="s">
        <v>1049</v>
      </c>
      <c r="F127" t="s">
        <v>2283</v>
      </c>
    </row>
    <row r="128" spans="1:6" x14ac:dyDescent="0.25">
      <c r="A128" s="19" t="s">
        <v>672</v>
      </c>
      <c r="B128" t="s">
        <v>2059</v>
      </c>
      <c r="C128">
        <v>5</v>
      </c>
      <c r="D128" t="s">
        <v>2284</v>
      </c>
      <c r="E128" t="s">
        <v>1049</v>
      </c>
      <c r="F128" t="s">
        <v>1669</v>
      </c>
    </row>
    <row r="129" spans="1:6" x14ac:dyDescent="0.25">
      <c r="A129" s="19" t="s">
        <v>672</v>
      </c>
      <c r="B129" t="s">
        <v>2087</v>
      </c>
      <c r="C129">
        <v>3</v>
      </c>
      <c r="D129" t="s">
        <v>2215</v>
      </c>
      <c r="E129" t="s">
        <v>1049</v>
      </c>
      <c r="F129" t="s">
        <v>1574</v>
      </c>
    </row>
    <row r="130" spans="1:6" x14ac:dyDescent="0.25">
      <c r="A130" s="19" t="s">
        <v>672</v>
      </c>
      <c r="B130" t="s">
        <v>2009</v>
      </c>
      <c r="C130">
        <v>3</v>
      </c>
      <c r="D130" t="s">
        <v>2273</v>
      </c>
      <c r="E130" t="s">
        <v>1049</v>
      </c>
      <c r="F130" t="s">
        <v>1574</v>
      </c>
    </row>
    <row r="131" spans="1:6" x14ac:dyDescent="0.25">
      <c r="A131" s="19" t="s">
        <v>672</v>
      </c>
      <c r="B131" t="s">
        <v>1202</v>
      </c>
      <c r="C131">
        <v>2</v>
      </c>
      <c r="D131" t="s">
        <v>2285</v>
      </c>
      <c r="E131" t="s">
        <v>1049</v>
      </c>
      <c r="F131" t="s">
        <v>2177</v>
      </c>
    </row>
    <row r="132" spans="1:6" x14ac:dyDescent="0.25">
      <c r="A132" s="19" t="s">
        <v>672</v>
      </c>
      <c r="B132" t="s">
        <v>2012</v>
      </c>
      <c r="C132">
        <v>2</v>
      </c>
      <c r="D132" t="s">
        <v>2286</v>
      </c>
      <c r="E132" t="s">
        <v>1049</v>
      </c>
      <c r="F132" t="s">
        <v>2177</v>
      </c>
    </row>
    <row r="133" spans="1:6" x14ac:dyDescent="0.25">
      <c r="A133" s="19" t="s">
        <v>672</v>
      </c>
      <c r="B133" t="s">
        <v>617</v>
      </c>
      <c r="C133">
        <v>2</v>
      </c>
      <c r="D133" t="s">
        <v>2287</v>
      </c>
      <c r="E133" t="s">
        <v>1594</v>
      </c>
      <c r="F133" t="s">
        <v>2267</v>
      </c>
    </row>
    <row r="134" spans="1:6" x14ac:dyDescent="0.25">
      <c r="A134" s="19" t="s">
        <v>621</v>
      </c>
      <c r="B134" t="s">
        <v>617</v>
      </c>
      <c r="C134">
        <v>76</v>
      </c>
      <c r="D134" t="s">
        <v>2288</v>
      </c>
      <c r="E134" t="s">
        <v>901</v>
      </c>
      <c r="F134" t="s">
        <v>2289</v>
      </c>
    </row>
    <row r="135" spans="1:6" x14ac:dyDescent="0.25">
      <c r="A135" s="19" t="s">
        <v>621</v>
      </c>
      <c r="B135" t="s">
        <v>2059</v>
      </c>
      <c r="C135">
        <v>6</v>
      </c>
      <c r="D135" t="s">
        <v>2290</v>
      </c>
      <c r="E135" t="s">
        <v>1049</v>
      </c>
      <c r="F135" t="s">
        <v>2067</v>
      </c>
    </row>
    <row r="136" spans="1:6" x14ac:dyDescent="0.25">
      <c r="A136" s="19" t="s">
        <v>621</v>
      </c>
      <c r="B136" t="s">
        <v>635</v>
      </c>
      <c r="C136">
        <v>4</v>
      </c>
      <c r="D136" t="s">
        <v>2216</v>
      </c>
      <c r="E136" t="s">
        <v>1049</v>
      </c>
      <c r="F136" t="s">
        <v>1403</v>
      </c>
    </row>
    <row r="137" spans="1:6" x14ac:dyDescent="0.25">
      <c r="A137" s="19" t="s">
        <v>621</v>
      </c>
      <c r="B137" t="s">
        <v>1565</v>
      </c>
      <c r="C137">
        <v>4</v>
      </c>
      <c r="D137" t="s">
        <v>2291</v>
      </c>
      <c r="E137" t="s">
        <v>1049</v>
      </c>
      <c r="F137" t="s">
        <v>1731</v>
      </c>
    </row>
    <row r="138" spans="1:6" x14ac:dyDescent="0.25">
      <c r="A138" s="19" t="s">
        <v>621</v>
      </c>
      <c r="B138" t="s">
        <v>2087</v>
      </c>
      <c r="C138">
        <v>2</v>
      </c>
      <c r="D138" t="s">
        <v>2215</v>
      </c>
      <c r="E138" t="s">
        <v>1049</v>
      </c>
      <c r="F138" t="s">
        <v>1574</v>
      </c>
    </row>
    <row r="139" spans="1:6" x14ac:dyDescent="0.25">
      <c r="A139" s="19" t="s">
        <v>621</v>
      </c>
      <c r="B139" t="s">
        <v>2009</v>
      </c>
      <c r="C139">
        <v>2</v>
      </c>
      <c r="D139" t="s">
        <v>2273</v>
      </c>
      <c r="E139" t="s">
        <v>1049</v>
      </c>
      <c r="F139" t="s">
        <v>1574</v>
      </c>
    </row>
    <row r="140" spans="1:6" x14ac:dyDescent="0.25">
      <c r="A140" s="19" t="s">
        <v>621</v>
      </c>
      <c r="B140" t="s">
        <v>1202</v>
      </c>
      <c r="C140">
        <v>2</v>
      </c>
      <c r="D140" t="s">
        <v>2285</v>
      </c>
      <c r="E140" t="s">
        <v>1049</v>
      </c>
      <c r="F140" t="s">
        <v>1574</v>
      </c>
    </row>
    <row r="141" spans="1:6" x14ac:dyDescent="0.25">
      <c r="A141" s="19" t="s">
        <v>621</v>
      </c>
      <c r="B141" t="s">
        <v>2012</v>
      </c>
      <c r="C141">
        <v>2</v>
      </c>
      <c r="D141" t="s">
        <v>2286</v>
      </c>
      <c r="E141" t="s">
        <v>1049</v>
      </c>
      <c r="F141" t="s">
        <v>1574</v>
      </c>
    </row>
    <row r="142" spans="1:6" x14ac:dyDescent="0.25">
      <c r="A142" s="19" t="s">
        <v>621</v>
      </c>
      <c r="B142" t="s">
        <v>617</v>
      </c>
      <c r="C142">
        <v>2</v>
      </c>
      <c r="D142" t="s">
        <v>2292</v>
      </c>
      <c r="E142" t="s">
        <v>1594</v>
      </c>
      <c r="F142" t="s">
        <v>2267</v>
      </c>
    </row>
    <row r="143" spans="1:6" x14ac:dyDescent="0.25">
      <c r="A143" s="19" t="s">
        <v>676</v>
      </c>
      <c r="B143" t="s">
        <v>1202</v>
      </c>
      <c r="C143">
        <v>86</v>
      </c>
      <c r="D143" t="s">
        <v>2293</v>
      </c>
      <c r="E143" t="s">
        <v>901</v>
      </c>
      <c r="F143" t="s">
        <v>956</v>
      </c>
    </row>
    <row r="144" spans="1:6" x14ac:dyDescent="0.25">
      <c r="A144" s="19" t="s">
        <v>676</v>
      </c>
      <c r="B144" t="s">
        <v>617</v>
      </c>
      <c r="C144">
        <v>6</v>
      </c>
      <c r="D144" t="s">
        <v>2294</v>
      </c>
      <c r="E144" t="s">
        <v>1049</v>
      </c>
      <c r="F144" t="s">
        <v>1507</v>
      </c>
    </row>
    <row r="145" spans="1:6" x14ac:dyDescent="0.25">
      <c r="A145" s="19" t="s">
        <v>676</v>
      </c>
      <c r="B145" t="s">
        <v>2059</v>
      </c>
      <c r="C145">
        <v>3</v>
      </c>
      <c r="D145" t="s">
        <v>2295</v>
      </c>
      <c r="E145" t="s">
        <v>1049</v>
      </c>
      <c r="F145" t="s">
        <v>2067</v>
      </c>
    </row>
    <row r="146" spans="1:6" x14ac:dyDescent="0.25">
      <c r="A146" s="19" t="s">
        <v>676</v>
      </c>
      <c r="B146" t="s">
        <v>1565</v>
      </c>
      <c r="C146">
        <v>3</v>
      </c>
      <c r="D146" t="s">
        <v>2296</v>
      </c>
      <c r="E146" t="s">
        <v>1049</v>
      </c>
      <c r="F146" t="s">
        <v>2297</v>
      </c>
    </row>
    <row r="147" spans="1:6" x14ac:dyDescent="0.25">
      <c r="A147" s="19" t="s">
        <v>676</v>
      </c>
      <c r="B147" t="s">
        <v>2087</v>
      </c>
      <c r="C147">
        <v>2</v>
      </c>
      <c r="D147" t="s">
        <v>2215</v>
      </c>
      <c r="E147" t="s">
        <v>1049</v>
      </c>
      <c r="F147" t="s">
        <v>1574</v>
      </c>
    </row>
    <row r="148" spans="1:6" x14ac:dyDescent="0.25">
      <c r="A148" s="19" t="s">
        <v>669</v>
      </c>
      <c r="B148" t="s">
        <v>2012</v>
      </c>
      <c r="C148">
        <v>86</v>
      </c>
      <c r="D148" t="s">
        <v>2298</v>
      </c>
      <c r="E148" t="s">
        <v>901</v>
      </c>
      <c r="F148" t="s">
        <v>956</v>
      </c>
    </row>
    <row r="149" spans="1:6" x14ac:dyDescent="0.25">
      <c r="A149" s="19" t="s">
        <v>669</v>
      </c>
      <c r="B149" t="s">
        <v>617</v>
      </c>
      <c r="C149">
        <v>5</v>
      </c>
      <c r="D149" t="s">
        <v>2294</v>
      </c>
      <c r="E149" t="s">
        <v>1049</v>
      </c>
      <c r="F149" t="s">
        <v>2299</v>
      </c>
    </row>
    <row r="150" spans="1:6" x14ac:dyDescent="0.25">
      <c r="A150" s="19" t="s">
        <v>669</v>
      </c>
      <c r="B150" t="s">
        <v>2059</v>
      </c>
      <c r="C150">
        <v>4</v>
      </c>
      <c r="D150" t="s">
        <v>2300</v>
      </c>
      <c r="E150" t="s">
        <v>1049</v>
      </c>
      <c r="F150" t="s">
        <v>1669</v>
      </c>
    </row>
    <row r="151" spans="1:6" x14ac:dyDescent="0.25">
      <c r="A151" s="19" t="s">
        <v>669</v>
      </c>
      <c r="B151" t="s">
        <v>1565</v>
      </c>
      <c r="C151">
        <v>3</v>
      </c>
      <c r="D151" t="s">
        <v>2296</v>
      </c>
      <c r="E151" t="s">
        <v>1049</v>
      </c>
      <c r="F151" t="s">
        <v>2274</v>
      </c>
    </row>
    <row r="152" spans="1:6" x14ac:dyDescent="0.25">
      <c r="A152" s="19" t="s">
        <v>669</v>
      </c>
      <c r="B152" t="s">
        <v>2087</v>
      </c>
      <c r="C152">
        <v>2</v>
      </c>
      <c r="D152" t="s">
        <v>2215</v>
      </c>
      <c r="E152" t="s">
        <v>1049</v>
      </c>
      <c r="F152" t="s">
        <v>1574</v>
      </c>
    </row>
    <row r="153" spans="1:6" x14ac:dyDescent="0.25">
      <c r="A153" s="19" t="s">
        <v>2301</v>
      </c>
      <c r="B153" t="s">
        <v>2012</v>
      </c>
      <c r="C153">
        <v>76</v>
      </c>
      <c r="D153" t="s">
        <v>2302</v>
      </c>
      <c r="E153" t="s">
        <v>901</v>
      </c>
      <c r="F153" t="s">
        <v>956</v>
      </c>
    </row>
    <row r="154" spans="1:6" x14ac:dyDescent="0.25">
      <c r="A154" s="19" t="s">
        <v>2301</v>
      </c>
      <c r="B154" t="s">
        <v>617</v>
      </c>
      <c r="C154">
        <v>8</v>
      </c>
      <c r="D154" t="s">
        <v>2294</v>
      </c>
      <c r="E154" t="s">
        <v>1049</v>
      </c>
      <c r="F154" t="s">
        <v>1507</v>
      </c>
    </row>
    <row r="155" spans="1:6" x14ac:dyDescent="0.25">
      <c r="A155" s="19" t="s">
        <v>2301</v>
      </c>
      <c r="B155" t="s">
        <v>970</v>
      </c>
      <c r="C155">
        <v>6</v>
      </c>
      <c r="D155" t="s">
        <v>2303</v>
      </c>
      <c r="E155" t="s">
        <v>968</v>
      </c>
      <c r="F155" t="s">
        <v>2193</v>
      </c>
    </row>
    <row r="156" spans="1:6" x14ac:dyDescent="0.25">
      <c r="A156" s="19" t="s">
        <v>2301</v>
      </c>
      <c r="B156" t="s">
        <v>2059</v>
      </c>
      <c r="C156">
        <v>4</v>
      </c>
      <c r="D156" t="s">
        <v>2304</v>
      </c>
      <c r="E156" t="s">
        <v>1049</v>
      </c>
      <c r="F156" t="s">
        <v>1669</v>
      </c>
    </row>
    <row r="157" spans="1:6" x14ac:dyDescent="0.25">
      <c r="A157" s="19" t="s">
        <v>2301</v>
      </c>
      <c r="B157" t="s">
        <v>1565</v>
      </c>
      <c r="C157">
        <v>4</v>
      </c>
      <c r="D157" t="s">
        <v>2305</v>
      </c>
      <c r="E157" t="s">
        <v>968</v>
      </c>
      <c r="F157" t="s">
        <v>2306</v>
      </c>
    </row>
    <row r="158" spans="1:6" x14ac:dyDescent="0.25">
      <c r="A158" s="19" t="s">
        <v>2301</v>
      </c>
      <c r="B158" t="s">
        <v>2012</v>
      </c>
      <c r="C158">
        <v>2</v>
      </c>
      <c r="D158" t="s">
        <v>2307</v>
      </c>
      <c r="E158" t="s">
        <v>1594</v>
      </c>
      <c r="F158" t="s">
        <v>2308</v>
      </c>
    </row>
    <row r="159" spans="1:6" x14ac:dyDescent="0.25">
      <c r="A159" s="19" t="s">
        <v>819</v>
      </c>
      <c r="B159" t="s">
        <v>2012</v>
      </c>
      <c r="C159">
        <v>88</v>
      </c>
      <c r="D159" t="s">
        <v>2309</v>
      </c>
      <c r="E159" t="s">
        <v>901</v>
      </c>
      <c r="F159" t="s">
        <v>956</v>
      </c>
    </row>
    <row r="160" spans="1:6" x14ac:dyDescent="0.25">
      <c r="A160" s="19" t="s">
        <v>819</v>
      </c>
      <c r="B160" t="s">
        <v>617</v>
      </c>
      <c r="C160">
        <v>4</v>
      </c>
      <c r="D160" t="s">
        <v>2294</v>
      </c>
      <c r="E160" t="s">
        <v>1049</v>
      </c>
      <c r="F160" t="s">
        <v>2299</v>
      </c>
    </row>
    <row r="161" spans="1:6" x14ac:dyDescent="0.25">
      <c r="A161" s="19" t="s">
        <v>819</v>
      </c>
      <c r="B161" t="s">
        <v>2059</v>
      </c>
      <c r="C161">
        <v>4</v>
      </c>
      <c r="D161" t="s">
        <v>2310</v>
      </c>
      <c r="E161" t="s">
        <v>1049</v>
      </c>
      <c r="F161" t="s">
        <v>1669</v>
      </c>
    </row>
    <row r="162" spans="1:6" x14ac:dyDescent="0.25">
      <c r="A162" s="19" t="s">
        <v>819</v>
      </c>
      <c r="B162" t="s">
        <v>1565</v>
      </c>
      <c r="C162">
        <v>2</v>
      </c>
      <c r="D162" t="s">
        <v>2311</v>
      </c>
      <c r="E162" t="s">
        <v>1049</v>
      </c>
      <c r="F162" t="s">
        <v>2274</v>
      </c>
    </row>
    <row r="163" spans="1:6" x14ac:dyDescent="0.25">
      <c r="A163" s="19" t="s">
        <v>819</v>
      </c>
      <c r="B163" t="s">
        <v>2087</v>
      </c>
      <c r="C163">
        <v>2</v>
      </c>
      <c r="D163" t="s">
        <v>2215</v>
      </c>
      <c r="E163" t="s">
        <v>1049</v>
      </c>
      <c r="F163" t="s">
        <v>1574</v>
      </c>
    </row>
    <row r="164" spans="1:6" x14ac:dyDescent="0.25">
      <c r="A164" s="19" t="s">
        <v>822</v>
      </c>
      <c r="B164" t="s">
        <v>2012</v>
      </c>
      <c r="C164">
        <v>86</v>
      </c>
      <c r="D164" t="s">
        <v>2312</v>
      </c>
      <c r="E164" t="s">
        <v>901</v>
      </c>
      <c r="F164" t="s">
        <v>956</v>
      </c>
    </row>
    <row r="165" spans="1:6" x14ac:dyDescent="0.25">
      <c r="A165" s="19" t="s">
        <v>822</v>
      </c>
      <c r="B165" t="s">
        <v>617</v>
      </c>
      <c r="C165">
        <v>6</v>
      </c>
      <c r="D165" t="s">
        <v>2294</v>
      </c>
      <c r="E165" t="s">
        <v>1049</v>
      </c>
      <c r="F165" t="s">
        <v>1507</v>
      </c>
    </row>
    <row r="166" spans="1:6" x14ac:dyDescent="0.25">
      <c r="A166" s="19" t="s">
        <v>822</v>
      </c>
      <c r="B166" t="s">
        <v>2059</v>
      </c>
      <c r="C166">
        <v>4</v>
      </c>
      <c r="D166" t="s">
        <v>2310</v>
      </c>
      <c r="E166" t="s">
        <v>1049</v>
      </c>
      <c r="F166" t="s">
        <v>1669</v>
      </c>
    </row>
    <row r="167" spans="1:6" x14ac:dyDescent="0.25">
      <c r="A167" s="19" t="s">
        <v>822</v>
      </c>
      <c r="B167" t="s">
        <v>1565</v>
      </c>
      <c r="C167">
        <v>2</v>
      </c>
      <c r="D167" t="s">
        <v>2311</v>
      </c>
      <c r="E167" t="s">
        <v>1049</v>
      </c>
      <c r="F167" t="s">
        <v>2274</v>
      </c>
    </row>
    <row r="168" spans="1:6" x14ac:dyDescent="0.25">
      <c r="A168" s="19" t="s">
        <v>822</v>
      </c>
      <c r="B168" t="s">
        <v>2087</v>
      </c>
      <c r="C168">
        <v>2</v>
      </c>
      <c r="D168" t="s">
        <v>2215</v>
      </c>
      <c r="E168" t="s">
        <v>1049</v>
      </c>
      <c r="F168" t="s">
        <v>1574</v>
      </c>
    </row>
    <row r="169" spans="1:6" x14ac:dyDescent="0.25">
      <c r="A169" s="19" t="s">
        <v>649</v>
      </c>
      <c r="B169" t="s">
        <v>2059</v>
      </c>
      <c r="C169">
        <v>54</v>
      </c>
      <c r="D169" t="s">
        <v>2313</v>
      </c>
      <c r="E169" t="s">
        <v>901</v>
      </c>
      <c r="F169" t="s">
        <v>946</v>
      </c>
    </row>
    <row r="170" spans="1:6" x14ac:dyDescent="0.25">
      <c r="A170" s="19" t="s">
        <v>649</v>
      </c>
      <c r="B170" t="s">
        <v>617</v>
      </c>
      <c r="C170">
        <v>6</v>
      </c>
      <c r="D170" t="s">
        <v>2314</v>
      </c>
      <c r="E170" t="s">
        <v>1049</v>
      </c>
      <c r="F170" t="s">
        <v>2299</v>
      </c>
    </row>
    <row r="171" spans="1:6" x14ac:dyDescent="0.25">
      <c r="A171" s="19" t="s">
        <v>649</v>
      </c>
      <c r="B171" t="s">
        <v>1565</v>
      </c>
      <c r="C171">
        <v>6</v>
      </c>
      <c r="D171" t="s">
        <v>2315</v>
      </c>
      <c r="E171" t="s">
        <v>1049</v>
      </c>
      <c r="F171" t="s">
        <v>1731</v>
      </c>
    </row>
    <row r="172" spans="1:6" x14ac:dyDescent="0.25">
      <c r="A172" s="19" t="s">
        <v>649</v>
      </c>
      <c r="B172" t="s">
        <v>2012</v>
      </c>
      <c r="C172">
        <v>4</v>
      </c>
      <c r="D172" t="s">
        <v>2316</v>
      </c>
      <c r="E172" t="s">
        <v>1049</v>
      </c>
      <c r="F172" t="s">
        <v>2317</v>
      </c>
    </row>
    <row r="173" spans="1:6" x14ac:dyDescent="0.25">
      <c r="A173" s="19" t="s">
        <v>649</v>
      </c>
      <c r="B173" t="s">
        <v>2009</v>
      </c>
      <c r="C173">
        <v>4</v>
      </c>
      <c r="D173" t="s">
        <v>2273</v>
      </c>
      <c r="E173" t="s">
        <v>1049</v>
      </c>
      <c r="F173" t="s">
        <v>1501</v>
      </c>
    </row>
    <row r="174" spans="1:6" x14ac:dyDescent="0.25">
      <c r="A174" s="19" t="s">
        <v>649</v>
      </c>
      <c r="B174" t="s">
        <v>22</v>
      </c>
      <c r="C174">
        <v>3</v>
      </c>
      <c r="D174" t="s">
        <v>1761</v>
      </c>
      <c r="E174" t="s">
        <v>1049</v>
      </c>
      <c r="F174" t="s">
        <v>2135</v>
      </c>
    </row>
    <row r="175" spans="1:6" x14ac:dyDescent="0.25">
      <c r="A175" s="19" t="s">
        <v>649</v>
      </c>
      <c r="B175" t="s">
        <v>2059</v>
      </c>
      <c r="C175">
        <v>23</v>
      </c>
      <c r="D175" t="s">
        <v>2318</v>
      </c>
      <c r="E175" t="s">
        <v>1594</v>
      </c>
      <c r="F175" t="s">
        <v>2319</v>
      </c>
    </row>
    <row r="176" spans="1:6" x14ac:dyDescent="0.25">
      <c r="A176" s="19" t="s">
        <v>623</v>
      </c>
      <c r="B176" t="s">
        <v>2059</v>
      </c>
      <c r="C176">
        <v>76</v>
      </c>
      <c r="D176" t="s">
        <v>2320</v>
      </c>
      <c r="E176" t="s">
        <v>901</v>
      </c>
      <c r="F176" t="s">
        <v>946</v>
      </c>
    </row>
    <row r="177" spans="1:6" x14ac:dyDescent="0.25">
      <c r="A177" s="19" t="s">
        <v>623</v>
      </c>
      <c r="B177" t="s">
        <v>2009</v>
      </c>
      <c r="C177">
        <v>4</v>
      </c>
      <c r="D177" t="s">
        <v>2273</v>
      </c>
      <c r="E177" t="s">
        <v>1049</v>
      </c>
      <c r="F177" t="s">
        <v>2321</v>
      </c>
    </row>
    <row r="178" spans="1:6" x14ac:dyDescent="0.25">
      <c r="A178" s="19" t="s">
        <v>623</v>
      </c>
      <c r="B178" t="s">
        <v>617</v>
      </c>
      <c r="C178">
        <v>4</v>
      </c>
      <c r="D178" t="s">
        <v>2322</v>
      </c>
      <c r="E178" t="s">
        <v>1049</v>
      </c>
      <c r="F178" t="s">
        <v>2299</v>
      </c>
    </row>
    <row r="179" spans="1:6" x14ac:dyDescent="0.25">
      <c r="A179" s="19" t="s">
        <v>623</v>
      </c>
      <c r="B179" t="s">
        <v>2012</v>
      </c>
      <c r="C179">
        <v>4</v>
      </c>
      <c r="D179" t="s">
        <v>2316</v>
      </c>
      <c r="E179" t="s">
        <v>1049</v>
      </c>
      <c r="F179" t="s">
        <v>2317</v>
      </c>
    </row>
    <row r="180" spans="1:6" x14ac:dyDescent="0.25">
      <c r="A180" s="19" t="s">
        <v>623</v>
      </c>
      <c r="B180" t="s">
        <v>2003</v>
      </c>
      <c r="C180">
        <v>6</v>
      </c>
      <c r="D180" t="s">
        <v>2323</v>
      </c>
      <c r="E180" t="s">
        <v>1049</v>
      </c>
      <c r="F180" t="s">
        <v>2324</v>
      </c>
    </row>
    <row r="181" spans="1:6" x14ac:dyDescent="0.25">
      <c r="A181" s="19" t="s">
        <v>623</v>
      </c>
      <c r="B181" t="s">
        <v>1565</v>
      </c>
      <c r="C181">
        <v>3</v>
      </c>
      <c r="D181" t="s">
        <v>2296</v>
      </c>
      <c r="E181" t="s">
        <v>1049</v>
      </c>
      <c r="F181" t="s">
        <v>1731</v>
      </c>
    </row>
    <row r="182" spans="1:6" x14ac:dyDescent="0.25">
      <c r="A182" s="19" t="s">
        <v>623</v>
      </c>
      <c r="B182" t="s">
        <v>22</v>
      </c>
      <c r="C182">
        <v>3</v>
      </c>
      <c r="D182" t="s">
        <v>1761</v>
      </c>
      <c r="E182" t="s">
        <v>1049</v>
      </c>
      <c r="F182" t="s">
        <v>2325</v>
      </c>
    </row>
    <row r="183" spans="1:6" x14ac:dyDescent="0.25">
      <c r="A183" s="19" t="s">
        <v>655</v>
      </c>
      <c r="B183" t="s">
        <v>2009</v>
      </c>
      <c r="C183">
        <v>78</v>
      </c>
      <c r="D183" t="s">
        <v>2326</v>
      </c>
      <c r="E183" t="s">
        <v>901</v>
      </c>
      <c r="F183" t="s">
        <v>946</v>
      </c>
    </row>
    <row r="184" spans="1:6" x14ac:dyDescent="0.25">
      <c r="A184" s="19" t="s">
        <v>655</v>
      </c>
      <c r="B184" t="s">
        <v>2059</v>
      </c>
      <c r="C184">
        <v>8</v>
      </c>
      <c r="D184" t="s">
        <v>2327</v>
      </c>
      <c r="E184" t="s">
        <v>1049</v>
      </c>
      <c r="F184" t="s">
        <v>2067</v>
      </c>
    </row>
    <row r="185" spans="1:6" x14ac:dyDescent="0.25">
      <c r="A185" s="19" t="s">
        <v>655</v>
      </c>
      <c r="B185" t="s">
        <v>617</v>
      </c>
      <c r="C185">
        <v>6</v>
      </c>
      <c r="D185" t="s">
        <v>2328</v>
      </c>
      <c r="E185" t="s">
        <v>1049</v>
      </c>
      <c r="F185" t="s">
        <v>2299</v>
      </c>
    </row>
    <row r="186" spans="1:6" x14ac:dyDescent="0.25">
      <c r="A186" s="19" t="s">
        <v>655</v>
      </c>
      <c r="B186" t="s">
        <v>2012</v>
      </c>
      <c r="C186">
        <v>3</v>
      </c>
      <c r="D186" t="s">
        <v>2329</v>
      </c>
      <c r="E186" t="s">
        <v>1049</v>
      </c>
      <c r="F186" t="s">
        <v>2317</v>
      </c>
    </row>
    <row r="187" spans="1:6" x14ac:dyDescent="0.25">
      <c r="A187" s="19" t="s">
        <v>655</v>
      </c>
      <c r="B187" t="s">
        <v>1565</v>
      </c>
      <c r="C187">
        <v>3</v>
      </c>
      <c r="D187" t="s">
        <v>2296</v>
      </c>
      <c r="E187" t="s">
        <v>1049</v>
      </c>
      <c r="F187" t="s">
        <v>1731</v>
      </c>
    </row>
    <row r="188" spans="1:6" x14ac:dyDescent="0.25">
      <c r="A188" s="19" t="s">
        <v>655</v>
      </c>
      <c r="B188" t="s">
        <v>635</v>
      </c>
      <c r="C188">
        <v>2</v>
      </c>
      <c r="D188" t="s">
        <v>2216</v>
      </c>
      <c r="E188" t="s">
        <v>1049</v>
      </c>
      <c r="F188" t="s">
        <v>2277</v>
      </c>
    </row>
    <row r="189" spans="1:6" x14ac:dyDescent="0.25">
      <c r="A189" s="19" t="s">
        <v>665</v>
      </c>
      <c r="B189" t="s">
        <v>2059</v>
      </c>
      <c r="C189">
        <v>30</v>
      </c>
      <c r="D189" t="s">
        <v>2330</v>
      </c>
      <c r="E189" t="s">
        <v>901</v>
      </c>
      <c r="F189" t="s">
        <v>946</v>
      </c>
    </row>
    <row r="190" spans="1:6" x14ac:dyDescent="0.25">
      <c r="A190" s="19" t="s">
        <v>665</v>
      </c>
      <c r="B190" t="s">
        <v>2059</v>
      </c>
      <c r="C190">
        <v>34</v>
      </c>
      <c r="D190" t="s">
        <v>2331</v>
      </c>
      <c r="E190" t="s">
        <v>1594</v>
      </c>
      <c r="F190" t="s">
        <v>2332</v>
      </c>
    </row>
    <row r="191" spans="1:6" x14ac:dyDescent="0.25">
      <c r="A191" s="19" t="s">
        <v>665</v>
      </c>
      <c r="B191" t="s">
        <v>617</v>
      </c>
      <c r="C191">
        <v>12</v>
      </c>
      <c r="D191" t="s">
        <v>2333</v>
      </c>
      <c r="E191" t="s">
        <v>1049</v>
      </c>
      <c r="F191" t="s">
        <v>2299</v>
      </c>
    </row>
    <row r="192" spans="1:6" x14ac:dyDescent="0.25">
      <c r="A192" s="19" t="s">
        <v>665</v>
      </c>
      <c r="B192" t="s">
        <v>1565</v>
      </c>
      <c r="C192">
        <v>8</v>
      </c>
      <c r="D192" t="s">
        <v>2334</v>
      </c>
      <c r="E192" t="s">
        <v>1049</v>
      </c>
      <c r="F192" t="s">
        <v>1731</v>
      </c>
    </row>
    <row r="193" spans="1:6" x14ac:dyDescent="0.25">
      <c r="A193" s="19" t="s">
        <v>665</v>
      </c>
      <c r="B193" t="s">
        <v>2009</v>
      </c>
      <c r="C193">
        <v>3</v>
      </c>
      <c r="D193" t="s">
        <v>2273</v>
      </c>
      <c r="E193" t="s">
        <v>1049</v>
      </c>
      <c r="F193" t="s">
        <v>2277</v>
      </c>
    </row>
    <row r="194" spans="1:6" x14ac:dyDescent="0.25">
      <c r="A194" s="19" t="s">
        <v>665</v>
      </c>
      <c r="B194" t="s">
        <v>2012</v>
      </c>
      <c r="C194">
        <v>3</v>
      </c>
      <c r="D194" t="s">
        <v>2329</v>
      </c>
      <c r="E194" t="s">
        <v>1049</v>
      </c>
      <c r="F194" t="s">
        <v>2317</v>
      </c>
    </row>
    <row r="195" spans="1:6" x14ac:dyDescent="0.25">
      <c r="A195" s="19" t="s">
        <v>665</v>
      </c>
      <c r="B195" t="s">
        <v>22</v>
      </c>
      <c r="C195">
        <v>2</v>
      </c>
      <c r="D195" t="s">
        <v>1761</v>
      </c>
      <c r="E195" t="s">
        <v>1049</v>
      </c>
      <c r="F195" t="s">
        <v>1561</v>
      </c>
    </row>
    <row r="196" spans="1:6" x14ac:dyDescent="0.25">
      <c r="A196" s="19" t="s">
        <v>665</v>
      </c>
      <c r="B196" t="s">
        <v>635</v>
      </c>
      <c r="C196">
        <v>2</v>
      </c>
      <c r="D196" t="s">
        <v>2216</v>
      </c>
      <c r="E196" t="s">
        <v>1049</v>
      </c>
      <c r="F196" t="s">
        <v>2274</v>
      </c>
    </row>
    <row r="197" spans="1:6" x14ac:dyDescent="0.25">
      <c r="A197" s="19" t="s">
        <v>665</v>
      </c>
      <c r="B197" t="s">
        <v>2087</v>
      </c>
      <c r="C197">
        <v>2</v>
      </c>
      <c r="D197" t="s">
        <v>2215</v>
      </c>
      <c r="E197" t="s">
        <v>1049</v>
      </c>
      <c r="F197" t="s">
        <v>2274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7E4F-25B1-4FDD-BAB8-69D41040FE00}">
  <sheetPr>
    <tabColor rgb="FFC00000"/>
  </sheetPr>
  <dimension ref="A1:F218"/>
  <sheetViews>
    <sheetView topLeftCell="A199" workbookViewId="0">
      <selection activeCell="D244" sqref="D244"/>
    </sheetView>
  </sheetViews>
  <sheetFormatPr defaultRowHeight="15" x14ac:dyDescent="0.25"/>
  <cols>
    <col min="1" max="1" width="37.42578125" customWidth="1"/>
    <col min="2" max="2" width="23.28515625" customWidth="1"/>
    <col min="4" max="4" width="81.85546875" customWidth="1"/>
    <col min="5" max="5" width="89.7109375" customWidth="1"/>
  </cols>
  <sheetData>
    <row r="1" spans="1:6" x14ac:dyDescent="0.25">
      <c r="A1" t="s">
        <v>740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25">
      <c r="A2" s="19" t="s">
        <v>571</v>
      </c>
      <c r="B2" t="s">
        <v>1129</v>
      </c>
      <c r="C2">
        <v>62</v>
      </c>
      <c r="D2" t="s">
        <v>1827</v>
      </c>
      <c r="E2" t="s">
        <v>901</v>
      </c>
      <c r="F2" t="s">
        <v>946</v>
      </c>
    </row>
    <row r="3" spans="1:6" x14ac:dyDescent="0.25">
      <c r="A3" s="19" t="s">
        <v>571</v>
      </c>
      <c r="B3" t="s">
        <v>1828</v>
      </c>
      <c r="C3">
        <v>20</v>
      </c>
      <c r="D3" t="s">
        <v>1829</v>
      </c>
      <c r="E3" t="s">
        <v>1198</v>
      </c>
      <c r="F3" t="s">
        <v>1830</v>
      </c>
    </row>
    <row r="4" spans="1:6" x14ac:dyDescent="0.25">
      <c r="A4" s="19" t="s">
        <v>571</v>
      </c>
      <c r="B4" t="s">
        <v>1123</v>
      </c>
      <c r="C4">
        <v>5</v>
      </c>
      <c r="D4" t="s">
        <v>1831</v>
      </c>
      <c r="E4" t="s">
        <v>911</v>
      </c>
      <c r="F4" t="s">
        <v>1832</v>
      </c>
    </row>
    <row r="5" spans="1:6" x14ac:dyDescent="0.25">
      <c r="A5" s="19" t="s">
        <v>571</v>
      </c>
      <c r="B5" t="s">
        <v>960</v>
      </c>
      <c r="C5">
        <v>4</v>
      </c>
      <c r="D5" t="s">
        <v>1833</v>
      </c>
      <c r="E5" t="s">
        <v>911</v>
      </c>
      <c r="F5" t="s">
        <v>1834</v>
      </c>
    </row>
    <row r="6" spans="1:6" x14ac:dyDescent="0.25">
      <c r="A6" s="19" t="s">
        <v>571</v>
      </c>
      <c r="B6" t="s">
        <v>1126</v>
      </c>
      <c r="C6">
        <v>4</v>
      </c>
      <c r="D6" t="s">
        <v>1835</v>
      </c>
      <c r="E6" t="s">
        <v>911</v>
      </c>
      <c r="F6" t="s">
        <v>1836</v>
      </c>
    </row>
    <row r="7" spans="1:6" x14ac:dyDescent="0.25">
      <c r="A7" s="19" t="s">
        <v>571</v>
      </c>
      <c r="B7" t="s">
        <v>1042</v>
      </c>
      <c r="C7">
        <v>3</v>
      </c>
      <c r="D7" t="s">
        <v>1837</v>
      </c>
      <c r="E7" t="s">
        <v>921</v>
      </c>
      <c r="F7" t="s">
        <v>1838</v>
      </c>
    </row>
    <row r="8" spans="1:6" x14ac:dyDescent="0.25">
      <c r="A8" s="19" t="s">
        <v>571</v>
      </c>
      <c r="B8" t="s">
        <v>941</v>
      </c>
      <c r="C8">
        <v>2</v>
      </c>
      <c r="D8" t="s">
        <v>1195</v>
      </c>
      <c r="E8" t="s">
        <v>925</v>
      </c>
      <c r="F8" t="s">
        <v>1839</v>
      </c>
    </row>
    <row r="9" spans="1:6" x14ac:dyDescent="0.25">
      <c r="A9" s="19" t="s">
        <v>563</v>
      </c>
      <c r="B9" t="s">
        <v>1129</v>
      </c>
      <c r="C9">
        <v>46</v>
      </c>
      <c r="D9" t="s">
        <v>1840</v>
      </c>
      <c r="E9" t="s">
        <v>901</v>
      </c>
      <c r="F9" t="s">
        <v>1841</v>
      </c>
    </row>
    <row r="10" spans="1:6" x14ac:dyDescent="0.25">
      <c r="A10" s="19" t="s">
        <v>563</v>
      </c>
      <c r="B10" t="s">
        <v>1828</v>
      </c>
      <c r="C10">
        <v>36</v>
      </c>
      <c r="D10" t="s">
        <v>1842</v>
      </c>
      <c r="E10" t="s">
        <v>901</v>
      </c>
      <c r="F10" t="s">
        <v>1843</v>
      </c>
    </row>
    <row r="11" spans="1:6" x14ac:dyDescent="0.25">
      <c r="A11" s="19" t="s">
        <v>563</v>
      </c>
      <c r="B11" t="s">
        <v>1123</v>
      </c>
      <c r="C11">
        <v>4</v>
      </c>
      <c r="D11" t="s">
        <v>1831</v>
      </c>
      <c r="E11" t="s">
        <v>911</v>
      </c>
      <c r="F11" t="s">
        <v>1844</v>
      </c>
    </row>
    <row r="12" spans="1:6" x14ac:dyDescent="0.25">
      <c r="A12" s="19" t="s">
        <v>563</v>
      </c>
      <c r="B12" t="s">
        <v>960</v>
      </c>
      <c r="C12">
        <v>4</v>
      </c>
      <c r="D12" t="s">
        <v>1833</v>
      </c>
      <c r="E12" t="s">
        <v>911</v>
      </c>
      <c r="F12" t="s">
        <v>1834</v>
      </c>
    </row>
    <row r="13" spans="1:6" x14ac:dyDescent="0.25">
      <c r="A13" s="19" t="s">
        <v>563</v>
      </c>
      <c r="B13" t="s">
        <v>1126</v>
      </c>
      <c r="C13">
        <v>4</v>
      </c>
      <c r="D13" t="s">
        <v>1835</v>
      </c>
      <c r="E13" t="s">
        <v>911</v>
      </c>
      <c r="F13" t="s">
        <v>1836</v>
      </c>
    </row>
    <row r="14" spans="1:6" x14ac:dyDescent="0.25">
      <c r="A14" s="19" t="s">
        <v>563</v>
      </c>
      <c r="B14" t="s">
        <v>1042</v>
      </c>
      <c r="C14">
        <v>2</v>
      </c>
      <c r="D14" t="s">
        <v>1837</v>
      </c>
      <c r="E14" t="s">
        <v>921</v>
      </c>
      <c r="F14" t="s">
        <v>1838</v>
      </c>
    </row>
    <row r="15" spans="1:6" x14ac:dyDescent="0.25">
      <c r="A15" s="19" t="s">
        <v>563</v>
      </c>
      <c r="B15" t="s">
        <v>1129</v>
      </c>
      <c r="C15">
        <v>4</v>
      </c>
      <c r="D15" t="s">
        <v>1845</v>
      </c>
      <c r="E15" t="s">
        <v>1594</v>
      </c>
      <c r="F15" t="s">
        <v>1695</v>
      </c>
    </row>
    <row r="16" spans="1:6" x14ac:dyDescent="0.25">
      <c r="A16" s="19" t="s">
        <v>565</v>
      </c>
      <c r="B16" t="s">
        <v>1129</v>
      </c>
      <c r="C16">
        <v>73</v>
      </c>
      <c r="D16" t="s">
        <v>1846</v>
      </c>
      <c r="E16" t="s">
        <v>901</v>
      </c>
      <c r="F16" t="s">
        <v>946</v>
      </c>
    </row>
    <row r="17" spans="1:6" x14ac:dyDescent="0.25">
      <c r="A17" s="19" t="s">
        <v>565</v>
      </c>
      <c r="B17" t="s">
        <v>1828</v>
      </c>
      <c r="C17">
        <v>11</v>
      </c>
      <c r="D17" t="s">
        <v>1847</v>
      </c>
      <c r="E17" t="s">
        <v>1198</v>
      </c>
      <c r="F17" t="s">
        <v>1848</v>
      </c>
    </row>
    <row r="18" spans="1:6" x14ac:dyDescent="0.25">
      <c r="A18" s="19" t="s">
        <v>565</v>
      </c>
      <c r="B18" t="s">
        <v>960</v>
      </c>
      <c r="C18">
        <v>8</v>
      </c>
      <c r="D18" t="s">
        <v>1849</v>
      </c>
      <c r="E18" t="s">
        <v>911</v>
      </c>
      <c r="F18" t="s">
        <v>1834</v>
      </c>
    </row>
    <row r="19" spans="1:6" x14ac:dyDescent="0.25">
      <c r="A19" s="19" t="s">
        <v>565</v>
      </c>
      <c r="B19" t="s">
        <v>1123</v>
      </c>
      <c r="C19">
        <v>3</v>
      </c>
      <c r="D19" t="s">
        <v>1831</v>
      </c>
      <c r="E19" t="s">
        <v>911</v>
      </c>
      <c r="F19" t="s">
        <v>1844</v>
      </c>
    </row>
    <row r="20" spans="1:6" x14ac:dyDescent="0.25">
      <c r="A20" s="19" t="s">
        <v>565</v>
      </c>
      <c r="B20" t="s">
        <v>1042</v>
      </c>
      <c r="C20">
        <v>3</v>
      </c>
      <c r="D20" t="s">
        <v>1837</v>
      </c>
      <c r="E20" t="s">
        <v>921</v>
      </c>
      <c r="F20" t="s">
        <v>1838</v>
      </c>
    </row>
    <row r="21" spans="1:6" x14ac:dyDescent="0.25">
      <c r="A21" s="19" t="s">
        <v>565</v>
      </c>
      <c r="B21" t="s">
        <v>941</v>
      </c>
      <c r="C21">
        <v>2</v>
      </c>
      <c r="D21" t="s">
        <v>1195</v>
      </c>
      <c r="E21" t="s">
        <v>925</v>
      </c>
      <c r="F21" t="s">
        <v>1839</v>
      </c>
    </row>
    <row r="22" spans="1:6" x14ac:dyDescent="0.25">
      <c r="A22" s="19" t="s">
        <v>577</v>
      </c>
      <c r="B22" t="s">
        <v>1129</v>
      </c>
      <c r="C22">
        <v>74</v>
      </c>
      <c r="D22" t="s">
        <v>1850</v>
      </c>
      <c r="E22" t="s">
        <v>901</v>
      </c>
      <c r="F22" t="s">
        <v>946</v>
      </c>
    </row>
    <row r="23" spans="1:6" x14ac:dyDescent="0.25">
      <c r="A23" s="19" t="s">
        <v>577</v>
      </c>
      <c r="B23" t="s">
        <v>1828</v>
      </c>
      <c r="C23">
        <v>12</v>
      </c>
      <c r="D23" t="s">
        <v>1851</v>
      </c>
      <c r="E23" t="s">
        <v>1198</v>
      </c>
      <c r="F23" t="s">
        <v>1848</v>
      </c>
    </row>
    <row r="24" spans="1:6" x14ac:dyDescent="0.25">
      <c r="A24" s="19" t="s">
        <v>577</v>
      </c>
      <c r="B24" t="s">
        <v>960</v>
      </c>
      <c r="C24">
        <v>6</v>
      </c>
      <c r="D24" t="s">
        <v>1849</v>
      </c>
      <c r="E24" t="s">
        <v>911</v>
      </c>
      <c r="F24" t="s">
        <v>1834</v>
      </c>
    </row>
    <row r="25" spans="1:6" x14ac:dyDescent="0.25">
      <c r="A25" s="19" t="s">
        <v>577</v>
      </c>
      <c r="B25" t="s">
        <v>1123</v>
      </c>
      <c r="C25">
        <v>3</v>
      </c>
      <c r="D25" t="s">
        <v>1831</v>
      </c>
      <c r="E25" t="s">
        <v>911</v>
      </c>
      <c r="F25" t="s">
        <v>1844</v>
      </c>
    </row>
    <row r="26" spans="1:6" x14ac:dyDescent="0.25">
      <c r="A26" s="19" t="s">
        <v>577</v>
      </c>
      <c r="B26" t="s">
        <v>1042</v>
      </c>
      <c r="C26">
        <v>3</v>
      </c>
      <c r="D26" t="s">
        <v>1837</v>
      </c>
      <c r="E26" t="s">
        <v>921</v>
      </c>
      <c r="F26" t="s">
        <v>1838</v>
      </c>
    </row>
    <row r="27" spans="1:6" x14ac:dyDescent="0.25">
      <c r="A27" s="19" t="s">
        <v>577</v>
      </c>
      <c r="B27" t="s">
        <v>941</v>
      </c>
      <c r="C27">
        <v>2</v>
      </c>
      <c r="D27" t="s">
        <v>1195</v>
      </c>
      <c r="E27" t="s">
        <v>925</v>
      </c>
      <c r="F27" t="s">
        <v>1839</v>
      </c>
    </row>
    <row r="28" spans="1:6" x14ac:dyDescent="0.25">
      <c r="A28" s="19" t="s">
        <v>573</v>
      </c>
      <c r="B28" t="s">
        <v>1129</v>
      </c>
      <c r="C28">
        <v>76</v>
      </c>
      <c r="D28" t="s">
        <v>1852</v>
      </c>
      <c r="E28" t="s">
        <v>901</v>
      </c>
      <c r="F28" t="s">
        <v>946</v>
      </c>
    </row>
    <row r="29" spans="1:6" x14ac:dyDescent="0.25">
      <c r="A29" s="19" t="s">
        <v>573</v>
      </c>
      <c r="B29" t="s">
        <v>1828</v>
      </c>
      <c r="C29">
        <v>10</v>
      </c>
      <c r="D29" t="s">
        <v>1853</v>
      </c>
      <c r="E29" t="s">
        <v>1198</v>
      </c>
      <c r="F29" t="s">
        <v>1848</v>
      </c>
    </row>
    <row r="30" spans="1:6" x14ac:dyDescent="0.25">
      <c r="A30" s="19" t="s">
        <v>573</v>
      </c>
      <c r="B30" t="s">
        <v>960</v>
      </c>
      <c r="C30">
        <v>6</v>
      </c>
      <c r="D30" t="s">
        <v>1849</v>
      </c>
      <c r="E30" t="s">
        <v>911</v>
      </c>
      <c r="F30" t="s">
        <v>1834</v>
      </c>
    </row>
    <row r="31" spans="1:6" x14ac:dyDescent="0.25">
      <c r="A31" s="19" t="s">
        <v>573</v>
      </c>
      <c r="B31" t="s">
        <v>1123</v>
      </c>
      <c r="C31">
        <v>3</v>
      </c>
      <c r="D31" t="s">
        <v>1831</v>
      </c>
      <c r="E31" t="s">
        <v>911</v>
      </c>
      <c r="F31" t="s">
        <v>1844</v>
      </c>
    </row>
    <row r="32" spans="1:6" x14ac:dyDescent="0.25">
      <c r="A32" s="19" t="s">
        <v>573</v>
      </c>
      <c r="B32" t="s">
        <v>1042</v>
      </c>
      <c r="C32">
        <v>3</v>
      </c>
      <c r="D32" t="s">
        <v>1837</v>
      </c>
      <c r="E32" t="s">
        <v>921</v>
      </c>
      <c r="F32" t="s">
        <v>1838</v>
      </c>
    </row>
    <row r="33" spans="1:6" x14ac:dyDescent="0.25">
      <c r="A33" s="19" t="s">
        <v>573</v>
      </c>
      <c r="B33" t="s">
        <v>941</v>
      </c>
      <c r="C33">
        <v>2</v>
      </c>
      <c r="D33" t="s">
        <v>1195</v>
      </c>
      <c r="E33" t="s">
        <v>925</v>
      </c>
      <c r="F33" t="s">
        <v>1839</v>
      </c>
    </row>
    <row r="34" spans="1:6" x14ac:dyDescent="0.25">
      <c r="A34" s="19" t="s">
        <v>557</v>
      </c>
      <c r="B34" t="s">
        <v>1129</v>
      </c>
      <c r="C34">
        <v>80</v>
      </c>
      <c r="D34" t="s">
        <v>1854</v>
      </c>
      <c r="E34" t="s">
        <v>901</v>
      </c>
      <c r="F34" t="s">
        <v>946</v>
      </c>
    </row>
    <row r="35" spans="1:6" x14ac:dyDescent="0.25">
      <c r="A35" s="19" t="s">
        <v>557</v>
      </c>
      <c r="B35" t="s">
        <v>960</v>
      </c>
      <c r="C35">
        <v>8</v>
      </c>
      <c r="D35" t="s">
        <v>1849</v>
      </c>
      <c r="E35" t="s">
        <v>911</v>
      </c>
      <c r="F35" t="s">
        <v>1834</v>
      </c>
    </row>
    <row r="36" spans="1:6" x14ac:dyDescent="0.25">
      <c r="A36" s="19" t="s">
        <v>557</v>
      </c>
      <c r="B36" t="s">
        <v>1828</v>
      </c>
      <c r="C36">
        <v>4</v>
      </c>
      <c r="D36" t="s">
        <v>1855</v>
      </c>
      <c r="E36" t="s">
        <v>1198</v>
      </c>
      <c r="F36" t="s">
        <v>1856</v>
      </c>
    </row>
    <row r="37" spans="1:6" x14ac:dyDescent="0.25">
      <c r="A37" s="19" t="s">
        <v>557</v>
      </c>
      <c r="B37" t="s">
        <v>1123</v>
      </c>
      <c r="C37">
        <v>3</v>
      </c>
      <c r="D37" t="s">
        <v>1831</v>
      </c>
      <c r="E37" t="s">
        <v>911</v>
      </c>
      <c r="F37" t="s">
        <v>1844</v>
      </c>
    </row>
    <row r="38" spans="1:6" x14ac:dyDescent="0.25">
      <c r="A38" s="19" t="s">
        <v>557</v>
      </c>
      <c r="B38" t="s">
        <v>1042</v>
      </c>
      <c r="C38">
        <v>3</v>
      </c>
      <c r="D38" t="s">
        <v>1837</v>
      </c>
      <c r="E38" t="s">
        <v>921</v>
      </c>
      <c r="F38" t="s">
        <v>1838</v>
      </c>
    </row>
    <row r="39" spans="1:6" x14ac:dyDescent="0.25">
      <c r="A39" s="19" t="s">
        <v>557</v>
      </c>
      <c r="B39" t="s">
        <v>941</v>
      </c>
      <c r="C39">
        <v>2</v>
      </c>
      <c r="D39" t="s">
        <v>1195</v>
      </c>
      <c r="E39" t="s">
        <v>925</v>
      </c>
      <c r="F39" t="s">
        <v>1839</v>
      </c>
    </row>
    <row r="40" spans="1:6" x14ac:dyDescent="0.25">
      <c r="A40" s="19" t="s">
        <v>575</v>
      </c>
      <c r="B40" t="s">
        <v>1129</v>
      </c>
      <c r="C40">
        <v>60</v>
      </c>
      <c r="D40" t="s">
        <v>1857</v>
      </c>
      <c r="E40" t="s">
        <v>901</v>
      </c>
      <c r="F40" t="s">
        <v>946</v>
      </c>
    </row>
    <row r="41" spans="1:6" x14ac:dyDescent="0.25">
      <c r="A41" s="19" t="s">
        <v>575</v>
      </c>
      <c r="B41" t="s">
        <v>960</v>
      </c>
      <c r="C41">
        <v>14</v>
      </c>
      <c r="D41" t="s">
        <v>1849</v>
      </c>
      <c r="E41" t="s">
        <v>911</v>
      </c>
      <c r="F41" t="s">
        <v>1858</v>
      </c>
    </row>
    <row r="42" spans="1:6" x14ac:dyDescent="0.25">
      <c r="A42" s="19" t="s">
        <v>575</v>
      </c>
      <c r="B42" t="s">
        <v>1123</v>
      </c>
      <c r="C42">
        <v>12</v>
      </c>
      <c r="D42" t="s">
        <v>1859</v>
      </c>
      <c r="E42" t="s">
        <v>911</v>
      </c>
      <c r="F42" t="s">
        <v>1860</v>
      </c>
    </row>
    <row r="43" spans="1:6" x14ac:dyDescent="0.25">
      <c r="A43" s="19" t="s">
        <v>575</v>
      </c>
      <c r="B43" t="s">
        <v>1828</v>
      </c>
      <c r="C43">
        <v>4</v>
      </c>
      <c r="D43" t="s">
        <v>1861</v>
      </c>
      <c r="E43" t="s">
        <v>1198</v>
      </c>
      <c r="F43" t="s">
        <v>1848</v>
      </c>
    </row>
    <row r="44" spans="1:6" x14ac:dyDescent="0.25">
      <c r="A44" s="19" t="s">
        <v>575</v>
      </c>
      <c r="B44" t="s">
        <v>1042</v>
      </c>
      <c r="C44">
        <v>4</v>
      </c>
      <c r="D44" t="s">
        <v>1837</v>
      </c>
      <c r="E44" t="s">
        <v>921</v>
      </c>
      <c r="F44" t="s">
        <v>1838</v>
      </c>
    </row>
    <row r="45" spans="1:6" x14ac:dyDescent="0.25">
      <c r="A45" s="19" t="s">
        <v>575</v>
      </c>
      <c r="B45" t="s">
        <v>941</v>
      </c>
      <c r="C45">
        <v>3</v>
      </c>
      <c r="D45" t="s">
        <v>1195</v>
      </c>
      <c r="E45" t="s">
        <v>925</v>
      </c>
      <c r="F45" t="s">
        <v>1728</v>
      </c>
    </row>
    <row r="46" spans="1:6" x14ac:dyDescent="0.25">
      <c r="A46" s="19" t="s">
        <v>575</v>
      </c>
      <c r="B46" t="s">
        <v>1126</v>
      </c>
      <c r="C46">
        <v>3</v>
      </c>
      <c r="D46" t="s">
        <v>1862</v>
      </c>
      <c r="E46" t="s">
        <v>911</v>
      </c>
      <c r="F46" t="s">
        <v>1836</v>
      </c>
    </row>
    <row r="47" spans="1:6" x14ac:dyDescent="0.25">
      <c r="A47" s="19" t="s">
        <v>559</v>
      </c>
      <c r="B47" t="s">
        <v>960</v>
      </c>
      <c r="C47">
        <v>68</v>
      </c>
      <c r="D47" t="s">
        <v>1863</v>
      </c>
      <c r="E47" t="s">
        <v>901</v>
      </c>
      <c r="F47" t="s">
        <v>946</v>
      </c>
    </row>
    <row r="48" spans="1:6" x14ac:dyDescent="0.25">
      <c r="A48" s="19" t="s">
        <v>559</v>
      </c>
      <c r="B48" t="s">
        <v>1129</v>
      </c>
      <c r="C48">
        <v>10</v>
      </c>
      <c r="D48" t="s">
        <v>1864</v>
      </c>
      <c r="E48" t="s">
        <v>1044</v>
      </c>
      <c r="F48" t="s">
        <v>1865</v>
      </c>
    </row>
    <row r="49" spans="1:6" x14ac:dyDescent="0.25">
      <c r="A49" s="19" t="s">
        <v>559</v>
      </c>
      <c r="B49" t="s">
        <v>1123</v>
      </c>
      <c r="C49">
        <v>8</v>
      </c>
      <c r="D49" t="s">
        <v>1866</v>
      </c>
      <c r="E49" t="s">
        <v>911</v>
      </c>
      <c r="F49" t="s">
        <v>1844</v>
      </c>
    </row>
    <row r="50" spans="1:6" x14ac:dyDescent="0.25">
      <c r="A50" s="19" t="s">
        <v>559</v>
      </c>
      <c r="B50" t="s">
        <v>941</v>
      </c>
      <c r="C50">
        <v>7</v>
      </c>
      <c r="D50" t="s">
        <v>1195</v>
      </c>
      <c r="E50" t="s">
        <v>925</v>
      </c>
      <c r="F50" t="s">
        <v>1867</v>
      </c>
    </row>
    <row r="51" spans="1:6" x14ac:dyDescent="0.25">
      <c r="A51" s="19" t="s">
        <v>559</v>
      </c>
      <c r="B51" t="s">
        <v>1042</v>
      </c>
      <c r="C51">
        <v>4</v>
      </c>
      <c r="D51" t="s">
        <v>1837</v>
      </c>
      <c r="E51" t="s">
        <v>921</v>
      </c>
      <c r="F51" t="s">
        <v>1838</v>
      </c>
    </row>
    <row r="52" spans="1:6" x14ac:dyDescent="0.25">
      <c r="A52" s="19" t="s">
        <v>559</v>
      </c>
      <c r="B52" t="s">
        <v>1142</v>
      </c>
      <c r="C52">
        <v>1</v>
      </c>
      <c r="D52" t="s">
        <v>1592</v>
      </c>
      <c r="E52" t="s">
        <v>911</v>
      </c>
      <c r="F52" t="s">
        <v>1617</v>
      </c>
    </row>
    <row r="53" spans="1:6" x14ac:dyDescent="0.25">
      <c r="A53" s="19" t="s">
        <v>559</v>
      </c>
      <c r="B53" t="s">
        <v>960</v>
      </c>
      <c r="C53">
        <v>2</v>
      </c>
      <c r="D53" t="s">
        <v>1868</v>
      </c>
      <c r="E53" t="s">
        <v>1594</v>
      </c>
      <c r="F53" t="s">
        <v>1869</v>
      </c>
    </row>
    <row r="54" spans="1:6" x14ac:dyDescent="0.25">
      <c r="A54" s="19" t="s">
        <v>561</v>
      </c>
      <c r="B54" t="s">
        <v>960</v>
      </c>
      <c r="C54">
        <v>76</v>
      </c>
      <c r="D54" t="s">
        <v>1870</v>
      </c>
      <c r="E54" t="s">
        <v>901</v>
      </c>
      <c r="F54" t="s">
        <v>946</v>
      </c>
    </row>
    <row r="55" spans="1:6" x14ac:dyDescent="0.25">
      <c r="A55" s="19" t="s">
        <v>561</v>
      </c>
      <c r="B55" t="s">
        <v>1123</v>
      </c>
      <c r="C55">
        <v>8</v>
      </c>
      <c r="D55" t="s">
        <v>1831</v>
      </c>
      <c r="E55" t="s">
        <v>911</v>
      </c>
      <c r="F55" t="s">
        <v>1844</v>
      </c>
    </row>
    <row r="56" spans="1:6" x14ac:dyDescent="0.25">
      <c r="A56" s="19" t="s">
        <v>561</v>
      </c>
      <c r="B56" t="s">
        <v>1129</v>
      </c>
      <c r="C56">
        <v>6</v>
      </c>
      <c r="D56" t="s">
        <v>1871</v>
      </c>
      <c r="E56" t="s">
        <v>1044</v>
      </c>
      <c r="F56" t="s">
        <v>1865</v>
      </c>
    </row>
    <row r="57" spans="1:6" x14ac:dyDescent="0.25">
      <c r="A57" s="19" t="s">
        <v>561</v>
      </c>
      <c r="B57" t="s">
        <v>941</v>
      </c>
      <c r="C57">
        <v>6</v>
      </c>
      <c r="D57" t="s">
        <v>1195</v>
      </c>
      <c r="E57" t="s">
        <v>925</v>
      </c>
      <c r="F57" t="s">
        <v>1867</v>
      </c>
    </row>
    <row r="58" spans="1:6" x14ac:dyDescent="0.25">
      <c r="A58" s="19" t="s">
        <v>561</v>
      </c>
      <c r="B58" t="s">
        <v>1042</v>
      </c>
      <c r="C58">
        <v>2</v>
      </c>
      <c r="D58" t="s">
        <v>1837</v>
      </c>
      <c r="E58" t="s">
        <v>921</v>
      </c>
      <c r="F58" t="s">
        <v>1838</v>
      </c>
    </row>
    <row r="59" spans="1:6" x14ac:dyDescent="0.25">
      <c r="A59" s="19" t="s">
        <v>561</v>
      </c>
      <c r="B59" t="s">
        <v>1142</v>
      </c>
      <c r="C59">
        <v>1</v>
      </c>
      <c r="D59" t="s">
        <v>1592</v>
      </c>
      <c r="E59" t="s">
        <v>911</v>
      </c>
      <c r="F59" t="s">
        <v>1617</v>
      </c>
    </row>
    <row r="60" spans="1:6" x14ac:dyDescent="0.25">
      <c r="A60" s="19" t="s">
        <v>561</v>
      </c>
      <c r="B60" t="s">
        <v>960</v>
      </c>
      <c r="C60">
        <v>1</v>
      </c>
      <c r="D60" t="s">
        <v>1872</v>
      </c>
      <c r="E60" t="s">
        <v>1594</v>
      </c>
      <c r="F60" t="s">
        <v>1869</v>
      </c>
    </row>
    <row r="61" spans="1:6" x14ac:dyDescent="0.25">
      <c r="A61" s="19" t="s">
        <v>764</v>
      </c>
      <c r="B61" t="s">
        <v>960</v>
      </c>
      <c r="C61">
        <v>74</v>
      </c>
      <c r="D61" t="s">
        <v>1873</v>
      </c>
      <c r="E61" t="s">
        <v>901</v>
      </c>
      <c r="F61" t="s">
        <v>1874</v>
      </c>
    </row>
    <row r="62" spans="1:6" x14ac:dyDescent="0.25">
      <c r="A62" s="19" t="s">
        <v>764</v>
      </c>
      <c r="B62" t="s">
        <v>1123</v>
      </c>
      <c r="C62">
        <v>6</v>
      </c>
      <c r="D62" t="s">
        <v>1831</v>
      </c>
      <c r="E62" t="s">
        <v>911</v>
      </c>
      <c r="F62" t="s">
        <v>1844</v>
      </c>
    </row>
    <row r="63" spans="1:6" x14ac:dyDescent="0.25">
      <c r="A63" s="19" t="s">
        <v>764</v>
      </c>
      <c r="B63" t="s">
        <v>1129</v>
      </c>
      <c r="C63">
        <v>6</v>
      </c>
      <c r="D63" t="s">
        <v>1871</v>
      </c>
      <c r="E63" t="s">
        <v>1044</v>
      </c>
      <c r="F63" t="s">
        <v>1865</v>
      </c>
    </row>
    <row r="64" spans="1:6" x14ac:dyDescent="0.25">
      <c r="A64" s="19" t="s">
        <v>764</v>
      </c>
      <c r="B64" t="s">
        <v>941</v>
      </c>
      <c r="C64">
        <v>6</v>
      </c>
      <c r="D64" t="s">
        <v>1195</v>
      </c>
      <c r="E64" t="s">
        <v>925</v>
      </c>
      <c r="F64" t="s">
        <v>1867</v>
      </c>
    </row>
    <row r="65" spans="1:6" x14ac:dyDescent="0.25">
      <c r="A65" s="19" t="s">
        <v>764</v>
      </c>
      <c r="B65" t="s">
        <v>1042</v>
      </c>
      <c r="C65">
        <v>4</v>
      </c>
      <c r="D65" t="s">
        <v>1837</v>
      </c>
      <c r="E65" t="s">
        <v>921</v>
      </c>
      <c r="F65" t="s">
        <v>1838</v>
      </c>
    </row>
    <row r="66" spans="1:6" x14ac:dyDescent="0.25">
      <c r="A66" s="19" t="s">
        <v>764</v>
      </c>
      <c r="B66" t="s">
        <v>960</v>
      </c>
      <c r="C66">
        <v>4</v>
      </c>
      <c r="D66" t="s">
        <v>1875</v>
      </c>
      <c r="E66" t="s">
        <v>1594</v>
      </c>
      <c r="F66" t="s">
        <v>1876</v>
      </c>
    </row>
    <row r="67" spans="1:6" x14ac:dyDescent="0.25">
      <c r="A67" s="19" t="s">
        <v>569</v>
      </c>
      <c r="B67" t="s">
        <v>960</v>
      </c>
      <c r="C67">
        <v>88</v>
      </c>
      <c r="D67" t="s">
        <v>1877</v>
      </c>
      <c r="E67" t="s">
        <v>901</v>
      </c>
      <c r="F67" t="s">
        <v>956</v>
      </c>
    </row>
    <row r="68" spans="1:6" x14ac:dyDescent="0.25">
      <c r="A68" s="19" t="s">
        <v>569</v>
      </c>
      <c r="B68" t="s">
        <v>941</v>
      </c>
      <c r="C68">
        <v>6</v>
      </c>
      <c r="D68" t="s">
        <v>1195</v>
      </c>
      <c r="E68" t="s">
        <v>925</v>
      </c>
      <c r="F68" t="s">
        <v>1867</v>
      </c>
    </row>
    <row r="69" spans="1:6" x14ac:dyDescent="0.25">
      <c r="A69" s="19" t="s">
        <v>569</v>
      </c>
      <c r="B69" t="s">
        <v>1123</v>
      </c>
      <c r="C69">
        <v>2</v>
      </c>
      <c r="D69" t="s">
        <v>1831</v>
      </c>
      <c r="E69" t="s">
        <v>911</v>
      </c>
      <c r="F69" t="s">
        <v>1403</v>
      </c>
    </row>
    <row r="70" spans="1:6" x14ac:dyDescent="0.25">
      <c r="A70" s="19" t="s">
        <v>569</v>
      </c>
      <c r="B70" t="s">
        <v>1129</v>
      </c>
      <c r="C70">
        <v>2</v>
      </c>
      <c r="D70" t="s">
        <v>1878</v>
      </c>
      <c r="E70" t="s">
        <v>1044</v>
      </c>
      <c r="F70" t="s">
        <v>1403</v>
      </c>
    </row>
    <row r="71" spans="1:6" x14ac:dyDescent="0.25">
      <c r="A71" s="19" t="s">
        <v>569</v>
      </c>
      <c r="B71" t="s">
        <v>1042</v>
      </c>
      <c r="C71">
        <v>1</v>
      </c>
      <c r="D71" t="s">
        <v>1879</v>
      </c>
      <c r="E71" t="s">
        <v>921</v>
      </c>
      <c r="F71" t="s">
        <v>1880</v>
      </c>
    </row>
    <row r="72" spans="1:6" x14ac:dyDescent="0.25">
      <c r="A72" s="19" t="s">
        <v>569</v>
      </c>
      <c r="B72" t="s">
        <v>960</v>
      </c>
      <c r="C72">
        <v>1</v>
      </c>
      <c r="D72" t="s">
        <v>1881</v>
      </c>
      <c r="E72" t="s">
        <v>1594</v>
      </c>
      <c r="F72" t="s">
        <v>1869</v>
      </c>
    </row>
    <row r="73" spans="1:6" x14ac:dyDescent="0.25">
      <c r="A73" s="19" t="s">
        <v>579</v>
      </c>
      <c r="B73" t="s">
        <v>960</v>
      </c>
      <c r="C73">
        <v>64</v>
      </c>
      <c r="D73" t="s">
        <v>1882</v>
      </c>
      <c r="E73" t="s">
        <v>901</v>
      </c>
      <c r="F73" t="s">
        <v>946</v>
      </c>
    </row>
    <row r="74" spans="1:6" x14ac:dyDescent="0.25">
      <c r="A74" s="19" t="s">
        <v>579</v>
      </c>
      <c r="B74" t="s">
        <v>1565</v>
      </c>
      <c r="C74">
        <v>10</v>
      </c>
      <c r="D74" t="s">
        <v>1883</v>
      </c>
      <c r="E74" t="s">
        <v>911</v>
      </c>
      <c r="F74" t="s">
        <v>1884</v>
      </c>
    </row>
    <row r="75" spans="1:6" x14ac:dyDescent="0.25">
      <c r="A75" s="19" t="s">
        <v>579</v>
      </c>
      <c r="B75" t="s">
        <v>1123</v>
      </c>
      <c r="C75">
        <v>8</v>
      </c>
      <c r="D75" t="s">
        <v>1885</v>
      </c>
      <c r="E75" t="s">
        <v>911</v>
      </c>
      <c r="F75" t="s">
        <v>1886</v>
      </c>
    </row>
    <row r="76" spans="1:6" x14ac:dyDescent="0.25">
      <c r="A76" s="19" t="s">
        <v>579</v>
      </c>
      <c r="B76" t="s">
        <v>941</v>
      </c>
      <c r="C76">
        <v>8</v>
      </c>
      <c r="D76" t="s">
        <v>1195</v>
      </c>
      <c r="E76" t="s">
        <v>925</v>
      </c>
      <c r="F76" t="s">
        <v>1867</v>
      </c>
    </row>
    <row r="77" spans="1:6" x14ac:dyDescent="0.25">
      <c r="A77" s="19" t="s">
        <v>579</v>
      </c>
      <c r="B77" t="s">
        <v>1042</v>
      </c>
      <c r="C77">
        <v>3</v>
      </c>
      <c r="D77" t="s">
        <v>1887</v>
      </c>
      <c r="E77" t="s">
        <v>921</v>
      </c>
      <c r="F77" t="s">
        <v>1880</v>
      </c>
    </row>
    <row r="78" spans="1:6" x14ac:dyDescent="0.25">
      <c r="A78" s="19" t="s">
        <v>579</v>
      </c>
      <c r="B78" t="s">
        <v>1129</v>
      </c>
      <c r="C78">
        <v>3</v>
      </c>
      <c r="D78" t="s">
        <v>1888</v>
      </c>
      <c r="E78" t="s">
        <v>1044</v>
      </c>
      <c r="F78" t="s">
        <v>1403</v>
      </c>
    </row>
    <row r="79" spans="1:6" x14ac:dyDescent="0.25">
      <c r="A79" s="19" t="s">
        <v>579</v>
      </c>
      <c r="B79" t="s">
        <v>960</v>
      </c>
      <c r="C79">
        <v>4</v>
      </c>
      <c r="D79" t="s">
        <v>1889</v>
      </c>
      <c r="E79" t="s">
        <v>1594</v>
      </c>
      <c r="F79" t="s">
        <v>1695</v>
      </c>
    </row>
    <row r="80" spans="1:6" x14ac:dyDescent="0.25">
      <c r="A80" s="19" t="s">
        <v>767</v>
      </c>
      <c r="B80" t="s">
        <v>960</v>
      </c>
      <c r="C80">
        <v>90</v>
      </c>
      <c r="D80" t="s">
        <v>1890</v>
      </c>
      <c r="E80" t="s">
        <v>901</v>
      </c>
      <c r="F80" t="s">
        <v>1891</v>
      </c>
    </row>
    <row r="81" spans="1:6" x14ac:dyDescent="0.25">
      <c r="A81" s="19" t="s">
        <v>767</v>
      </c>
      <c r="B81" t="s">
        <v>941</v>
      </c>
      <c r="C81">
        <v>5</v>
      </c>
      <c r="D81" t="s">
        <v>1195</v>
      </c>
      <c r="E81" t="s">
        <v>925</v>
      </c>
      <c r="F81" t="s">
        <v>1599</v>
      </c>
    </row>
    <row r="82" spans="1:6" x14ac:dyDescent="0.25">
      <c r="A82" s="19" t="s">
        <v>767</v>
      </c>
      <c r="B82" t="s">
        <v>1123</v>
      </c>
      <c r="C82">
        <v>2</v>
      </c>
      <c r="D82" t="s">
        <v>1892</v>
      </c>
      <c r="E82" t="s">
        <v>911</v>
      </c>
      <c r="F82" t="s">
        <v>1403</v>
      </c>
    </row>
    <row r="83" spans="1:6" x14ac:dyDescent="0.25">
      <c r="A83" s="19" t="s">
        <v>767</v>
      </c>
      <c r="B83" t="s">
        <v>1042</v>
      </c>
      <c r="C83">
        <v>1</v>
      </c>
      <c r="D83" t="s">
        <v>1893</v>
      </c>
      <c r="E83" t="s">
        <v>921</v>
      </c>
      <c r="F83" t="s">
        <v>1880</v>
      </c>
    </row>
    <row r="84" spans="1:6" x14ac:dyDescent="0.25">
      <c r="A84" s="19" t="s">
        <v>767</v>
      </c>
      <c r="B84" t="s">
        <v>960</v>
      </c>
      <c r="C84">
        <v>2</v>
      </c>
      <c r="D84" t="s">
        <v>1894</v>
      </c>
      <c r="E84" t="s">
        <v>1594</v>
      </c>
      <c r="F84" t="s">
        <v>1876</v>
      </c>
    </row>
    <row r="85" spans="1:6" x14ac:dyDescent="0.25">
      <c r="A85" s="19" t="s">
        <v>770</v>
      </c>
      <c r="B85" t="s">
        <v>960</v>
      </c>
      <c r="C85">
        <v>88</v>
      </c>
      <c r="D85" t="s">
        <v>1895</v>
      </c>
      <c r="E85" t="s">
        <v>901</v>
      </c>
      <c r="F85" t="s">
        <v>1896</v>
      </c>
    </row>
    <row r="86" spans="1:6" x14ac:dyDescent="0.25">
      <c r="A86" s="19" t="s">
        <v>770</v>
      </c>
      <c r="B86" t="s">
        <v>941</v>
      </c>
      <c r="C86">
        <v>5</v>
      </c>
      <c r="D86" t="s">
        <v>1195</v>
      </c>
      <c r="E86" t="s">
        <v>925</v>
      </c>
      <c r="F86" t="s">
        <v>1599</v>
      </c>
    </row>
    <row r="87" spans="1:6" x14ac:dyDescent="0.25">
      <c r="A87" s="19" t="s">
        <v>770</v>
      </c>
      <c r="B87" t="s">
        <v>1123</v>
      </c>
      <c r="C87">
        <v>2</v>
      </c>
      <c r="D87" t="s">
        <v>1892</v>
      </c>
      <c r="E87" t="s">
        <v>911</v>
      </c>
      <c r="F87" t="s">
        <v>1403</v>
      </c>
    </row>
    <row r="88" spans="1:6" x14ac:dyDescent="0.25">
      <c r="A88" s="19" t="s">
        <v>770</v>
      </c>
      <c r="B88" t="s">
        <v>1042</v>
      </c>
      <c r="C88">
        <v>1</v>
      </c>
      <c r="D88" t="s">
        <v>1897</v>
      </c>
      <c r="E88" t="s">
        <v>921</v>
      </c>
      <c r="F88" t="s">
        <v>1880</v>
      </c>
    </row>
    <row r="89" spans="1:6" x14ac:dyDescent="0.25">
      <c r="A89" s="19" t="s">
        <v>770</v>
      </c>
      <c r="B89" t="s">
        <v>960</v>
      </c>
      <c r="C89">
        <v>4</v>
      </c>
      <c r="D89" t="s">
        <v>1898</v>
      </c>
      <c r="E89" t="s">
        <v>1594</v>
      </c>
      <c r="F89" t="s">
        <v>1876</v>
      </c>
    </row>
    <row r="90" spans="1:6" x14ac:dyDescent="0.25">
      <c r="A90" s="19" t="s">
        <v>774</v>
      </c>
      <c r="B90" t="s">
        <v>960</v>
      </c>
      <c r="C90">
        <v>90</v>
      </c>
      <c r="D90" t="s">
        <v>1899</v>
      </c>
      <c r="E90" t="s">
        <v>901</v>
      </c>
      <c r="F90" t="s">
        <v>1900</v>
      </c>
    </row>
    <row r="91" spans="1:6" x14ac:dyDescent="0.25">
      <c r="A91" s="19" t="s">
        <v>774</v>
      </c>
      <c r="B91" t="s">
        <v>941</v>
      </c>
      <c r="C91">
        <v>5</v>
      </c>
      <c r="D91" t="s">
        <v>1195</v>
      </c>
      <c r="E91" t="s">
        <v>925</v>
      </c>
      <c r="F91" t="s">
        <v>1599</v>
      </c>
    </row>
    <row r="92" spans="1:6" x14ac:dyDescent="0.25">
      <c r="A92" s="19" t="s">
        <v>774</v>
      </c>
      <c r="B92" t="s">
        <v>1123</v>
      </c>
      <c r="C92">
        <v>2</v>
      </c>
      <c r="D92" t="s">
        <v>1892</v>
      </c>
      <c r="E92" t="s">
        <v>911</v>
      </c>
      <c r="F92" t="s">
        <v>1403</v>
      </c>
    </row>
    <row r="93" spans="1:6" x14ac:dyDescent="0.25">
      <c r="A93" s="19" t="s">
        <v>774</v>
      </c>
      <c r="B93" t="s">
        <v>1042</v>
      </c>
      <c r="C93">
        <v>1</v>
      </c>
      <c r="D93" t="s">
        <v>1901</v>
      </c>
      <c r="E93" t="s">
        <v>921</v>
      </c>
      <c r="F93" t="s">
        <v>1880</v>
      </c>
    </row>
    <row r="94" spans="1:6" x14ac:dyDescent="0.25">
      <c r="A94" s="19" t="s">
        <v>774</v>
      </c>
      <c r="B94" t="s">
        <v>960</v>
      </c>
      <c r="C94">
        <v>2</v>
      </c>
      <c r="D94" t="s">
        <v>1902</v>
      </c>
      <c r="E94" t="s">
        <v>1594</v>
      </c>
      <c r="F94" t="s">
        <v>1876</v>
      </c>
    </row>
    <row r="95" spans="1:6" x14ac:dyDescent="0.25">
      <c r="A95" s="19" t="s">
        <v>567</v>
      </c>
      <c r="B95" t="s">
        <v>960</v>
      </c>
      <c r="C95">
        <v>88</v>
      </c>
      <c r="D95" t="s">
        <v>1903</v>
      </c>
      <c r="E95" t="s">
        <v>901</v>
      </c>
      <c r="F95" t="s">
        <v>956</v>
      </c>
    </row>
    <row r="96" spans="1:6" x14ac:dyDescent="0.25">
      <c r="A96" s="19" t="s">
        <v>567</v>
      </c>
      <c r="B96" t="s">
        <v>941</v>
      </c>
      <c r="C96">
        <v>6</v>
      </c>
      <c r="D96" t="s">
        <v>1195</v>
      </c>
      <c r="E96" t="s">
        <v>925</v>
      </c>
      <c r="F96" t="s">
        <v>1867</v>
      </c>
    </row>
    <row r="97" spans="1:6" x14ac:dyDescent="0.25">
      <c r="A97" s="19" t="s">
        <v>567</v>
      </c>
      <c r="B97" t="s">
        <v>1123</v>
      </c>
      <c r="C97">
        <v>3</v>
      </c>
      <c r="D97" t="s">
        <v>1904</v>
      </c>
      <c r="E97" t="s">
        <v>911</v>
      </c>
      <c r="F97" t="s">
        <v>1403</v>
      </c>
    </row>
    <row r="98" spans="1:6" x14ac:dyDescent="0.25">
      <c r="A98" s="19" t="s">
        <v>567</v>
      </c>
      <c r="B98" t="s">
        <v>1042</v>
      </c>
      <c r="C98">
        <v>1</v>
      </c>
      <c r="D98" t="s">
        <v>1905</v>
      </c>
      <c r="E98" t="s">
        <v>921</v>
      </c>
      <c r="F98" t="s">
        <v>1880</v>
      </c>
    </row>
    <row r="99" spans="1:6" x14ac:dyDescent="0.25">
      <c r="A99" s="19" t="s">
        <v>567</v>
      </c>
      <c r="B99" t="s">
        <v>960</v>
      </c>
      <c r="C99">
        <v>2</v>
      </c>
      <c r="D99" t="s">
        <v>1906</v>
      </c>
      <c r="E99" t="s">
        <v>1594</v>
      </c>
      <c r="F99" t="s">
        <v>1869</v>
      </c>
    </row>
    <row r="100" spans="1:6" x14ac:dyDescent="0.25">
      <c r="A100" s="19" t="s">
        <v>777</v>
      </c>
      <c r="B100" t="s">
        <v>960</v>
      </c>
      <c r="C100">
        <v>86</v>
      </c>
      <c r="D100" t="s">
        <v>1907</v>
      </c>
      <c r="E100" t="s">
        <v>901</v>
      </c>
      <c r="F100" t="s">
        <v>1908</v>
      </c>
    </row>
    <row r="101" spans="1:6" x14ac:dyDescent="0.25">
      <c r="A101" s="19" t="s">
        <v>777</v>
      </c>
      <c r="B101" t="s">
        <v>941</v>
      </c>
      <c r="C101">
        <v>6</v>
      </c>
      <c r="D101" t="s">
        <v>1195</v>
      </c>
      <c r="E101" t="s">
        <v>925</v>
      </c>
      <c r="F101" t="s">
        <v>1599</v>
      </c>
    </row>
    <row r="102" spans="1:6" x14ac:dyDescent="0.25">
      <c r="A102" s="19" t="s">
        <v>777</v>
      </c>
      <c r="B102" t="s">
        <v>1123</v>
      </c>
      <c r="C102">
        <v>3</v>
      </c>
      <c r="D102" t="s">
        <v>1892</v>
      </c>
      <c r="E102" t="s">
        <v>911</v>
      </c>
      <c r="F102" t="s">
        <v>1403</v>
      </c>
    </row>
    <row r="103" spans="1:6" x14ac:dyDescent="0.25">
      <c r="A103" s="19" t="s">
        <v>777</v>
      </c>
      <c r="B103" t="s">
        <v>1042</v>
      </c>
      <c r="C103">
        <v>1</v>
      </c>
      <c r="D103" t="s">
        <v>1905</v>
      </c>
      <c r="E103" t="s">
        <v>921</v>
      </c>
      <c r="F103" t="s">
        <v>1880</v>
      </c>
    </row>
    <row r="104" spans="1:6" x14ac:dyDescent="0.25">
      <c r="A104" s="19" t="s">
        <v>777</v>
      </c>
      <c r="B104" t="s">
        <v>960</v>
      </c>
      <c r="C104">
        <v>4</v>
      </c>
      <c r="D104" t="s">
        <v>1909</v>
      </c>
      <c r="E104" t="s">
        <v>1594</v>
      </c>
      <c r="F104" t="s">
        <v>1876</v>
      </c>
    </row>
    <row r="105" spans="1:6" x14ac:dyDescent="0.25">
      <c r="A105" s="19" t="s">
        <v>780</v>
      </c>
      <c r="B105" t="s">
        <v>960</v>
      </c>
      <c r="C105">
        <v>86</v>
      </c>
      <c r="D105" t="s">
        <v>1907</v>
      </c>
      <c r="E105" t="s">
        <v>901</v>
      </c>
      <c r="F105" t="s">
        <v>1910</v>
      </c>
    </row>
    <row r="106" spans="1:6" x14ac:dyDescent="0.25">
      <c r="A106" s="19" t="s">
        <v>780</v>
      </c>
      <c r="B106" t="s">
        <v>941</v>
      </c>
      <c r="C106">
        <v>6</v>
      </c>
      <c r="D106" t="s">
        <v>1195</v>
      </c>
      <c r="E106" t="s">
        <v>925</v>
      </c>
      <c r="F106" t="s">
        <v>1599</v>
      </c>
    </row>
    <row r="107" spans="1:6" x14ac:dyDescent="0.25">
      <c r="A107" s="19" t="s">
        <v>780</v>
      </c>
      <c r="B107" t="s">
        <v>1123</v>
      </c>
      <c r="C107">
        <v>3</v>
      </c>
      <c r="D107" t="s">
        <v>1892</v>
      </c>
      <c r="E107" t="s">
        <v>911</v>
      </c>
      <c r="F107" t="s">
        <v>1403</v>
      </c>
    </row>
    <row r="108" spans="1:6" x14ac:dyDescent="0.25">
      <c r="A108" s="19" t="s">
        <v>780</v>
      </c>
      <c r="B108" t="s">
        <v>1042</v>
      </c>
      <c r="C108">
        <v>1</v>
      </c>
      <c r="D108" t="s">
        <v>1905</v>
      </c>
      <c r="E108" t="s">
        <v>921</v>
      </c>
      <c r="F108" t="s">
        <v>1880</v>
      </c>
    </row>
    <row r="109" spans="1:6" x14ac:dyDescent="0.25">
      <c r="A109" s="19" t="s">
        <v>780</v>
      </c>
      <c r="B109" t="s">
        <v>960</v>
      </c>
      <c r="C109">
        <v>4</v>
      </c>
      <c r="D109" t="s">
        <v>1909</v>
      </c>
      <c r="E109" t="s">
        <v>1594</v>
      </c>
      <c r="F109" t="s">
        <v>1876</v>
      </c>
    </row>
    <row r="110" spans="1:6" x14ac:dyDescent="0.25">
      <c r="A110" s="19" t="s">
        <v>782</v>
      </c>
      <c r="B110" t="s">
        <v>1123</v>
      </c>
      <c r="C110">
        <v>38</v>
      </c>
      <c r="D110" t="s">
        <v>1911</v>
      </c>
      <c r="E110" t="s">
        <v>901</v>
      </c>
      <c r="F110" t="s">
        <v>1912</v>
      </c>
    </row>
    <row r="111" spans="1:6" x14ac:dyDescent="0.25">
      <c r="A111" s="19" t="s">
        <v>782</v>
      </c>
      <c r="B111" t="s">
        <v>960</v>
      </c>
      <c r="C111">
        <v>24</v>
      </c>
      <c r="D111" t="s">
        <v>1913</v>
      </c>
      <c r="E111" t="s">
        <v>1198</v>
      </c>
      <c r="F111" t="s">
        <v>1914</v>
      </c>
    </row>
    <row r="112" spans="1:6" x14ac:dyDescent="0.25">
      <c r="A112" s="19" t="s">
        <v>782</v>
      </c>
      <c r="B112" t="s">
        <v>1142</v>
      </c>
      <c r="C112">
        <v>10</v>
      </c>
      <c r="D112" t="s">
        <v>1592</v>
      </c>
      <c r="E112" t="s">
        <v>911</v>
      </c>
      <c r="F112" t="s">
        <v>1915</v>
      </c>
    </row>
    <row r="113" spans="1:6" x14ac:dyDescent="0.25">
      <c r="A113" s="19" t="s">
        <v>782</v>
      </c>
      <c r="B113" t="s">
        <v>1126</v>
      </c>
      <c r="C113">
        <v>8</v>
      </c>
      <c r="D113" t="s">
        <v>1916</v>
      </c>
      <c r="E113" t="s">
        <v>911</v>
      </c>
      <c r="F113" t="s">
        <v>1836</v>
      </c>
    </row>
    <row r="114" spans="1:6" x14ac:dyDescent="0.25">
      <c r="A114" s="19" t="s">
        <v>782</v>
      </c>
      <c r="B114" t="s">
        <v>941</v>
      </c>
      <c r="C114">
        <v>6</v>
      </c>
      <c r="D114" t="s">
        <v>1195</v>
      </c>
      <c r="E114" t="s">
        <v>925</v>
      </c>
      <c r="F114" t="s">
        <v>1599</v>
      </c>
    </row>
    <row r="115" spans="1:6" x14ac:dyDescent="0.25">
      <c r="A115" s="19" t="s">
        <v>782</v>
      </c>
      <c r="B115" t="s">
        <v>1042</v>
      </c>
      <c r="C115">
        <v>4</v>
      </c>
      <c r="D115" t="s">
        <v>1917</v>
      </c>
      <c r="E115" t="s">
        <v>921</v>
      </c>
      <c r="F115" t="s">
        <v>1880</v>
      </c>
    </row>
    <row r="116" spans="1:6" x14ac:dyDescent="0.25">
      <c r="A116" s="19" t="s">
        <v>782</v>
      </c>
      <c r="B116" t="s">
        <v>1123</v>
      </c>
      <c r="C116">
        <v>10</v>
      </c>
      <c r="D116" t="s">
        <v>1911</v>
      </c>
      <c r="E116" t="s">
        <v>1594</v>
      </c>
      <c r="F116" t="s">
        <v>1918</v>
      </c>
    </row>
    <row r="117" spans="1:6" x14ac:dyDescent="0.25">
      <c r="A117" s="19" t="s">
        <v>593</v>
      </c>
      <c r="B117" t="s">
        <v>1123</v>
      </c>
      <c r="C117">
        <v>64</v>
      </c>
      <c r="D117" t="s">
        <v>1919</v>
      </c>
      <c r="E117" t="s">
        <v>901</v>
      </c>
      <c r="F117" t="s">
        <v>946</v>
      </c>
    </row>
    <row r="118" spans="1:6" x14ac:dyDescent="0.25">
      <c r="A118" s="19" t="s">
        <v>593</v>
      </c>
      <c r="B118" t="s">
        <v>1126</v>
      </c>
      <c r="C118">
        <v>12</v>
      </c>
      <c r="D118" t="s">
        <v>1920</v>
      </c>
      <c r="E118" t="s">
        <v>1198</v>
      </c>
      <c r="F118" t="s">
        <v>1921</v>
      </c>
    </row>
    <row r="119" spans="1:6" x14ac:dyDescent="0.25">
      <c r="A119" s="19" t="s">
        <v>593</v>
      </c>
      <c r="B119" t="s">
        <v>960</v>
      </c>
      <c r="C119">
        <v>12</v>
      </c>
      <c r="D119" t="s">
        <v>1922</v>
      </c>
      <c r="E119" t="s">
        <v>911</v>
      </c>
      <c r="F119" t="s">
        <v>1923</v>
      </c>
    </row>
    <row r="120" spans="1:6" x14ac:dyDescent="0.25">
      <c r="A120" s="19" t="s">
        <v>593</v>
      </c>
      <c r="B120" t="s">
        <v>1142</v>
      </c>
      <c r="C120">
        <v>4</v>
      </c>
      <c r="D120" t="s">
        <v>1592</v>
      </c>
      <c r="E120" t="s">
        <v>911</v>
      </c>
      <c r="F120" t="s">
        <v>1501</v>
      </c>
    </row>
    <row r="121" spans="1:6" x14ac:dyDescent="0.25">
      <c r="A121" s="19" t="s">
        <v>593</v>
      </c>
      <c r="B121" t="s">
        <v>1129</v>
      </c>
      <c r="C121">
        <v>3</v>
      </c>
      <c r="D121" t="s">
        <v>1924</v>
      </c>
      <c r="E121" t="s">
        <v>911</v>
      </c>
      <c r="F121" t="s">
        <v>1590</v>
      </c>
    </row>
    <row r="122" spans="1:6" x14ac:dyDescent="0.25">
      <c r="A122" s="19" t="s">
        <v>593</v>
      </c>
      <c r="B122" t="s">
        <v>1042</v>
      </c>
      <c r="C122">
        <v>3</v>
      </c>
      <c r="D122" t="s">
        <v>1837</v>
      </c>
      <c r="E122" t="s">
        <v>921</v>
      </c>
      <c r="F122" t="s">
        <v>1838</v>
      </c>
    </row>
    <row r="123" spans="1:6" x14ac:dyDescent="0.25">
      <c r="A123" s="19" t="s">
        <v>593</v>
      </c>
      <c r="B123" t="s">
        <v>941</v>
      </c>
      <c r="C123">
        <v>2</v>
      </c>
      <c r="D123" t="s">
        <v>1195</v>
      </c>
      <c r="E123" t="s">
        <v>925</v>
      </c>
      <c r="F123" t="s">
        <v>1599</v>
      </c>
    </row>
    <row r="124" spans="1:6" x14ac:dyDescent="0.25">
      <c r="A124" s="19" t="s">
        <v>603</v>
      </c>
      <c r="B124" t="s">
        <v>1123</v>
      </c>
      <c r="C124">
        <v>66</v>
      </c>
      <c r="D124" t="s">
        <v>1925</v>
      </c>
      <c r="E124" t="s">
        <v>901</v>
      </c>
      <c r="F124" t="s">
        <v>946</v>
      </c>
    </row>
    <row r="125" spans="1:6" x14ac:dyDescent="0.25">
      <c r="A125" s="19" t="s">
        <v>603</v>
      </c>
      <c r="B125" t="s">
        <v>1126</v>
      </c>
      <c r="C125">
        <v>10</v>
      </c>
      <c r="D125" t="s">
        <v>1916</v>
      </c>
      <c r="E125" t="s">
        <v>1198</v>
      </c>
      <c r="F125" t="s">
        <v>1926</v>
      </c>
    </row>
    <row r="126" spans="1:6" x14ac:dyDescent="0.25">
      <c r="A126" s="19" t="s">
        <v>603</v>
      </c>
      <c r="B126" t="s">
        <v>960</v>
      </c>
      <c r="C126">
        <v>12</v>
      </c>
      <c r="D126" t="s">
        <v>1927</v>
      </c>
      <c r="E126" t="s">
        <v>911</v>
      </c>
      <c r="F126" t="s">
        <v>1923</v>
      </c>
    </row>
    <row r="127" spans="1:6" x14ac:dyDescent="0.25">
      <c r="A127" s="19" t="s">
        <v>603</v>
      </c>
      <c r="B127" t="s">
        <v>1142</v>
      </c>
      <c r="C127">
        <v>5</v>
      </c>
      <c r="D127" t="s">
        <v>1592</v>
      </c>
      <c r="E127" t="s">
        <v>911</v>
      </c>
      <c r="F127" t="s">
        <v>1501</v>
      </c>
    </row>
    <row r="128" spans="1:6" x14ac:dyDescent="0.25">
      <c r="A128" s="19" t="s">
        <v>603</v>
      </c>
      <c r="B128" t="s">
        <v>1129</v>
      </c>
      <c r="C128">
        <v>2</v>
      </c>
      <c r="D128" t="s">
        <v>1924</v>
      </c>
      <c r="E128" t="s">
        <v>911</v>
      </c>
      <c r="F128" t="s">
        <v>1590</v>
      </c>
    </row>
    <row r="129" spans="1:6" x14ac:dyDescent="0.25">
      <c r="A129" s="19" t="s">
        <v>603</v>
      </c>
      <c r="B129" t="s">
        <v>1042</v>
      </c>
      <c r="C129">
        <v>3</v>
      </c>
      <c r="D129" t="s">
        <v>1837</v>
      </c>
      <c r="E129" t="s">
        <v>921</v>
      </c>
      <c r="F129" t="s">
        <v>1838</v>
      </c>
    </row>
    <row r="130" spans="1:6" x14ac:dyDescent="0.25">
      <c r="A130" s="19" t="s">
        <v>603</v>
      </c>
      <c r="B130" t="s">
        <v>941</v>
      </c>
      <c r="C130">
        <v>2</v>
      </c>
      <c r="D130" t="s">
        <v>1195</v>
      </c>
      <c r="E130" t="s">
        <v>925</v>
      </c>
      <c r="F130" t="s">
        <v>1599</v>
      </c>
    </row>
    <row r="131" spans="1:6" x14ac:dyDescent="0.25">
      <c r="A131" s="19" t="s">
        <v>595</v>
      </c>
      <c r="B131" t="s">
        <v>1126</v>
      </c>
      <c r="C131">
        <v>64</v>
      </c>
      <c r="D131" t="s">
        <v>1928</v>
      </c>
      <c r="E131" t="s">
        <v>901</v>
      </c>
      <c r="F131" t="s">
        <v>946</v>
      </c>
    </row>
    <row r="132" spans="1:6" x14ac:dyDescent="0.25">
      <c r="A132" s="19" t="s">
        <v>595</v>
      </c>
      <c r="B132" t="s">
        <v>1123</v>
      </c>
      <c r="C132">
        <v>10</v>
      </c>
      <c r="D132" t="s">
        <v>1859</v>
      </c>
      <c r="E132" t="s">
        <v>1198</v>
      </c>
      <c r="F132" t="s">
        <v>1806</v>
      </c>
    </row>
    <row r="133" spans="1:6" x14ac:dyDescent="0.25">
      <c r="A133" s="19" t="s">
        <v>595</v>
      </c>
      <c r="B133" t="s">
        <v>960</v>
      </c>
      <c r="C133">
        <v>10</v>
      </c>
      <c r="D133" t="s">
        <v>1922</v>
      </c>
      <c r="E133" t="s">
        <v>911</v>
      </c>
      <c r="F133" t="s">
        <v>1929</v>
      </c>
    </row>
    <row r="134" spans="1:6" x14ac:dyDescent="0.25">
      <c r="A134" s="19" t="s">
        <v>595</v>
      </c>
      <c r="B134" t="s">
        <v>1828</v>
      </c>
      <c r="C134">
        <v>5</v>
      </c>
      <c r="D134" t="s">
        <v>1930</v>
      </c>
      <c r="E134" t="s">
        <v>911</v>
      </c>
      <c r="F134" t="s">
        <v>1848</v>
      </c>
    </row>
    <row r="135" spans="1:6" x14ac:dyDescent="0.25">
      <c r="A135" s="19" t="s">
        <v>595</v>
      </c>
      <c r="B135" t="s">
        <v>1142</v>
      </c>
      <c r="C135">
        <v>4</v>
      </c>
      <c r="D135" t="s">
        <v>1592</v>
      </c>
      <c r="E135" t="s">
        <v>911</v>
      </c>
      <c r="F135" t="s">
        <v>1501</v>
      </c>
    </row>
    <row r="136" spans="1:6" x14ac:dyDescent="0.25">
      <c r="A136" s="19" t="s">
        <v>595</v>
      </c>
      <c r="B136" t="s">
        <v>1042</v>
      </c>
      <c r="C136">
        <v>3</v>
      </c>
      <c r="D136" t="s">
        <v>1837</v>
      </c>
      <c r="E136" t="s">
        <v>921</v>
      </c>
      <c r="F136" t="s">
        <v>1838</v>
      </c>
    </row>
    <row r="137" spans="1:6" x14ac:dyDescent="0.25">
      <c r="A137" s="19" t="s">
        <v>595</v>
      </c>
      <c r="B137" t="s">
        <v>941</v>
      </c>
      <c r="C137">
        <v>2</v>
      </c>
      <c r="D137" t="s">
        <v>1195</v>
      </c>
      <c r="E137" t="s">
        <v>925</v>
      </c>
      <c r="F137" t="s">
        <v>1599</v>
      </c>
    </row>
    <row r="138" spans="1:6" x14ac:dyDescent="0.25">
      <c r="A138" s="19" t="s">
        <v>595</v>
      </c>
      <c r="B138" t="s">
        <v>1126</v>
      </c>
      <c r="C138">
        <v>2</v>
      </c>
      <c r="D138" t="s">
        <v>1931</v>
      </c>
      <c r="E138" t="s">
        <v>1594</v>
      </c>
      <c r="F138" t="s">
        <v>1932</v>
      </c>
    </row>
    <row r="139" spans="1:6" x14ac:dyDescent="0.25">
      <c r="A139" s="19" t="s">
        <v>597</v>
      </c>
      <c r="B139" t="s">
        <v>1126</v>
      </c>
      <c r="C139">
        <v>64</v>
      </c>
      <c r="D139" t="s">
        <v>1933</v>
      </c>
      <c r="E139" t="s">
        <v>901</v>
      </c>
      <c r="F139" t="s">
        <v>946</v>
      </c>
    </row>
    <row r="140" spans="1:6" x14ac:dyDescent="0.25">
      <c r="A140" s="19" t="s">
        <v>597</v>
      </c>
      <c r="B140" t="s">
        <v>1828</v>
      </c>
      <c r="C140">
        <v>8</v>
      </c>
      <c r="D140" t="s">
        <v>1934</v>
      </c>
      <c r="E140" t="s">
        <v>1198</v>
      </c>
      <c r="F140" t="s">
        <v>1848</v>
      </c>
    </row>
    <row r="141" spans="1:6" x14ac:dyDescent="0.25">
      <c r="A141" s="19" t="s">
        <v>597</v>
      </c>
      <c r="B141" t="s">
        <v>1123</v>
      </c>
      <c r="C141">
        <v>8</v>
      </c>
      <c r="D141" t="s">
        <v>1935</v>
      </c>
      <c r="E141" t="s">
        <v>911</v>
      </c>
      <c r="F141" t="s">
        <v>1507</v>
      </c>
    </row>
    <row r="142" spans="1:6" x14ac:dyDescent="0.25">
      <c r="A142" s="19" t="s">
        <v>597</v>
      </c>
      <c r="B142" t="s">
        <v>1936</v>
      </c>
      <c r="C142">
        <v>6</v>
      </c>
      <c r="D142" t="s">
        <v>1937</v>
      </c>
      <c r="E142" t="s">
        <v>911</v>
      </c>
      <c r="F142" t="s">
        <v>1669</v>
      </c>
    </row>
    <row r="143" spans="1:6" x14ac:dyDescent="0.25">
      <c r="A143" s="19" t="s">
        <v>597</v>
      </c>
      <c r="B143" t="s">
        <v>960</v>
      </c>
      <c r="C143">
        <v>8</v>
      </c>
      <c r="D143" t="s">
        <v>1922</v>
      </c>
      <c r="E143" t="s">
        <v>911</v>
      </c>
      <c r="F143" t="s">
        <v>1938</v>
      </c>
    </row>
    <row r="144" spans="1:6" x14ac:dyDescent="0.25">
      <c r="A144" s="19" t="s">
        <v>597</v>
      </c>
      <c r="B144" t="s">
        <v>1042</v>
      </c>
      <c r="C144">
        <v>3</v>
      </c>
      <c r="D144" t="s">
        <v>1837</v>
      </c>
      <c r="E144" t="s">
        <v>921</v>
      </c>
      <c r="F144" t="s">
        <v>1838</v>
      </c>
    </row>
    <row r="145" spans="1:6" x14ac:dyDescent="0.25">
      <c r="A145" s="19" t="s">
        <v>597</v>
      </c>
      <c r="B145" t="s">
        <v>1142</v>
      </c>
      <c r="C145">
        <v>3</v>
      </c>
      <c r="D145" t="s">
        <v>1592</v>
      </c>
      <c r="E145" t="s">
        <v>911</v>
      </c>
      <c r="F145" t="s">
        <v>1501</v>
      </c>
    </row>
    <row r="146" spans="1:6" x14ac:dyDescent="0.25">
      <c r="A146" s="19" t="s">
        <v>587</v>
      </c>
      <c r="B146" t="s">
        <v>1126</v>
      </c>
      <c r="C146">
        <v>66</v>
      </c>
      <c r="D146" t="s">
        <v>1939</v>
      </c>
      <c r="E146" t="s">
        <v>901</v>
      </c>
      <c r="F146" t="s">
        <v>946</v>
      </c>
    </row>
    <row r="147" spans="1:6" x14ac:dyDescent="0.25">
      <c r="A147" s="19" t="s">
        <v>587</v>
      </c>
      <c r="B147" t="s">
        <v>1828</v>
      </c>
      <c r="C147">
        <v>10</v>
      </c>
      <c r="D147" t="s">
        <v>1940</v>
      </c>
      <c r="E147" t="s">
        <v>1198</v>
      </c>
      <c r="F147" t="s">
        <v>1848</v>
      </c>
    </row>
    <row r="148" spans="1:6" x14ac:dyDescent="0.25">
      <c r="A148" s="19" t="s">
        <v>587</v>
      </c>
      <c r="B148" t="s">
        <v>1936</v>
      </c>
      <c r="C148">
        <v>8</v>
      </c>
      <c r="D148" t="s">
        <v>1941</v>
      </c>
      <c r="E148" t="s">
        <v>911</v>
      </c>
      <c r="F148" t="s">
        <v>1669</v>
      </c>
    </row>
    <row r="149" spans="1:6" x14ac:dyDescent="0.25">
      <c r="A149" s="19" t="s">
        <v>587</v>
      </c>
      <c r="B149" t="s">
        <v>1123</v>
      </c>
      <c r="C149">
        <v>5</v>
      </c>
      <c r="D149" t="s">
        <v>1942</v>
      </c>
      <c r="E149" t="s">
        <v>911</v>
      </c>
      <c r="F149" t="s">
        <v>1507</v>
      </c>
    </row>
    <row r="150" spans="1:6" x14ac:dyDescent="0.25">
      <c r="A150" s="19" t="s">
        <v>587</v>
      </c>
      <c r="B150" t="s">
        <v>960</v>
      </c>
      <c r="C150">
        <v>3</v>
      </c>
      <c r="D150" t="s">
        <v>1922</v>
      </c>
      <c r="E150" t="s">
        <v>911</v>
      </c>
      <c r="F150" t="s">
        <v>1943</v>
      </c>
    </row>
    <row r="151" spans="1:6" x14ac:dyDescent="0.25">
      <c r="A151" s="19" t="s">
        <v>587</v>
      </c>
      <c r="B151" t="s">
        <v>1042</v>
      </c>
      <c r="C151">
        <v>3</v>
      </c>
      <c r="D151" t="s">
        <v>1837</v>
      </c>
      <c r="E151" t="s">
        <v>921</v>
      </c>
      <c r="F151" t="s">
        <v>1838</v>
      </c>
    </row>
    <row r="152" spans="1:6" x14ac:dyDescent="0.25">
      <c r="A152" s="19" t="s">
        <v>587</v>
      </c>
      <c r="B152" t="s">
        <v>1142</v>
      </c>
      <c r="C152">
        <v>3</v>
      </c>
      <c r="D152" t="s">
        <v>1592</v>
      </c>
      <c r="E152" t="s">
        <v>911</v>
      </c>
      <c r="F152" t="s">
        <v>1501</v>
      </c>
    </row>
    <row r="153" spans="1:6" x14ac:dyDescent="0.25">
      <c r="A153" s="19" t="s">
        <v>587</v>
      </c>
      <c r="B153" t="s">
        <v>1126</v>
      </c>
      <c r="C153">
        <v>2</v>
      </c>
      <c r="D153" t="s">
        <v>1944</v>
      </c>
      <c r="E153" t="s">
        <v>1594</v>
      </c>
      <c r="F153" t="s">
        <v>1932</v>
      </c>
    </row>
    <row r="154" spans="1:6" x14ac:dyDescent="0.25">
      <c r="A154" s="19" t="s">
        <v>591</v>
      </c>
      <c r="B154" t="s">
        <v>1936</v>
      </c>
      <c r="C154">
        <v>70</v>
      </c>
      <c r="D154" t="s">
        <v>1945</v>
      </c>
      <c r="E154" t="s">
        <v>901</v>
      </c>
      <c r="F154" t="s">
        <v>946</v>
      </c>
    </row>
    <row r="155" spans="1:6" x14ac:dyDescent="0.25">
      <c r="A155" s="19" t="s">
        <v>591</v>
      </c>
      <c r="B155" t="s">
        <v>1126</v>
      </c>
      <c r="C155">
        <v>18</v>
      </c>
      <c r="D155" t="s">
        <v>1946</v>
      </c>
      <c r="E155" t="s">
        <v>911</v>
      </c>
      <c r="F155" t="s">
        <v>1947</v>
      </c>
    </row>
    <row r="156" spans="1:6" x14ac:dyDescent="0.25">
      <c r="A156" s="19" t="s">
        <v>591</v>
      </c>
      <c r="B156" t="s">
        <v>1828</v>
      </c>
      <c r="C156">
        <v>4</v>
      </c>
      <c r="D156" t="s">
        <v>1948</v>
      </c>
      <c r="E156" t="s">
        <v>911</v>
      </c>
      <c r="F156" t="s">
        <v>1848</v>
      </c>
    </row>
    <row r="157" spans="1:6" x14ac:dyDescent="0.25">
      <c r="A157" s="19" t="s">
        <v>591</v>
      </c>
      <c r="B157" t="s">
        <v>1123</v>
      </c>
      <c r="C157">
        <v>3</v>
      </c>
      <c r="D157" t="s">
        <v>1949</v>
      </c>
      <c r="E157" t="s">
        <v>911</v>
      </c>
      <c r="F157" t="s">
        <v>1507</v>
      </c>
    </row>
    <row r="158" spans="1:6" x14ac:dyDescent="0.25">
      <c r="A158" s="19" t="s">
        <v>591</v>
      </c>
      <c r="B158" t="s">
        <v>1042</v>
      </c>
      <c r="C158">
        <v>3</v>
      </c>
      <c r="D158" t="s">
        <v>1837</v>
      </c>
      <c r="E158" t="s">
        <v>921</v>
      </c>
      <c r="F158" t="s">
        <v>1838</v>
      </c>
    </row>
    <row r="159" spans="1:6" x14ac:dyDescent="0.25">
      <c r="A159" s="19" t="s">
        <v>591</v>
      </c>
      <c r="B159" t="s">
        <v>941</v>
      </c>
      <c r="C159">
        <v>2</v>
      </c>
      <c r="D159" t="s">
        <v>1195</v>
      </c>
      <c r="E159" t="s">
        <v>925</v>
      </c>
      <c r="F159" t="s">
        <v>1839</v>
      </c>
    </row>
    <row r="160" spans="1:6" x14ac:dyDescent="0.25">
      <c r="A160" s="19" t="s">
        <v>585</v>
      </c>
      <c r="B160" t="s">
        <v>1936</v>
      </c>
      <c r="C160">
        <v>84</v>
      </c>
      <c r="D160" t="s">
        <v>1950</v>
      </c>
      <c r="E160" t="s">
        <v>901</v>
      </c>
      <c r="F160" t="s">
        <v>946</v>
      </c>
    </row>
    <row r="161" spans="1:6" x14ac:dyDescent="0.25">
      <c r="A161" s="19" t="s">
        <v>585</v>
      </c>
      <c r="B161" t="s">
        <v>1123</v>
      </c>
      <c r="C161">
        <v>3</v>
      </c>
      <c r="D161" t="s">
        <v>1831</v>
      </c>
      <c r="E161" t="s">
        <v>911</v>
      </c>
      <c r="F161" t="s">
        <v>1507</v>
      </c>
    </row>
    <row r="162" spans="1:6" x14ac:dyDescent="0.25">
      <c r="A162" s="19" t="s">
        <v>585</v>
      </c>
      <c r="B162" t="s">
        <v>1126</v>
      </c>
      <c r="C162">
        <v>4</v>
      </c>
      <c r="D162" t="s">
        <v>1951</v>
      </c>
      <c r="E162" t="s">
        <v>911</v>
      </c>
      <c r="F162" t="s">
        <v>1947</v>
      </c>
    </row>
    <row r="163" spans="1:6" x14ac:dyDescent="0.25">
      <c r="A163" s="19" t="s">
        <v>585</v>
      </c>
      <c r="B163" t="s">
        <v>1042</v>
      </c>
      <c r="C163">
        <v>4</v>
      </c>
      <c r="D163" t="s">
        <v>1837</v>
      </c>
      <c r="E163" t="s">
        <v>921</v>
      </c>
      <c r="F163" t="s">
        <v>1838</v>
      </c>
    </row>
    <row r="164" spans="1:6" x14ac:dyDescent="0.25">
      <c r="A164" s="19" t="s">
        <v>585</v>
      </c>
      <c r="B164" t="s">
        <v>1142</v>
      </c>
      <c r="C164">
        <v>3</v>
      </c>
      <c r="D164" t="s">
        <v>1592</v>
      </c>
      <c r="E164" t="s">
        <v>911</v>
      </c>
      <c r="F164" t="s">
        <v>1952</v>
      </c>
    </row>
    <row r="165" spans="1:6" x14ac:dyDescent="0.25">
      <c r="A165" s="19" t="s">
        <v>585</v>
      </c>
      <c r="B165" t="s">
        <v>941</v>
      </c>
      <c r="C165">
        <v>2</v>
      </c>
      <c r="D165" t="s">
        <v>1195</v>
      </c>
      <c r="E165" t="s">
        <v>925</v>
      </c>
      <c r="F165" t="s">
        <v>1728</v>
      </c>
    </row>
    <row r="166" spans="1:6" x14ac:dyDescent="0.25">
      <c r="A166" s="19" t="s">
        <v>601</v>
      </c>
      <c r="B166" t="s">
        <v>1936</v>
      </c>
      <c r="C166">
        <v>86</v>
      </c>
      <c r="D166" t="s">
        <v>1953</v>
      </c>
      <c r="E166" t="s">
        <v>901</v>
      </c>
      <c r="F166" t="s">
        <v>946</v>
      </c>
    </row>
    <row r="167" spans="1:6" x14ac:dyDescent="0.25">
      <c r="A167" s="19" t="s">
        <v>601</v>
      </c>
      <c r="B167" t="s">
        <v>1142</v>
      </c>
      <c r="C167">
        <v>4</v>
      </c>
      <c r="D167" t="s">
        <v>1592</v>
      </c>
      <c r="E167" t="s">
        <v>911</v>
      </c>
      <c r="F167" t="s">
        <v>1954</v>
      </c>
    </row>
    <row r="168" spans="1:6" x14ac:dyDescent="0.25">
      <c r="A168" s="19" t="s">
        <v>601</v>
      </c>
      <c r="B168" t="s">
        <v>1123</v>
      </c>
      <c r="C168">
        <v>3</v>
      </c>
      <c r="D168" t="s">
        <v>1831</v>
      </c>
      <c r="E168" t="s">
        <v>911</v>
      </c>
      <c r="F168" t="s">
        <v>1507</v>
      </c>
    </row>
    <row r="169" spans="1:6" x14ac:dyDescent="0.25">
      <c r="A169" s="19" t="s">
        <v>601</v>
      </c>
      <c r="B169" t="s">
        <v>1042</v>
      </c>
      <c r="C169">
        <v>3</v>
      </c>
      <c r="D169" t="s">
        <v>1837</v>
      </c>
      <c r="E169" t="s">
        <v>921</v>
      </c>
      <c r="F169" t="s">
        <v>1838</v>
      </c>
    </row>
    <row r="170" spans="1:6" x14ac:dyDescent="0.25">
      <c r="A170" s="19" t="s">
        <v>601</v>
      </c>
      <c r="B170" t="s">
        <v>941</v>
      </c>
      <c r="C170">
        <v>2</v>
      </c>
      <c r="D170" t="s">
        <v>1195</v>
      </c>
      <c r="E170" t="s">
        <v>925</v>
      </c>
      <c r="F170" t="s">
        <v>1728</v>
      </c>
    </row>
    <row r="171" spans="1:6" x14ac:dyDescent="0.25">
      <c r="A171" s="19" t="s">
        <v>601</v>
      </c>
      <c r="B171" t="s">
        <v>1126</v>
      </c>
      <c r="C171">
        <v>2</v>
      </c>
      <c r="D171" t="s">
        <v>1951</v>
      </c>
      <c r="E171" t="s">
        <v>911</v>
      </c>
      <c r="F171" t="s">
        <v>1955</v>
      </c>
    </row>
    <row r="172" spans="1:6" x14ac:dyDescent="0.25">
      <c r="A172" s="19" t="s">
        <v>599</v>
      </c>
      <c r="B172" t="s">
        <v>1936</v>
      </c>
      <c r="C172">
        <v>60</v>
      </c>
      <c r="D172" t="s">
        <v>1956</v>
      </c>
      <c r="E172" t="s">
        <v>901</v>
      </c>
      <c r="F172" t="s">
        <v>946</v>
      </c>
    </row>
    <row r="173" spans="1:6" x14ac:dyDescent="0.25">
      <c r="A173" s="19" t="s">
        <v>599</v>
      </c>
      <c r="B173" t="s">
        <v>1142</v>
      </c>
      <c r="C173">
        <v>10</v>
      </c>
      <c r="D173" t="s">
        <v>1592</v>
      </c>
      <c r="E173" t="s">
        <v>911</v>
      </c>
      <c r="F173" t="s">
        <v>1957</v>
      </c>
    </row>
    <row r="174" spans="1:6" x14ac:dyDescent="0.25">
      <c r="A174" s="19" t="s">
        <v>599</v>
      </c>
      <c r="B174" t="s">
        <v>1828</v>
      </c>
      <c r="C174">
        <v>10</v>
      </c>
      <c r="D174" t="s">
        <v>1958</v>
      </c>
      <c r="E174" t="s">
        <v>911</v>
      </c>
      <c r="F174" t="s">
        <v>1848</v>
      </c>
    </row>
    <row r="175" spans="1:6" x14ac:dyDescent="0.25">
      <c r="A175" s="19" t="s">
        <v>599</v>
      </c>
      <c r="B175" t="s">
        <v>1126</v>
      </c>
      <c r="C175">
        <v>8</v>
      </c>
      <c r="D175" t="s">
        <v>1951</v>
      </c>
      <c r="E175" t="s">
        <v>911</v>
      </c>
      <c r="F175" t="s">
        <v>1947</v>
      </c>
    </row>
    <row r="176" spans="1:6" x14ac:dyDescent="0.25">
      <c r="A176" s="19" t="s">
        <v>599</v>
      </c>
      <c r="B176" t="s">
        <v>1123</v>
      </c>
      <c r="C176">
        <v>4</v>
      </c>
      <c r="D176" t="s">
        <v>1831</v>
      </c>
      <c r="E176" t="s">
        <v>911</v>
      </c>
      <c r="F176" t="s">
        <v>1507</v>
      </c>
    </row>
    <row r="177" spans="1:6" x14ac:dyDescent="0.25">
      <c r="A177" s="19" t="s">
        <v>599</v>
      </c>
      <c r="B177" t="s">
        <v>1042</v>
      </c>
      <c r="C177">
        <v>3</v>
      </c>
      <c r="D177" t="s">
        <v>1837</v>
      </c>
      <c r="E177" t="s">
        <v>921</v>
      </c>
      <c r="F177" t="s">
        <v>1838</v>
      </c>
    </row>
    <row r="178" spans="1:6" x14ac:dyDescent="0.25">
      <c r="A178" s="19" t="s">
        <v>599</v>
      </c>
      <c r="B178" t="s">
        <v>941</v>
      </c>
      <c r="C178">
        <v>2</v>
      </c>
      <c r="D178" t="s">
        <v>1195</v>
      </c>
      <c r="E178" t="s">
        <v>925</v>
      </c>
      <c r="F178" t="s">
        <v>1728</v>
      </c>
    </row>
    <row r="179" spans="1:6" x14ac:dyDescent="0.25">
      <c r="A179" s="19" t="s">
        <v>599</v>
      </c>
      <c r="B179" t="s">
        <v>1936</v>
      </c>
      <c r="C179">
        <v>3</v>
      </c>
      <c r="D179" t="s">
        <v>1959</v>
      </c>
      <c r="E179" t="s">
        <v>1594</v>
      </c>
      <c r="F179" t="s">
        <v>1960</v>
      </c>
    </row>
    <row r="180" spans="1:6" x14ac:dyDescent="0.25">
      <c r="A180" s="19" t="s">
        <v>589</v>
      </c>
      <c r="B180" t="s">
        <v>1142</v>
      </c>
      <c r="C180">
        <v>46</v>
      </c>
      <c r="D180" t="s">
        <v>1592</v>
      </c>
      <c r="E180" t="s">
        <v>901</v>
      </c>
      <c r="F180" t="s">
        <v>1961</v>
      </c>
    </row>
    <row r="181" spans="1:6" x14ac:dyDescent="0.25">
      <c r="A181" s="19" t="s">
        <v>589</v>
      </c>
      <c r="B181" t="s">
        <v>1591</v>
      </c>
      <c r="C181">
        <v>22</v>
      </c>
      <c r="D181" t="s">
        <v>1592</v>
      </c>
      <c r="E181" t="s">
        <v>1198</v>
      </c>
      <c r="F181" t="s">
        <v>1962</v>
      </c>
    </row>
    <row r="182" spans="1:6" x14ac:dyDescent="0.25">
      <c r="A182" s="19" t="s">
        <v>589</v>
      </c>
      <c r="B182" t="s">
        <v>1936</v>
      </c>
      <c r="C182">
        <v>10</v>
      </c>
      <c r="D182" t="s">
        <v>1963</v>
      </c>
      <c r="E182" t="s">
        <v>911</v>
      </c>
      <c r="F182" t="s">
        <v>1669</v>
      </c>
    </row>
    <row r="183" spans="1:6" x14ac:dyDescent="0.25">
      <c r="A183" s="19" t="s">
        <v>589</v>
      </c>
      <c r="B183" t="s">
        <v>1123</v>
      </c>
      <c r="C183">
        <v>8</v>
      </c>
      <c r="D183" t="s">
        <v>1124</v>
      </c>
      <c r="E183" t="s">
        <v>911</v>
      </c>
      <c r="F183" t="s">
        <v>1507</v>
      </c>
    </row>
    <row r="184" spans="1:6" x14ac:dyDescent="0.25">
      <c r="A184" s="19" t="s">
        <v>589</v>
      </c>
      <c r="B184" t="s">
        <v>1126</v>
      </c>
      <c r="C184">
        <v>4</v>
      </c>
      <c r="D184" t="s">
        <v>1964</v>
      </c>
      <c r="E184" t="s">
        <v>911</v>
      </c>
      <c r="F184" t="s">
        <v>1671</v>
      </c>
    </row>
    <row r="185" spans="1:6" x14ac:dyDescent="0.25">
      <c r="A185" s="19" t="s">
        <v>589</v>
      </c>
      <c r="B185" t="s">
        <v>941</v>
      </c>
      <c r="C185">
        <v>3</v>
      </c>
      <c r="D185" t="s">
        <v>1195</v>
      </c>
      <c r="E185" t="s">
        <v>925</v>
      </c>
      <c r="F185" t="s">
        <v>1867</v>
      </c>
    </row>
    <row r="186" spans="1:6" x14ac:dyDescent="0.25">
      <c r="A186" s="19" t="s">
        <v>589</v>
      </c>
      <c r="B186" t="s">
        <v>1042</v>
      </c>
      <c r="C186">
        <v>3</v>
      </c>
      <c r="D186" t="s">
        <v>1965</v>
      </c>
      <c r="E186" t="s">
        <v>921</v>
      </c>
      <c r="F186" t="s">
        <v>1966</v>
      </c>
    </row>
    <row r="187" spans="1:6" x14ac:dyDescent="0.25">
      <c r="A187" s="19" t="s">
        <v>589</v>
      </c>
      <c r="B187" t="s">
        <v>960</v>
      </c>
      <c r="C187">
        <v>2</v>
      </c>
      <c r="D187" t="s">
        <v>1967</v>
      </c>
      <c r="E187" t="s">
        <v>911</v>
      </c>
      <c r="F187" t="s">
        <v>1923</v>
      </c>
    </row>
    <row r="188" spans="1:6" x14ac:dyDescent="0.25">
      <c r="A188" s="19" t="s">
        <v>589</v>
      </c>
      <c r="B188" t="s">
        <v>1129</v>
      </c>
      <c r="C188">
        <v>2</v>
      </c>
      <c r="D188" t="s">
        <v>1968</v>
      </c>
      <c r="E188" t="s">
        <v>911</v>
      </c>
      <c r="F188" t="s">
        <v>1507</v>
      </c>
    </row>
    <row r="189" spans="1:6" x14ac:dyDescent="0.25">
      <c r="A189" s="19" t="s">
        <v>785</v>
      </c>
      <c r="B189" t="s">
        <v>960</v>
      </c>
      <c r="C189">
        <v>38</v>
      </c>
      <c r="D189" t="s">
        <v>1969</v>
      </c>
      <c r="E189" t="s">
        <v>901</v>
      </c>
      <c r="F189" t="s">
        <v>1970</v>
      </c>
    </row>
    <row r="190" spans="1:6" x14ac:dyDescent="0.25">
      <c r="A190" s="19" t="s">
        <v>785</v>
      </c>
      <c r="B190" t="s">
        <v>1123</v>
      </c>
      <c r="C190">
        <v>20</v>
      </c>
      <c r="D190" t="s">
        <v>1971</v>
      </c>
      <c r="E190" t="s">
        <v>1198</v>
      </c>
      <c r="F190" t="s">
        <v>1972</v>
      </c>
    </row>
    <row r="191" spans="1:6" x14ac:dyDescent="0.25">
      <c r="A191" s="19" t="s">
        <v>785</v>
      </c>
      <c r="B191" t="s">
        <v>970</v>
      </c>
      <c r="C191">
        <v>14</v>
      </c>
      <c r="D191" t="s">
        <v>1973</v>
      </c>
      <c r="E191" t="s">
        <v>1198</v>
      </c>
      <c r="F191" t="s">
        <v>1974</v>
      </c>
    </row>
    <row r="192" spans="1:6" x14ac:dyDescent="0.25">
      <c r="A192" s="19" t="s">
        <v>785</v>
      </c>
      <c r="B192" t="s">
        <v>1142</v>
      </c>
      <c r="C192">
        <v>8</v>
      </c>
      <c r="D192" t="s">
        <v>1592</v>
      </c>
      <c r="E192" t="s">
        <v>911</v>
      </c>
      <c r="F192" t="s">
        <v>1915</v>
      </c>
    </row>
    <row r="193" spans="1:6" x14ac:dyDescent="0.25">
      <c r="A193" s="19" t="s">
        <v>785</v>
      </c>
      <c r="B193" t="s">
        <v>1591</v>
      </c>
      <c r="C193">
        <v>4</v>
      </c>
      <c r="D193" t="s">
        <v>1592</v>
      </c>
      <c r="E193" t="s">
        <v>911</v>
      </c>
      <c r="F193" t="s">
        <v>1599</v>
      </c>
    </row>
    <row r="194" spans="1:6" x14ac:dyDescent="0.25">
      <c r="A194" s="19" t="s">
        <v>785</v>
      </c>
      <c r="B194" t="s">
        <v>1129</v>
      </c>
      <c r="C194">
        <v>4</v>
      </c>
      <c r="D194" t="s">
        <v>1975</v>
      </c>
      <c r="E194" t="s">
        <v>911</v>
      </c>
      <c r="F194" t="s">
        <v>1403</v>
      </c>
    </row>
    <row r="195" spans="1:6" x14ac:dyDescent="0.25">
      <c r="A195" s="19" t="s">
        <v>785</v>
      </c>
      <c r="B195" t="s">
        <v>1042</v>
      </c>
      <c r="C195">
        <v>2</v>
      </c>
      <c r="D195" t="s">
        <v>1976</v>
      </c>
      <c r="E195" t="s">
        <v>921</v>
      </c>
      <c r="F195" t="s">
        <v>1880</v>
      </c>
    </row>
    <row r="196" spans="1:6" x14ac:dyDescent="0.25">
      <c r="A196" s="19" t="s">
        <v>785</v>
      </c>
      <c r="B196" t="s">
        <v>960</v>
      </c>
      <c r="C196">
        <v>10</v>
      </c>
      <c r="D196" t="s">
        <v>1977</v>
      </c>
      <c r="E196" t="s">
        <v>1594</v>
      </c>
      <c r="F196" t="s">
        <v>1978</v>
      </c>
    </row>
    <row r="197" spans="1:6" x14ac:dyDescent="0.25">
      <c r="A197" s="19" t="s">
        <v>788</v>
      </c>
      <c r="B197" t="s">
        <v>1123</v>
      </c>
      <c r="C197">
        <v>28</v>
      </c>
      <c r="D197" t="s">
        <v>1979</v>
      </c>
      <c r="E197" t="s">
        <v>901</v>
      </c>
      <c r="F197" t="s">
        <v>1980</v>
      </c>
    </row>
    <row r="198" spans="1:6" x14ac:dyDescent="0.25">
      <c r="A198" s="19" t="s">
        <v>788</v>
      </c>
      <c r="B198" t="s">
        <v>960</v>
      </c>
      <c r="C198">
        <v>30</v>
      </c>
      <c r="D198" t="s">
        <v>1981</v>
      </c>
      <c r="E198" t="s">
        <v>1198</v>
      </c>
      <c r="F198" t="s">
        <v>1982</v>
      </c>
    </row>
    <row r="199" spans="1:6" x14ac:dyDescent="0.25">
      <c r="A199" s="19" t="s">
        <v>788</v>
      </c>
      <c r="B199" t="s">
        <v>970</v>
      </c>
      <c r="C199">
        <v>18</v>
      </c>
      <c r="D199" t="s">
        <v>1983</v>
      </c>
      <c r="E199" t="s">
        <v>1198</v>
      </c>
      <c r="F199" t="s">
        <v>1984</v>
      </c>
    </row>
    <row r="200" spans="1:6" x14ac:dyDescent="0.25">
      <c r="A200" s="19" t="s">
        <v>788</v>
      </c>
      <c r="B200" t="s">
        <v>1142</v>
      </c>
      <c r="C200">
        <v>8</v>
      </c>
      <c r="D200" t="s">
        <v>1592</v>
      </c>
      <c r="E200" t="s">
        <v>911</v>
      </c>
      <c r="F200" t="s">
        <v>1915</v>
      </c>
    </row>
    <row r="201" spans="1:6" x14ac:dyDescent="0.25">
      <c r="A201" s="19" t="s">
        <v>788</v>
      </c>
      <c r="B201" t="s">
        <v>1129</v>
      </c>
      <c r="C201">
        <v>4</v>
      </c>
      <c r="D201" t="s">
        <v>1985</v>
      </c>
      <c r="E201" t="s">
        <v>911</v>
      </c>
      <c r="F201" t="s">
        <v>1403</v>
      </c>
    </row>
    <row r="202" spans="1:6" x14ac:dyDescent="0.25">
      <c r="A202" s="19" t="s">
        <v>788</v>
      </c>
      <c r="B202" t="s">
        <v>941</v>
      </c>
      <c r="C202">
        <v>6</v>
      </c>
      <c r="D202" t="s">
        <v>1195</v>
      </c>
      <c r="E202" t="s">
        <v>925</v>
      </c>
      <c r="F202" t="s">
        <v>1599</v>
      </c>
    </row>
    <row r="203" spans="1:6" x14ac:dyDescent="0.25">
      <c r="A203" s="19" t="s">
        <v>788</v>
      </c>
      <c r="B203" t="s">
        <v>1042</v>
      </c>
      <c r="C203">
        <v>2</v>
      </c>
      <c r="D203" t="s">
        <v>1986</v>
      </c>
      <c r="E203" t="s">
        <v>921</v>
      </c>
      <c r="F203" t="s">
        <v>1880</v>
      </c>
    </row>
    <row r="204" spans="1:6" x14ac:dyDescent="0.25">
      <c r="A204" s="19" t="s">
        <v>788</v>
      </c>
      <c r="B204" t="s">
        <v>1123</v>
      </c>
      <c r="C204">
        <v>4</v>
      </c>
      <c r="D204" t="s">
        <v>1987</v>
      </c>
      <c r="E204" t="s">
        <v>1594</v>
      </c>
      <c r="F204" t="s">
        <v>1988</v>
      </c>
    </row>
    <row r="205" spans="1:6" x14ac:dyDescent="0.25">
      <c r="A205" s="19" t="s">
        <v>791</v>
      </c>
      <c r="B205" t="s">
        <v>960</v>
      </c>
      <c r="C205">
        <v>74</v>
      </c>
      <c r="D205" t="s">
        <v>1989</v>
      </c>
      <c r="E205" t="s">
        <v>901</v>
      </c>
      <c r="F205" t="s">
        <v>1990</v>
      </c>
    </row>
    <row r="206" spans="1:6" x14ac:dyDescent="0.25">
      <c r="A206" s="19" t="s">
        <v>791</v>
      </c>
      <c r="B206" t="s">
        <v>1123</v>
      </c>
      <c r="C206">
        <v>12</v>
      </c>
      <c r="D206" t="s">
        <v>1991</v>
      </c>
      <c r="E206" t="s">
        <v>911</v>
      </c>
      <c r="F206" t="s">
        <v>1403</v>
      </c>
    </row>
    <row r="207" spans="1:6" x14ac:dyDescent="0.25">
      <c r="A207" s="19" t="s">
        <v>791</v>
      </c>
      <c r="B207" t="s">
        <v>941</v>
      </c>
      <c r="C207">
        <v>5</v>
      </c>
      <c r="D207" t="s">
        <v>1195</v>
      </c>
      <c r="E207" t="s">
        <v>925</v>
      </c>
      <c r="F207" t="s">
        <v>1599</v>
      </c>
    </row>
    <row r="208" spans="1:6" x14ac:dyDescent="0.25">
      <c r="A208" s="19" t="s">
        <v>791</v>
      </c>
      <c r="B208" t="s">
        <v>1129</v>
      </c>
      <c r="C208">
        <v>3</v>
      </c>
      <c r="D208" t="s">
        <v>1992</v>
      </c>
      <c r="E208" t="s">
        <v>911</v>
      </c>
      <c r="F208" t="s">
        <v>1403</v>
      </c>
    </row>
    <row r="209" spans="1:6" x14ac:dyDescent="0.25">
      <c r="A209" s="19" t="s">
        <v>791</v>
      </c>
      <c r="B209" t="s">
        <v>1042</v>
      </c>
      <c r="C209">
        <v>3</v>
      </c>
      <c r="D209" t="s">
        <v>1993</v>
      </c>
      <c r="E209" t="s">
        <v>921</v>
      </c>
      <c r="F209" t="s">
        <v>1880</v>
      </c>
    </row>
    <row r="210" spans="1:6" x14ac:dyDescent="0.25">
      <c r="A210" s="19" t="s">
        <v>791</v>
      </c>
      <c r="B210" t="s">
        <v>1142</v>
      </c>
      <c r="C210">
        <v>1</v>
      </c>
      <c r="D210" t="s">
        <v>1592</v>
      </c>
      <c r="E210" t="s">
        <v>911</v>
      </c>
      <c r="F210" t="s">
        <v>1994</v>
      </c>
    </row>
    <row r="211" spans="1:6" x14ac:dyDescent="0.25">
      <c r="A211" s="19" t="s">
        <v>791</v>
      </c>
      <c r="B211" t="s">
        <v>960</v>
      </c>
      <c r="C211">
        <v>2</v>
      </c>
      <c r="D211" t="s">
        <v>1995</v>
      </c>
      <c r="E211" t="s">
        <v>1594</v>
      </c>
      <c r="F211" t="s">
        <v>1876</v>
      </c>
    </row>
    <row r="212" spans="1:6" x14ac:dyDescent="0.25">
      <c r="A212" s="19" t="s">
        <v>794</v>
      </c>
      <c r="B212" t="s">
        <v>960</v>
      </c>
      <c r="C212">
        <v>72</v>
      </c>
      <c r="D212" t="s">
        <v>1996</v>
      </c>
      <c r="E212" t="s">
        <v>901</v>
      </c>
      <c r="F212" t="s">
        <v>1997</v>
      </c>
    </row>
    <row r="213" spans="1:6" x14ac:dyDescent="0.25">
      <c r="A213" s="19" t="s">
        <v>794</v>
      </c>
      <c r="B213" t="s">
        <v>1123</v>
      </c>
      <c r="C213">
        <v>12</v>
      </c>
      <c r="D213" t="s">
        <v>1991</v>
      </c>
      <c r="E213" t="s">
        <v>911</v>
      </c>
      <c r="F213" t="s">
        <v>1403</v>
      </c>
    </row>
    <row r="214" spans="1:6" x14ac:dyDescent="0.25">
      <c r="A214" s="19" t="s">
        <v>794</v>
      </c>
      <c r="B214" t="s">
        <v>941</v>
      </c>
      <c r="C214">
        <v>5</v>
      </c>
      <c r="D214" t="s">
        <v>1195</v>
      </c>
      <c r="E214" t="s">
        <v>925</v>
      </c>
      <c r="F214" t="s">
        <v>1599</v>
      </c>
    </row>
    <row r="215" spans="1:6" x14ac:dyDescent="0.25">
      <c r="A215" s="19" t="s">
        <v>794</v>
      </c>
      <c r="B215" t="s">
        <v>1129</v>
      </c>
      <c r="C215">
        <v>3</v>
      </c>
      <c r="D215" t="s">
        <v>1992</v>
      </c>
      <c r="E215" t="s">
        <v>911</v>
      </c>
      <c r="F215" t="s">
        <v>1403</v>
      </c>
    </row>
    <row r="216" spans="1:6" x14ac:dyDescent="0.25">
      <c r="A216" s="19" t="s">
        <v>794</v>
      </c>
      <c r="B216" t="s">
        <v>1042</v>
      </c>
      <c r="C216">
        <v>3</v>
      </c>
      <c r="D216" t="s">
        <v>1993</v>
      </c>
      <c r="E216" t="s">
        <v>921</v>
      </c>
      <c r="F216" t="s">
        <v>1880</v>
      </c>
    </row>
    <row r="217" spans="1:6" x14ac:dyDescent="0.25">
      <c r="A217" s="19" t="s">
        <v>794</v>
      </c>
      <c r="B217" t="s">
        <v>1142</v>
      </c>
      <c r="C217">
        <v>3</v>
      </c>
      <c r="D217" t="s">
        <v>1592</v>
      </c>
      <c r="E217" t="s">
        <v>911</v>
      </c>
      <c r="F217" t="s">
        <v>1952</v>
      </c>
    </row>
    <row r="218" spans="1:6" x14ac:dyDescent="0.25">
      <c r="A218" s="19" t="s">
        <v>794</v>
      </c>
      <c r="B218" t="s">
        <v>960</v>
      </c>
      <c r="C218">
        <v>2</v>
      </c>
      <c r="D218" t="s">
        <v>1998</v>
      </c>
      <c r="E218" t="s">
        <v>1594</v>
      </c>
      <c r="F218" t="s">
        <v>1876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55A2-6E7C-4892-A335-7B140CCF70B7}">
  <sheetPr>
    <tabColor theme="9"/>
  </sheetPr>
  <dimension ref="A1:F69"/>
  <sheetViews>
    <sheetView topLeftCell="A22" workbookViewId="0">
      <selection activeCell="A45" sqref="A45:J69"/>
    </sheetView>
  </sheetViews>
  <sheetFormatPr defaultRowHeight="15" x14ac:dyDescent="0.25"/>
  <cols>
    <col min="2" max="2" width="24.7109375" customWidth="1"/>
    <col min="4" max="4" width="132.42578125" customWidth="1"/>
    <col min="5" max="5" width="64.42578125" customWidth="1"/>
  </cols>
  <sheetData>
    <row r="1" spans="1:6" x14ac:dyDescent="0.25">
      <c r="A1" t="s">
        <v>740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25">
      <c r="A2" s="19" t="s">
        <v>544</v>
      </c>
      <c r="B2" t="s">
        <v>954</v>
      </c>
      <c r="C2">
        <v>58</v>
      </c>
      <c r="D2" t="s">
        <v>1999</v>
      </c>
      <c r="E2" t="s">
        <v>901</v>
      </c>
      <c r="F2" t="s">
        <v>946</v>
      </c>
    </row>
    <row r="3" spans="1:6" x14ac:dyDescent="0.25">
      <c r="A3" s="19" t="s">
        <v>544</v>
      </c>
      <c r="B3" t="s">
        <v>903</v>
      </c>
      <c r="C3">
        <v>8</v>
      </c>
      <c r="D3" t="s">
        <v>2000</v>
      </c>
      <c r="E3" t="s">
        <v>1198</v>
      </c>
      <c r="F3" t="s">
        <v>2001</v>
      </c>
    </row>
    <row r="4" spans="1:6" x14ac:dyDescent="0.25">
      <c r="A4" s="19" t="s">
        <v>544</v>
      </c>
      <c r="B4" t="s">
        <v>2009</v>
      </c>
      <c r="C4">
        <v>3</v>
      </c>
      <c r="D4" t="s">
        <v>2010</v>
      </c>
      <c r="E4" t="s">
        <v>911</v>
      </c>
      <c r="F4" t="s">
        <v>2058</v>
      </c>
    </row>
    <row r="5" spans="1:6" x14ac:dyDescent="0.25">
      <c r="A5" s="19" t="s">
        <v>544</v>
      </c>
      <c r="B5" t="s">
        <v>2059</v>
      </c>
      <c r="C5">
        <v>3</v>
      </c>
      <c r="D5" t="s">
        <v>2060</v>
      </c>
      <c r="E5" t="s">
        <v>911</v>
      </c>
      <c r="F5" t="s">
        <v>2061</v>
      </c>
    </row>
    <row r="6" spans="1:6" x14ac:dyDescent="0.25">
      <c r="A6" s="19" t="s">
        <v>544</v>
      </c>
      <c r="B6" t="s">
        <v>1202</v>
      </c>
      <c r="C6">
        <v>1</v>
      </c>
      <c r="D6" t="s">
        <v>2011</v>
      </c>
      <c r="E6" t="s">
        <v>911</v>
      </c>
      <c r="F6" t="s">
        <v>2062</v>
      </c>
    </row>
    <row r="7" spans="1:6" x14ac:dyDescent="0.25">
      <c r="A7" s="19" t="s">
        <v>544</v>
      </c>
      <c r="B7" t="s">
        <v>2012</v>
      </c>
      <c r="C7">
        <v>2</v>
      </c>
      <c r="D7" t="s">
        <v>2063</v>
      </c>
      <c r="E7" t="s">
        <v>911</v>
      </c>
      <c r="F7" t="s">
        <v>2064</v>
      </c>
    </row>
    <row r="8" spans="1:6" x14ac:dyDescent="0.25">
      <c r="A8" s="19" t="s">
        <v>544</v>
      </c>
      <c r="B8" t="s">
        <v>1565</v>
      </c>
      <c r="C8">
        <v>4</v>
      </c>
      <c r="D8" t="s">
        <v>1566</v>
      </c>
      <c r="E8" t="s">
        <v>911</v>
      </c>
      <c r="F8" t="s">
        <v>1731</v>
      </c>
    </row>
    <row r="9" spans="1:6" x14ac:dyDescent="0.25">
      <c r="A9" s="19" t="s">
        <v>544</v>
      </c>
      <c r="B9" t="s">
        <v>941</v>
      </c>
      <c r="C9">
        <v>3</v>
      </c>
      <c r="D9" t="s">
        <v>1195</v>
      </c>
      <c r="E9" t="s">
        <v>925</v>
      </c>
      <c r="F9" t="s">
        <v>1728</v>
      </c>
    </row>
    <row r="10" spans="1:6" x14ac:dyDescent="0.25">
      <c r="A10" s="19" t="s">
        <v>544</v>
      </c>
      <c r="B10" t="s">
        <v>2002</v>
      </c>
      <c r="C10">
        <v>7</v>
      </c>
      <c r="D10" t="s">
        <v>2013</v>
      </c>
      <c r="E10" t="s">
        <v>1049</v>
      </c>
      <c r="F10" t="s">
        <v>2065</v>
      </c>
    </row>
    <row r="11" spans="1:6" x14ac:dyDescent="0.25">
      <c r="A11" s="19" t="s">
        <v>544</v>
      </c>
      <c r="B11" t="s">
        <v>2003</v>
      </c>
      <c r="C11">
        <v>4</v>
      </c>
      <c r="D11" t="s">
        <v>2014</v>
      </c>
      <c r="E11" t="s">
        <v>1049</v>
      </c>
      <c r="F11" t="s">
        <v>2007</v>
      </c>
    </row>
    <row r="12" spans="1:6" x14ac:dyDescent="0.25">
      <c r="A12" s="19" t="s">
        <v>544</v>
      </c>
      <c r="B12" t="s">
        <v>954</v>
      </c>
      <c r="C12">
        <v>7</v>
      </c>
      <c r="D12" t="s">
        <v>2015</v>
      </c>
      <c r="E12" t="s">
        <v>1594</v>
      </c>
      <c r="F12" t="s">
        <v>2004</v>
      </c>
    </row>
    <row r="13" spans="1:6" x14ac:dyDescent="0.25">
      <c r="A13" s="19" t="s">
        <v>546</v>
      </c>
      <c r="B13" t="s">
        <v>954</v>
      </c>
      <c r="C13">
        <v>44</v>
      </c>
      <c r="D13" t="s">
        <v>2005</v>
      </c>
      <c r="E13" t="s">
        <v>901</v>
      </c>
      <c r="F13" t="s">
        <v>946</v>
      </c>
    </row>
    <row r="14" spans="1:6" x14ac:dyDescent="0.25">
      <c r="A14" s="19" t="s">
        <v>546</v>
      </c>
      <c r="B14" t="s">
        <v>2002</v>
      </c>
      <c r="C14">
        <v>20</v>
      </c>
      <c r="D14" t="s">
        <v>2016</v>
      </c>
      <c r="E14" t="s">
        <v>1198</v>
      </c>
      <c r="F14" t="s">
        <v>2006</v>
      </c>
    </row>
    <row r="15" spans="1:6" x14ac:dyDescent="0.25">
      <c r="A15" s="19" t="s">
        <v>546</v>
      </c>
      <c r="B15" t="s">
        <v>2003</v>
      </c>
      <c r="C15">
        <v>6</v>
      </c>
      <c r="D15" t="s">
        <v>2014</v>
      </c>
      <c r="E15" t="s">
        <v>1049</v>
      </c>
      <c r="F15" t="s">
        <v>2007</v>
      </c>
    </row>
    <row r="16" spans="1:6" x14ac:dyDescent="0.25">
      <c r="A16" s="19" t="s">
        <v>546</v>
      </c>
      <c r="B16" t="s">
        <v>2009</v>
      </c>
      <c r="C16">
        <v>2</v>
      </c>
      <c r="D16" t="s">
        <v>2010</v>
      </c>
      <c r="E16" t="s">
        <v>911</v>
      </c>
      <c r="F16" t="s">
        <v>2058</v>
      </c>
    </row>
    <row r="17" spans="1:6" x14ac:dyDescent="0.25">
      <c r="A17" s="19" t="s">
        <v>546</v>
      </c>
      <c r="B17" t="s">
        <v>2059</v>
      </c>
      <c r="C17">
        <v>3</v>
      </c>
      <c r="D17" t="s">
        <v>2060</v>
      </c>
      <c r="E17" t="s">
        <v>911</v>
      </c>
      <c r="F17" t="s">
        <v>2061</v>
      </c>
    </row>
    <row r="18" spans="1:6" x14ac:dyDescent="0.25">
      <c r="A18" s="19" t="s">
        <v>546</v>
      </c>
      <c r="B18" t="s">
        <v>1202</v>
      </c>
      <c r="C18">
        <v>1</v>
      </c>
      <c r="D18" t="s">
        <v>2011</v>
      </c>
      <c r="E18" t="s">
        <v>911</v>
      </c>
      <c r="F18" t="s">
        <v>2062</v>
      </c>
    </row>
    <row r="19" spans="1:6" x14ac:dyDescent="0.25">
      <c r="A19" s="19" t="s">
        <v>546</v>
      </c>
      <c r="B19" t="s">
        <v>2012</v>
      </c>
      <c r="C19">
        <v>2</v>
      </c>
      <c r="D19" t="s">
        <v>2063</v>
      </c>
      <c r="E19" t="s">
        <v>911</v>
      </c>
      <c r="F19" t="s">
        <v>2064</v>
      </c>
    </row>
    <row r="20" spans="1:6" x14ac:dyDescent="0.25">
      <c r="A20" s="19" t="s">
        <v>546</v>
      </c>
      <c r="B20" t="s">
        <v>1565</v>
      </c>
      <c r="C20">
        <v>3</v>
      </c>
      <c r="D20" t="s">
        <v>1566</v>
      </c>
      <c r="E20" t="s">
        <v>911</v>
      </c>
      <c r="F20" t="s">
        <v>1731</v>
      </c>
    </row>
    <row r="21" spans="1:6" x14ac:dyDescent="0.25">
      <c r="A21" s="19" t="s">
        <v>546</v>
      </c>
      <c r="B21" t="s">
        <v>941</v>
      </c>
      <c r="C21">
        <v>2</v>
      </c>
      <c r="D21" t="s">
        <v>1195</v>
      </c>
      <c r="E21" t="s">
        <v>925</v>
      </c>
      <c r="F21" t="s">
        <v>1728</v>
      </c>
    </row>
    <row r="22" spans="1:6" x14ac:dyDescent="0.25">
      <c r="A22" s="19" t="s">
        <v>546</v>
      </c>
      <c r="B22" t="s">
        <v>954</v>
      </c>
      <c r="C22">
        <v>17</v>
      </c>
      <c r="D22" t="s">
        <v>2017</v>
      </c>
      <c r="E22" t="s">
        <v>1594</v>
      </c>
      <c r="F22" t="s">
        <v>2008</v>
      </c>
    </row>
    <row r="23" spans="1:6" x14ac:dyDescent="0.25">
      <c r="A23" t="s">
        <v>877</v>
      </c>
      <c r="B23" t="s">
        <v>2002</v>
      </c>
      <c r="C23">
        <v>88</v>
      </c>
      <c r="D23" t="s">
        <v>2018</v>
      </c>
      <c r="E23" t="s">
        <v>901</v>
      </c>
      <c r="F23" t="s">
        <v>956</v>
      </c>
    </row>
    <row r="24" spans="1:6" x14ac:dyDescent="0.25">
      <c r="A24" t="s">
        <v>877</v>
      </c>
      <c r="B24" t="s">
        <v>2003</v>
      </c>
      <c r="C24">
        <v>3</v>
      </c>
      <c r="D24" t="s">
        <v>2019</v>
      </c>
      <c r="E24" t="s">
        <v>1049</v>
      </c>
      <c r="F24" t="s">
        <v>2020</v>
      </c>
    </row>
    <row r="25" spans="1:6" x14ac:dyDescent="0.25">
      <c r="A25" t="s">
        <v>877</v>
      </c>
      <c r="B25" t="s">
        <v>954</v>
      </c>
      <c r="C25">
        <v>3</v>
      </c>
      <c r="D25" t="s">
        <v>2021</v>
      </c>
      <c r="E25" t="s">
        <v>909</v>
      </c>
      <c r="F25" t="s">
        <v>2022</v>
      </c>
    </row>
    <row r="26" spans="1:6" x14ac:dyDescent="0.25">
      <c r="A26" t="s">
        <v>877</v>
      </c>
      <c r="B26" t="s">
        <v>2009</v>
      </c>
      <c r="C26">
        <v>1</v>
      </c>
      <c r="D26" t="s">
        <v>2010</v>
      </c>
      <c r="E26" t="s">
        <v>911</v>
      </c>
      <c r="F26" t="s">
        <v>2023</v>
      </c>
    </row>
    <row r="27" spans="1:6" x14ac:dyDescent="0.25">
      <c r="A27" t="s">
        <v>877</v>
      </c>
      <c r="B27" t="s">
        <v>2059</v>
      </c>
      <c r="C27">
        <v>1</v>
      </c>
      <c r="D27" t="s">
        <v>2024</v>
      </c>
      <c r="E27" t="s">
        <v>911</v>
      </c>
      <c r="F27" t="s">
        <v>2066</v>
      </c>
    </row>
    <row r="28" spans="1:6" x14ac:dyDescent="0.25">
      <c r="A28" t="s">
        <v>877</v>
      </c>
      <c r="B28" t="s">
        <v>2002</v>
      </c>
      <c r="C28">
        <v>4</v>
      </c>
      <c r="D28" t="s">
        <v>2025</v>
      </c>
      <c r="E28" t="s">
        <v>1594</v>
      </c>
      <c r="F28" t="s">
        <v>2026</v>
      </c>
    </row>
    <row r="29" spans="1:6" x14ac:dyDescent="0.25">
      <c r="A29" t="s">
        <v>880</v>
      </c>
      <c r="B29" t="s">
        <v>2002</v>
      </c>
      <c r="C29">
        <v>88</v>
      </c>
      <c r="D29" t="s">
        <v>2027</v>
      </c>
      <c r="E29" t="s">
        <v>901</v>
      </c>
      <c r="F29" t="s">
        <v>956</v>
      </c>
    </row>
    <row r="30" spans="1:6" x14ac:dyDescent="0.25">
      <c r="A30" t="s">
        <v>880</v>
      </c>
      <c r="B30" t="s">
        <v>2003</v>
      </c>
      <c r="C30">
        <v>3</v>
      </c>
      <c r="D30" t="s">
        <v>2019</v>
      </c>
      <c r="E30" t="s">
        <v>1049</v>
      </c>
      <c r="F30" t="s">
        <v>2020</v>
      </c>
    </row>
    <row r="31" spans="1:6" x14ac:dyDescent="0.25">
      <c r="A31" t="s">
        <v>880</v>
      </c>
      <c r="B31" t="s">
        <v>954</v>
      </c>
      <c r="C31">
        <v>3</v>
      </c>
      <c r="D31" t="s">
        <v>2021</v>
      </c>
      <c r="E31" t="s">
        <v>909</v>
      </c>
      <c r="F31" t="s">
        <v>2022</v>
      </c>
    </row>
    <row r="32" spans="1:6" x14ac:dyDescent="0.25">
      <c r="A32" t="s">
        <v>880</v>
      </c>
      <c r="B32" t="s">
        <v>2009</v>
      </c>
      <c r="C32">
        <v>1</v>
      </c>
      <c r="D32" t="s">
        <v>2010</v>
      </c>
      <c r="E32" t="s">
        <v>911</v>
      </c>
      <c r="F32" t="s">
        <v>2023</v>
      </c>
    </row>
    <row r="33" spans="1:6" x14ac:dyDescent="0.25">
      <c r="A33" t="s">
        <v>880</v>
      </c>
      <c r="B33" t="s">
        <v>2059</v>
      </c>
      <c r="C33">
        <v>1</v>
      </c>
      <c r="D33" t="s">
        <v>2024</v>
      </c>
      <c r="E33" t="s">
        <v>911</v>
      </c>
      <c r="F33" t="s">
        <v>2066</v>
      </c>
    </row>
    <row r="34" spans="1:6" x14ac:dyDescent="0.25">
      <c r="A34" t="s">
        <v>880</v>
      </c>
      <c r="B34" t="s">
        <v>2002</v>
      </c>
      <c r="C34">
        <v>4</v>
      </c>
      <c r="D34" t="s">
        <v>2028</v>
      </c>
      <c r="E34" t="s">
        <v>1594</v>
      </c>
      <c r="F34" t="s">
        <v>2026</v>
      </c>
    </row>
    <row r="35" spans="1:6" x14ac:dyDescent="0.25">
      <c r="A35" s="19" t="s">
        <v>882</v>
      </c>
      <c r="B35" t="s">
        <v>2003</v>
      </c>
      <c r="C35">
        <v>36</v>
      </c>
      <c r="D35" t="s">
        <v>2029</v>
      </c>
      <c r="E35" t="s">
        <v>1198</v>
      </c>
      <c r="F35" t="s">
        <v>2030</v>
      </c>
    </row>
    <row r="36" spans="1:6" x14ac:dyDescent="0.25">
      <c r="A36" s="19" t="s">
        <v>882</v>
      </c>
      <c r="B36" t="s">
        <v>2002</v>
      </c>
      <c r="C36">
        <v>18</v>
      </c>
      <c r="D36" t="s">
        <v>2031</v>
      </c>
      <c r="E36" t="s">
        <v>1198</v>
      </c>
      <c r="F36" t="s">
        <v>2032</v>
      </c>
    </row>
    <row r="37" spans="1:6" x14ac:dyDescent="0.25">
      <c r="A37" s="19" t="s">
        <v>882</v>
      </c>
      <c r="B37" t="s">
        <v>1565</v>
      </c>
      <c r="C37">
        <v>18</v>
      </c>
      <c r="D37" t="s">
        <v>2033</v>
      </c>
      <c r="E37" t="s">
        <v>1198</v>
      </c>
      <c r="F37" t="s">
        <v>2034</v>
      </c>
    </row>
    <row r="38" spans="1:6" x14ac:dyDescent="0.25">
      <c r="A38" s="19" t="s">
        <v>882</v>
      </c>
      <c r="B38" t="s">
        <v>954</v>
      </c>
      <c r="C38">
        <v>6</v>
      </c>
      <c r="D38" t="s">
        <v>2035</v>
      </c>
      <c r="E38" t="s">
        <v>909</v>
      </c>
      <c r="F38" t="s">
        <v>2022</v>
      </c>
    </row>
    <row r="39" spans="1:6" x14ac:dyDescent="0.25">
      <c r="A39" s="19" t="s">
        <v>882</v>
      </c>
      <c r="B39" t="s">
        <v>2009</v>
      </c>
      <c r="C39">
        <v>2</v>
      </c>
      <c r="D39" t="s">
        <v>2010</v>
      </c>
      <c r="E39" t="s">
        <v>911</v>
      </c>
      <c r="F39" t="s">
        <v>2023</v>
      </c>
    </row>
    <row r="40" spans="1:6" x14ac:dyDescent="0.25">
      <c r="A40" s="19" t="s">
        <v>882</v>
      </c>
      <c r="B40" t="s">
        <v>2059</v>
      </c>
      <c r="C40">
        <v>2</v>
      </c>
      <c r="D40" t="s">
        <v>2024</v>
      </c>
      <c r="E40" t="s">
        <v>911</v>
      </c>
      <c r="F40" t="s">
        <v>2036</v>
      </c>
    </row>
    <row r="41" spans="1:6" x14ac:dyDescent="0.25">
      <c r="A41" s="19" t="s">
        <v>882</v>
      </c>
      <c r="B41" t="s">
        <v>2002</v>
      </c>
      <c r="C41">
        <v>4</v>
      </c>
      <c r="D41" t="s">
        <v>2037</v>
      </c>
      <c r="E41" t="s">
        <v>1594</v>
      </c>
      <c r="F41" t="s">
        <v>2038</v>
      </c>
    </row>
    <row r="42" spans="1:6" x14ac:dyDescent="0.25">
      <c r="A42" s="19" t="s">
        <v>882</v>
      </c>
      <c r="B42" t="s">
        <v>2003</v>
      </c>
      <c r="C42">
        <v>4</v>
      </c>
      <c r="D42" t="s">
        <v>2039</v>
      </c>
      <c r="E42" t="s">
        <v>1594</v>
      </c>
      <c r="F42" t="s">
        <v>2040</v>
      </c>
    </row>
    <row r="43" spans="1:6" x14ac:dyDescent="0.25">
      <c r="A43" s="19" t="s">
        <v>882</v>
      </c>
      <c r="B43" t="s">
        <v>1565</v>
      </c>
      <c r="C43">
        <v>8</v>
      </c>
      <c r="D43" t="s">
        <v>2041</v>
      </c>
      <c r="E43" t="s">
        <v>1594</v>
      </c>
      <c r="F43" t="s">
        <v>2042</v>
      </c>
    </row>
    <row r="44" spans="1:6" x14ac:dyDescent="0.25">
      <c r="A44" s="19" t="s">
        <v>882</v>
      </c>
      <c r="B44" t="s">
        <v>941</v>
      </c>
      <c r="C44">
        <v>2</v>
      </c>
      <c r="D44" t="s">
        <v>1195</v>
      </c>
      <c r="E44" t="s">
        <v>925</v>
      </c>
      <c r="F44" t="s">
        <v>1839</v>
      </c>
    </row>
    <row r="45" spans="1:6" x14ac:dyDescent="0.25">
      <c r="A45" t="s">
        <v>548</v>
      </c>
      <c r="B45" t="s">
        <v>2003</v>
      </c>
      <c r="C45">
        <v>88</v>
      </c>
      <c r="D45" t="s">
        <v>2043</v>
      </c>
      <c r="E45" t="s">
        <v>901</v>
      </c>
      <c r="F45" t="s">
        <v>956</v>
      </c>
    </row>
    <row r="46" spans="1:6" x14ac:dyDescent="0.25">
      <c r="A46" t="s">
        <v>548</v>
      </c>
      <c r="B46" t="s">
        <v>2002</v>
      </c>
      <c r="C46">
        <v>4</v>
      </c>
      <c r="D46" t="s">
        <v>2044</v>
      </c>
      <c r="E46" t="s">
        <v>1049</v>
      </c>
      <c r="F46" t="s">
        <v>2020</v>
      </c>
    </row>
    <row r="47" spans="1:6" x14ac:dyDescent="0.25">
      <c r="A47" t="s">
        <v>548</v>
      </c>
      <c r="B47" t="s">
        <v>2009</v>
      </c>
      <c r="C47">
        <v>2</v>
      </c>
      <c r="D47" t="s">
        <v>2010</v>
      </c>
      <c r="E47" t="s">
        <v>911</v>
      </c>
      <c r="F47" t="s">
        <v>2045</v>
      </c>
    </row>
    <row r="48" spans="1:6" x14ac:dyDescent="0.25">
      <c r="A48" t="s">
        <v>548</v>
      </c>
      <c r="B48" t="s">
        <v>2059</v>
      </c>
      <c r="C48">
        <v>2</v>
      </c>
      <c r="D48" t="s">
        <v>2046</v>
      </c>
      <c r="E48" t="s">
        <v>911</v>
      </c>
      <c r="F48" t="s">
        <v>2067</v>
      </c>
    </row>
    <row r="49" spans="1:6" x14ac:dyDescent="0.25">
      <c r="A49" t="s">
        <v>548</v>
      </c>
      <c r="B49" t="s">
        <v>954</v>
      </c>
      <c r="C49">
        <v>2</v>
      </c>
      <c r="D49" t="s">
        <v>2047</v>
      </c>
      <c r="E49" t="s">
        <v>909</v>
      </c>
      <c r="F49" t="s">
        <v>2022</v>
      </c>
    </row>
    <row r="50" spans="1:6" x14ac:dyDescent="0.25">
      <c r="A50" t="s">
        <v>548</v>
      </c>
      <c r="B50" t="s">
        <v>2003</v>
      </c>
      <c r="C50">
        <v>2</v>
      </c>
      <c r="D50" t="s">
        <v>2048</v>
      </c>
      <c r="E50" t="s">
        <v>1594</v>
      </c>
      <c r="F50" t="s">
        <v>2040</v>
      </c>
    </row>
    <row r="51" spans="1:6" x14ac:dyDescent="0.25">
      <c r="A51" t="s">
        <v>885</v>
      </c>
      <c r="B51" t="s">
        <v>2003</v>
      </c>
      <c r="C51">
        <v>88</v>
      </c>
      <c r="D51" t="s">
        <v>2049</v>
      </c>
      <c r="E51" t="s">
        <v>901</v>
      </c>
      <c r="F51" t="s">
        <v>956</v>
      </c>
    </row>
    <row r="52" spans="1:6" x14ac:dyDescent="0.25">
      <c r="A52" t="s">
        <v>885</v>
      </c>
      <c r="B52" t="s">
        <v>2002</v>
      </c>
      <c r="C52">
        <v>4</v>
      </c>
      <c r="D52" t="s">
        <v>2044</v>
      </c>
      <c r="E52" t="s">
        <v>1049</v>
      </c>
      <c r="F52" t="s">
        <v>2020</v>
      </c>
    </row>
    <row r="53" spans="1:6" x14ac:dyDescent="0.25">
      <c r="A53" t="s">
        <v>885</v>
      </c>
      <c r="B53" t="s">
        <v>2009</v>
      </c>
      <c r="C53">
        <v>2</v>
      </c>
      <c r="D53" t="s">
        <v>2010</v>
      </c>
      <c r="E53" t="s">
        <v>911</v>
      </c>
      <c r="F53" t="s">
        <v>2045</v>
      </c>
    </row>
    <row r="54" spans="1:6" x14ac:dyDescent="0.25">
      <c r="A54" t="s">
        <v>885</v>
      </c>
      <c r="B54" t="s">
        <v>2059</v>
      </c>
      <c r="C54">
        <v>2</v>
      </c>
      <c r="D54" t="s">
        <v>2046</v>
      </c>
      <c r="E54" t="s">
        <v>911</v>
      </c>
      <c r="F54" t="s">
        <v>2067</v>
      </c>
    </row>
    <row r="55" spans="1:6" x14ac:dyDescent="0.25">
      <c r="A55" t="s">
        <v>885</v>
      </c>
      <c r="B55" t="s">
        <v>954</v>
      </c>
      <c r="C55">
        <v>2</v>
      </c>
      <c r="D55" t="s">
        <v>2047</v>
      </c>
      <c r="E55" t="s">
        <v>909</v>
      </c>
      <c r="F55" t="s">
        <v>2022</v>
      </c>
    </row>
    <row r="56" spans="1:6" x14ac:dyDescent="0.25">
      <c r="A56" t="s">
        <v>885</v>
      </c>
      <c r="B56" t="s">
        <v>2003</v>
      </c>
      <c r="C56">
        <v>2</v>
      </c>
      <c r="D56" t="s">
        <v>2050</v>
      </c>
      <c r="E56" t="s">
        <v>1594</v>
      </c>
      <c r="F56" t="s">
        <v>2040</v>
      </c>
    </row>
    <row r="57" spans="1:6" x14ac:dyDescent="0.25">
      <c r="A57" t="s">
        <v>888</v>
      </c>
      <c r="B57" t="s">
        <v>2003</v>
      </c>
      <c r="C57">
        <v>86</v>
      </c>
      <c r="D57" t="s">
        <v>2051</v>
      </c>
      <c r="E57" t="s">
        <v>901</v>
      </c>
      <c r="F57" t="s">
        <v>956</v>
      </c>
    </row>
    <row r="58" spans="1:6" x14ac:dyDescent="0.25">
      <c r="A58" t="s">
        <v>888</v>
      </c>
      <c r="B58" t="s">
        <v>2002</v>
      </c>
      <c r="C58">
        <v>6</v>
      </c>
      <c r="D58" t="s">
        <v>2044</v>
      </c>
      <c r="E58" t="s">
        <v>1049</v>
      </c>
      <c r="F58" t="s">
        <v>2020</v>
      </c>
    </row>
    <row r="59" spans="1:6" x14ac:dyDescent="0.25">
      <c r="A59" t="s">
        <v>888</v>
      </c>
      <c r="B59" t="s">
        <v>2009</v>
      </c>
      <c r="C59">
        <v>2</v>
      </c>
      <c r="D59" t="s">
        <v>2010</v>
      </c>
      <c r="E59" t="s">
        <v>911</v>
      </c>
      <c r="F59" t="s">
        <v>2045</v>
      </c>
    </row>
    <row r="60" spans="1:6" x14ac:dyDescent="0.25">
      <c r="A60" t="s">
        <v>888</v>
      </c>
      <c r="B60" t="s">
        <v>2059</v>
      </c>
      <c r="C60">
        <v>2</v>
      </c>
      <c r="D60" t="s">
        <v>2046</v>
      </c>
      <c r="E60" t="s">
        <v>911</v>
      </c>
      <c r="F60" t="s">
        <v>2067</v>
      </c>
    </row>
    <row r="61" spans="1:6" x14ac:dyDescent="0.25">
      <c r="A61" t="s">
        <v>888</v>
      </c>
      <c r="B61" t="s">
        <v>954</v>
      </c>
      <c r="C61">
        <v>2</v>
      </c>
      <c r="D61" t="s">
        <v>2047</v>
      </c>
      <c r="E61" t="s">
        <v>909</v>
      </c>
      <c r="F61" t="s">
        <v>2022</v>
      </c>
    </row>
    <row r="62" spans="1:6" x14ac:dyDescent="0.25">
      <c r="A62" t="s">
        <v>888</v>
      </c>
      <c r="B62" t="s">
        <v>2003</v>
      </c>
      <c r="C62">
        <v>2</v>
      </c>
      <c r="D62" t="s">
        <v>2052</v>
      </c>
      <c r="E62" t="s">
        <v>1594</v>
      </c>
      <c r="F62" t="s">
        <v>2040</v>
      </c>
    </row>
    <row r="63" spans="1:6" x14ac:dyDescent="0.25">
      <c r="A63" t="s">
        <v>891</v>
      </c>
      <c r="B63" t="s">
        <v>2003</v>
      </c>
      <c r="C63">
        <v>56</v>
      </c>
      <c r="D63" t="s">
        <v>2053</v>
      </c>
      <c r="E63" t="s">
        <v>901</v>
      </c>
      <c r="F63" t="s">
        <v>946</v>
      </c>
    </row>
    <row r="64" spans="1:6" x14ac:dyDescent="0.25">
      <c r="A64" t="s">
        <v>891</v>
      </c>
      <c r="B64" t="s">
        <v>1025</v>
      </c>
      <c r="C64">
        <v>16</v>
      </c>
      <c r="D64" t="s">
        <v>2054</v>
      </c>
      <c r="E64" t="s">
        <v>909</v>
      </c>
      <c r="F64" t="s">
        <v>2055</v>
      </c>
    </row>
    <row r="65" spans="1:6" x14ac:dyDescent="0.25">
      <c r="A65" t="s">
        <v>891</v>
      </c>
      <c r="B65" t="s">
        <v>2002</v>
      </c>
      <c r="C65">
        <v>8</v>
      </c>
      <c r="D65" t="s">
        <v>2044</v>
      </c>
      <c r="E65" t="s">
        <v>1049</v>
      </c>
      <c r="F65" t="s">
        <v>2056</v>
      </c>
    </row>
    <row r="66" spans="1:6" x14ac:dyDescent="0.25">
      <c r="A66" t="s">
        <v>891</v>
      </c>
      <c r="B66" t="s">
        <v>2009</v>
      </c>
      <c r="C66">
        <v>2</v>
      </c>
      <c r="D66" t="s">
        <v>2010</v>
      </c>
      <c r="E66" t="s">
        <v>911</v>
      </c>
      <c r="F66" t="s">
        <v>2045</v>
      </c>
    </row>
    <row r="67" spans="1:6" x14ac:dyDescent="0.25">
      <c r="A67" t="s">
        <v>891</v>
      </c>
      <c r="B67" t="s">
        <v>2059</v>
      </c>
      <c r="C67">
        <v>4</v>
      </c>
      <c r="D67" t="s">
        <v>2046</v>
      </c>
      <c r="E67" t="s">
        <v>911</v>
      </c>
      <c r="F67" t="s">
        <v>2067</v>
      </c>
    </row>
    <row r="68" spans="1:6" x14ac:dyDescent="0.25">
      <c r="A68" t="s">
        <v>891</v>
      </c>
      <c r="B68" t="s">
        <v>954</v>
      </c>
      <c r="C68">
        <v>4</v>
      </c>
      <c r="D68" t="s">
        <v>2047</v>
      </c>
      <c r="E68" t="s">
        <v>909</v>
      </c>
      <c r="F68" t="s">
        <v>2022</v>
      </c>
    </row>
    <row r="69" spans="1:6" x14ac:dyDescent="0.25">
      <c r="A69" t="s">
        <v>891</v>
      </c>
      <c r="B69" t="s">
        <v>2003</v>
      </c>
      <c r="C69">
        <v>10</v>
      </c>
      <c r="D69" t="s">
        <v>2057</v>
      </c>
      <c r="E69" t="s">
        <v>1594</v>
      </c>
      <c r="F69" t="s">
        <v>1695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04FA-CA8A-4A06-8564-5FC5F68C3AD9}">
  <sheetPr>
    <tabColor rgb="FFC00000"/>
  </sheetPr>
  <dimension ref="A1:F30"/>
  <sheetViews>
    <sheetView workbookViewId="0">
      <selection activeCell="A2" sqref="A2:A30"/>
    </sheetView>
  </sheetViews>
  <sheetFormatPr defaultRowHeight="15" x14ac:dyDescent="0.25"/>
  <cols>
    <col min="2" max="2" width="20.85546875" bestFit="1" customWidth="1"/>
    <col min="4" max="4" width="94.140625" customWidth="1"/>
    <col min="6" max="6" width="43" bestFit="1" customWidth="1"/>
  </cols>
  <sheetData>
    <row r="1" spans="1:6" x14ac:dyDescent="0.25">
      <c r="A1" t="s">
        <v>740</v>
      </c>
      <c r="B1" t="s">
        <v>894</v>
      </c>
      <c r="C1" t="s">
        <v>895</v>
      </c>
      <c r="D1" t="s">
        <v>896</v>
      </c>
      <c r="E1" t="s">
        <v>897</v>
      </c>
      <c r="F1" t="s">
        <v>898</v>
      </c>
    </row>
    <row r="2" spans="1:6" x14ac:dyDescent="0.25">
      <c r="A2" s="19" t="s">
        <v>581</v>
      </c>
      <c r="B2" t="s">
        <v>903</v>
      </c>
      <c r="C2">
        <v>18</v>
      </c>
      <c r="D2" t="s">
        <v>2068</v>
      </c>
      <c r="E2" t="s">
        <v>901</v>
      </c>
      <c r="F2" t="s">
        <v>2069</v>
      </c>
    </row>
    <row r="3" spans="1:6" x14ac:dyDescent="0.25">
      <c r="A3" s="19" t="s">
        <v>581</v>
      </c>
      <c r="B3" t="s">
        <v>954</v>
      </c>
      <c r="C3">
        <v>16</v>
      </c>
      <c r="D3" t="s">
        <v>2070</v>
      </c>
      <c r="E3" t="s">
        <v>901</v>
      </c>
      <c r="F3" t="s">
        <v>2071</v>
      </c>
    </row>
    <row r="4" spans="1:6" x14ac:dyDescent="0.25">
      <c r="A4" s="19" t="s">
        <v>581</v>
      </c>
      <c r="B4" t="s">
        <v>1025</v>
      </c>
      <c r="C4">
        <v>10</v>
      </c>
      <c r="D4" t="s">
        <v>2072</v>
      </c>
      <c r="E4" t="s">
        <v>901</v>
      </c>
      <c r="F4" t="s">
        <v>2073</v>
      </c>
    </row>
    <row r="5" spans="1:6" x14ac:dyDescent="0.25">
      <c r="A5" s="19" t="s">
        <v>581</v>
      </c>
      <c r="B5" t="s">
        <v>941</v>
      </c>
      <c r="C5">
        <v>13</v>
      </c>
      <c r="D5" t="s">
        <v>2074</v>
      </c>
      <c r="E5" t="s">
        <v>1198</v>
      </c>
      <c r="F5" t="s">
        <v>2075</v>
      </c>
    </row>
    <row r="6" spans="1:6" x14ac:dyDescent="0.25">
      <c r="A6" s="19" t="s">
        <v>581</v>
      </c>
      <c r="B6" t="s">
        <v>960</v>
      </c>
      <c r="C6">
        <v>5</v>
      </c>
      <c r="D6" t="s">
        <v>2076</v>
      </c>
      <c r="E6" t="s">
        <v>1044</v>
      </c>
      <c r="F6" t="s">
        <v>2077</v>
      </c>
    </row>
    <row r="7" spans="1:6" x14ac:dyDescent="0.25">
      <c r="A7" s="19" t="s">
        <v>581</v>
      </c>
      <c r="B7" t="s">
        <v>1129</v>
      </c>
      <c r="C7">
        <v>16</v>
      </c>
      <c r="D7" t="s">
        <v>2078</v>
      </c>
      <c r="E7" t="s">
        <v>1198</v>
      </c>
      <c r="F7" t="s">
        <v>2079</v>
      </c>
    </row>
    <row r="8" spans="1:6" x14ac:dyDescent="0.25">
      <c r="A8" s="19" t="s">
        <v>581</v>
      </c>
      <c r="B8" t="s">
        <v>1123</v>
      </c>
      <c r="C8">
        <v>6</v>
      </c>
      <c r="D8" t="s">
        <v>2080</v>
      </c>
      <c r="E8" t="s">
        <v>1049</v>
      </c>
      <c r="F8" t="s">
        <v>1832</v>
      </c>
    </row>
    <row r="9" spans="1:6" x14ac:dyDescent="0.25">
      <c r="A9" s="19" t="s">
        <v>581</v>
      </c>
      <c r="B9" t="s">
        <v>1565</v>
      </c>
      <c r="C9">
        <v>3</v>
      </c>
      <c r="D9" t="s">
        <v>2081</v>
      </c>
      <c r="E9" t="s">
        <v>917</v>
      </c>
      <c r="F9" t="s">
        <v>2082</v>
      </c>
    </row>
    <row r="10" spans="1:6" x14ac:dyDescent="0.25">
      <c r="A10" s="19" t="s">
        <v>581</v>
      </c>
      <c r="B10" t="s">
        <v>18</v>
      </c>
      <c r="C10">
        <v>2</v>
      </c>
      <c r="D10" t="s">
        <v>2083</v>
      </c>
      <c r="E10" t="s">
        <v>911</v>
      </c>
      <c r="F10" t="s">
        <v>2084</v>
      </c>
    </row>
    <row r="11" spans="1:6" x14ac:dyDescent="0.25">
      <c r="A11" s="19" t="s">
        <v>581</v>
      </c>
      <c r="B11" t="s">
        <v>617</v>
      </c>
      <c r="C11">
        <v>2</v>
      </c>
      <c r="D11" t="s">
        <v>2085</v>
      </c>
      <c r="E11" t="s">
        <v>917</v>
      </c>
      <c r="F11" t="s">
        <v>2086</v>
      </c>
    </row>
    <row r="12" spans="1:6" x14ac:dyDescent="0.25">
      <c r="A12" s="19" t="s">
        <v>581</v>
      </c>
      <c r="B12" t="s">
        <v>2002</v>
      </c>
      <c r="C12">
        <v>2</v>
      </c>
      <c r="D12" t="s">
        <v>2089</v>
      </c>
      <c r="E12" t="s">
        <v>1049</v>
      </c>
      <c r="F12" t="s">
        <v>2090</v>
      </c>
    </row>
    <row r="13" spans="1:6" x14ac:dyDescent="0.25">
      <c r="A13" s="19" t="s">
        <v>581</v>
      </c>
      <c r="B13" t="s">
        <v>905</v>
      </c>
      <c r="C13">
        <v>2</v>
      </c>
      <c r="D13" t="s">
        <v>2091</v>
      </c>
      <c r="E13" t="s">
        <v>901</v>
      </c>
      <c r="F13" t="s">
        <v>2092</v>
      </c>
    </row>
    <row r="14" spans="1:6" x14ac:dyDescent="0.25">
      <c r="A14" s="19" t="s">
        <v>581</v>
      </c>
      <c r="B14" t="s">
        <v>899</v>
      </c>
      <c r="C14">
        <v>2</v>
      </c>
      <c r="D14" t="s">
        <v>2093</v>
      </c>
      <c r="E14" t="s">
        <v>901</v>
      </c>
      <c r="F14" t="s">
        <v>2094</v>
      </c>
    </row>
    <row r="15" spans="1:6" x14ac:dyDescent="0.25">
      <c r="A15" s="19" t="s">
        <v>581</v>
      </c>
      <c r="B15" t="s">
        <v>954</v>
      </c>
      <c r="C15">
        <v>3</v>
      </c>
      <c r="D15" t="s">
        <v>2095</v>
      </c>
      <c r="E15" t="s">
        <v>1594</v>
      </c>
      <c r="F15" t="s">
        <v>2096</v>
      </c>
    </row>
    <row r="16" spans="1:6" x14ac:dyDescent="0.25">
      <c r="A16" s="19" t="s">
        <v>555</v>
      </c>
      <c r="B16" t="s">
        <v>954</v>
      </c>
      <c r="C16">
        <v>24</v>
      </c>
      <c r="D16" t="s">
        <v>2097</v>
      </c>
      <c r="E16" t="s">
        <v>901</v>
      </c>
      <c r="F16" t="s">
        <v>2071</v>
      </c>
    </row>
    <row r="17" spans="1:6" x14ac:dyDescent="0.25">
      <c r="A17" s="19" t="s">
        <v>555</v>
      </c>
      <c r="B17" t="s">
        <v>903</v>
      </c>
      <c r="C17">
        <v>16</v>
      </c>
      <c r="D17" t="s">
        <v>2098</v>
      </c>
      <c r="E17" t="s">
        <v>901</v>
      </c>
      <c r="F17" t="s">
        <v>2099</v>
      </c>
    </row>
    <row r="18" spans="1:6" x14ac:dyDescent="0.25">
      <c r="A18" s="19" t="s">
        <v>555</v>
      </c>
      <c r="B18" t="s">
        <v>1025</v>
      </c>
      <c r="C18">
        <v>12</v>
      </c>
      <c r="D18" t="s">
        <v>2100</v>
      </c>
      <c r="E18" t="s">
        <v>901</v>
      </c>
      <c r="F18" t="s">
        <v>2101</v>
      </c>
    </row>
    <row r="19" spans="1:6" x14ac:dyDescent="0.25">
      <c r="A19" s="19" t="s">
        <v>555</v>
      </c>
      <c r="B19" t="s">
        <v>941</v>
      </c>
      <c r="C19">
        <v>8</v>
      </c>
      <c r="D19" t="s">
        <v>2102</v>
      </c>
      <c r="E19" t="s">
        <v>1198</v>
      </c>
      <c r="F19" t="s">
        <v>2103</v>
      </c>
    </row>
    <row r="20" spans="1:6" x14ac:dyDescent="0.25">
      <c r="A20" s="19" t="s">
        <v>555</v>
      </c>
      <c r="B20" t="s">
        <v>960</v>
      </c>
      <c r="C20">
        <v>6</v>
      </c>
      <c r="D20" t="s">
        <v>2104</v>
      </c>
      <c r="E20" t="s">
        <v>1044</v>
      </c>
      <c r="F20" t="s">
        <v>2105</v>
      </c>
    </row>
    <row r="21" spans="1:6" x14ac:dyDescent="0.25">
      <c r="A21" s="19" t="s">
        <v>555</v>
      </c>
      <c r="B21" t="s">
        <v>1129</v>
      </c>
      <c r="C21">
        <v>6</v>
      </c>
      <c r="D21" t="s">
        <v>2106</v>
      </c>
      <c r="E21" t="s">
        <v>1049</v>
      </c>
      <c r="F21" t="s">
        <v>2107</v>
      </c>
    </row>
    <row r="22" spans="1:6" x14ac:dyDescent="0.25">
      <c r="A22" s="19" t="s">
        <v>555</v>
      </c>
      <c r="B22" t="s">
        <v>1123</v>
      </c>
      <c r="C22">
        <v>4</v>
      </c>
      <c r="D22" t="s">
        <v>2108</v>
      </c>
      <c r="E22" t="s">
        <v>1049</v>
      </c>
      <c r="F22" t="s">
        <v>1832</v>
      </c>
    </row>
    <row r="23" spans="1:6" x14ac:dyDescent="0.25">
      <c r="A23" s="19" t="s">
        <v>555</v>
      </c>
      <c r="B23" t="s">
        <v>18</v>
      </c>
      <c r="C23">
        <v>4</v>
      </c>
      <c r="D23" t="s">
        <v>2109</v>
      </c>
      <c r="E23" t="s">
        <v>911</v>
      </c>
      <c r="F23" t="s">
        <v>1563</v>
      </c>
    </row>
    <row r="24" spans="1:6" x14ac:dyDescent="0.25">
      <c r="A24" s="19" t="s">
        <v>555</v>
      </c>
      <c r="B24" t="s">
        <v>1565</v>
      </c>
      <c r="C24">
        <v>4</v>
      </c>
      <c r="D24" t="s">
        <v>2110</v>
      </c>
      <c r="E24" t="s">
        <v>917</v>
      </c>
      <c r="F24" t="s">
        <v>2111</v>
      </c>
    </row>
    <row r="25" spans="1:6" x14ac:dyDescent="0.25">
      <c r="A25" s="19" t="s">
        <v>555</v>
      </c>
      <c r="B25" t="s">
        <v>617</v>
      </c>
      <c r="C25">
        <v>3</v>
      </c>
      <c r="D25" t="s">
        <v>2112</v>
      </c>
      <c r="E25" t="s">
        <v>917</v>
      </c>
      <c r="F25" t="s">
        <v>2086</v>
      </c>
    </row>
    <row r="26" spans="1:6" x14ac:dyDescent="0.25">
      <c r="A26" s="19" t="s">
        <v>555</v>
      </c>
      <c r="B26" t="s">
        <v>2009</v>
      </c>
      <c r="C26">
        <v>2</v>
      </c>
      <c r="D26" t="s">
        <v>2088</v>
      </c>
      <c r="E26" t="s">
        <v>917</v>
      </c>
      <c r="F26" t="s">
        <v>2113</v>
      </c>
    </row>
    <row r="27" spans="1:6" x14ac:dyDescent="0.25">
      <c r="A27" s="19" t="s">
        <v>555</v>
      </c>
      <c r="B27" t="s">
        <v>1557</v>
      </c>
      <c r="C27">
        <v>2</v>
      </c>
      <c r="D27" t="s">
        <v>2114</v>
      </c>
      <c r="E27" t="s">
        <v>911</v>
      </c>
      <c r="F27" t="s">
        <v>2115</v>
      </c>
    </row>
    <row r="28" spans="1:6" x14ac:dyDescent="0.25">
      <c r="A28" s="19" t="s">
        <v>555</v>
      </c>
      <c r="B28" t="s">
        <v>905</v>
      </c>
      <c r="C28">
        <v>2</v>
      </c>
      <c r="D28" t="s">
        <v>2116</v>
      </c>
      <c r="E28" t="s">
        <v>901</v>
      </c>
      <c r="F28" t="s">
        <v>2092</v>
      </c>
    </row>
    <row r="29" spans="1:6" x14ac:dyDescent="0.25">
      <c r="A29" s="19" t="s">
        <v>555</v>
      </c>
      <c r="B29" t="s">
        <v>899</v>
      </c>
      <c r="C29">
        <v>2</v>
      </c>
      <c r="D29" t="s">
        <v>2117</v>
      </c>
      <c r="E29" t="s">
        <v>901</v>
      </c>
      <c r="F29" t="s">
        <v>2094</v>
      </c>
    </row>
    <row r="30" spans="1:6" x14ac:dyDescent="0.25">
      <c r="A30" s="19" t="s">
        <v>555</v>
      </c>
      <c r="B30" t="s">
        <v>954</v>
      </c>
      <c r="C30">
        <v>5</v>
      </c>
      <c r="D30" t="s">
        <v>2118</v>
      </c>
      <c r="E30" t="s">
        <v>1594</v>
      </c>
      <c r="F30" t="s">
        <v>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naming pools</vt:lpstr>
      <vt:lpstr>Sheet14</vt:lpstr>
      <vt:lpstr>Sheet2</vt:lpstr>
      <vt:lpstr>Sheet1</vt:lpstr>
      <vt:lpstr>TopMarkets</vt:lpstr>
      <vt:lpstr>FullNamingPoolList</vt:lpstr>
      <vt:lpstr>Missing Naming pools</vt:lpstr>
      <vt:lpstr>NameCensus</vt:lpstr>
      <vt:lpstr>heritage_europe</vt:lpstr>
      <vt:lpstr>Sheet18</vt:lpstr>
      <vt:lpstr>heritage_africa_arab</vt:lpstr>
      <vt:lpstr>heritage_asia</vt:lpstr>
      <vt:lpstr>heritage_Latin_Caribbean</vt:lpstr>
      <vt:lpstr>heritage_oceania</vt:lpstr>
      <vt:lpstr>heritage_america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2026-03-15T11:13:50Z</dcterms:created>
  <dcterms:modified xsi:type="dcterms:W3CDTF">2026-04-03T16:24:40Z</dcterms:modified>
</cp:coreProperties>
</file>